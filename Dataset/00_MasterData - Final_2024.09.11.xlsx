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afnan.ahmed\Downloads\Dashboardforsharing (1)\Dashboardforsharing\"/>
    </mc:Choice>
  </mc:AlternateContent>
  <xr:revisionPtr revIDLastSave="0" documentId="13_ncr:1_{AD156ED5-BD89-4AAA-A5EE-0AF2685B52E7}" xr6:coauthVersionLast="47" xr6:coauthVersionMax="47" xr10:uidLastSave="{00000000-0000-0000-0000-000000000000}"/>
  <bookViews>
    <workbookView xWindow="-120" yWindow="-120" windowWidth="29040" windowHeight="15720" activeTab="1" xr2:uid="{00000000-000D-0000-FFFF-FFFF00000000}"/>
  </bookViews>
  <sheets>
    <sheet name="Fixed Data" sheetId="1" r:id="rId1"/>
    <sheet name="Variable Data" sheetId="2" r:id="rId2"/>
    <sheet name="New Plots" sheetId="4" r:id="rId3"/>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862" i="2" l="1"/>
  <c r="AE862" i="2"/>
  <c r="AG862" i="2"/>
  <c r="AC861" i="2"/>
  <c r="AE861" i="2"/>
  <c r="AG861" i="2"/>
  <c r="AC860" i="2"/>
  <c r="AE860" i="2"/>
  <c r="AG860" i="2"/>
  <c r="W859" i="2"/>
  <c r="Z859" i="2" s="1"/>
  <c r="P862" i="2"/>
  <c r="N862" i="2"/>
  <c r="D862" i="2" a="1"/>
  <c r="D862" i="2" s="1"/>
  <c r="G862" i="2"/>
  <c r="L862" i="2"/>
  <c r="W862" i="2"/>
  <c r="Z862" i="2" s="1"/>
  <c r="D861" i="2" a="1"/>
  <c r="D861" i="2" s="1"/>
  <c r="G861" i="2"/>
  <c r="D860" i="2" a="1"/>
  <c r="D860" i="2" s="1"/>
  <c r="G860" i="2"/>
  <c r="D859" i="2" a="1"/>
  <c r="D859" i="2" s="1"/>
  <c r="G859" i="2"/>
  <c r="L859" i="2"/>
  <c r="L860" i="2"/>
  <c r="L861" i="2"/>
  <c r="W860" i="2"/>
  <c r="Z860" i="2" s="1"/>
  <c r="W861" i="2"/>
  <c r="Z861" i="2" s="1"/>
  <c r="AC859" i="2"/>
  <c r="AE859" i="2"/>
  <c r="AG859" i="2"/>
  <c r="AC847" i="2"/>
  <c r="AC848" i="2"/>
  <c r="AC849" i="2"/>
  <c r="AC850" i="2"/>
  <c r="AC851" i="2"/>
  <c r="AC852" i="2"/>
  <c r="AC853" i="2"/>
  <c r="AC854" i="2"/>
  <c r="AC855" i="2"/>
  <c r="AC856" i="2"/>
  <c r="AC857" i="2"/>
  <c r="AC858" i="2"/>
  <c r="AC846" i="2"/>
  <c r="AE846" i="2"/>
  <c r="AG846" i="2"/>
  <c r="AA858" i="2"/>
  <c r="AA857" i="2"/>
  <c r="AA856" i="2"/>
  <c r="AA855" i="2"/>
  <c r="AA854" i="2"/>
  <c r="AA853" i="2"/>
  <c r="AA852" i="2"/>
  <c r="AA851" i="2"/>
  <c r="AA850" i="2"/>
  <c r="AA849" i="2"/>
  <c r="AA848" i="2"/>
  <c r="AA847" i="2"/>
  <c r="X858" i="2"/>
  <c r="X857" i="2"/>
  <c r="X856" i="2"/>
  <c r="X855" i="2"/>
  <c r="X854" i="2"/>
  <c r="X853" i="2"/>
  <c r="X852" i="2"/>
  <c r="X851" i="2"/>
  <c r="X850" i="2"/>
  <c r="X849" i="2"/>
  <c r="X848" i="2"/>
  <c r="X847" i="2"/>
  <c r="U858" i="2"/>
  <c r="U857" i="2"/>
  <c r="U856" i="2"/>
  <c r="U855" i="2"/>
  <c r="U854" i="2"/>
  <c r="U853" i="2"/>
  <c r="U852" i="2"/>
  <c r="U851" i="2"/>
  <c r="U850" i="2"/>
  <c r="U849" i="2"/>
  <c r="W849" i="2" s="1"/>
  <c r="Z849" i="2" s="1"/>
  <c r="U848" i="2"/>
  <c r="W848" i="2" s="1"/>
  <c r="Z848" i="2" s="1"/>
  <c r="U847" i="2"/>
  <c r="W847" i="2" s="1"/>
  <c r="Z847" i="2" s="1"/>
  <c r="G857" i="2"/>
  <c r="G852" i="2"/>
  <c r="G851" i="2"/>
  <c r="G850" i="2"/>
  <c r="G849" i="2"/>
  <c r="G847" i="2"/>
  <c r="D847" i="2" a="1"/>
  <c r="D847" i="2" s="1"/>
  <c r="D848" i="2" a="1"/>
  <c r="D848" i="2" s="1"/>
  <c r="D849" i="2" a="1"/>
  <c r="D849" i="2" s="1"/>
  <c r="D850" i="2" a="1"/>
  <c r="D850" i="2" s="1"/>
  <c r="D851" i="2" a="1"/>
  <c r="D851" i="2" s="1"/>
  <c r="D852" i="2" a="1"/>
  <c r="D852" i="2" s="1"/>
  <c r="D853" i="2" a="1"/>
  <c r="D853" i="2" s="1"/>
  <c r="D854" i="2" a="1"/>
  <c r="D854" i="2" s="1"/>
  <c r="D855" i="2" a="1"/>
  <c r="D855" i="2" s="1"/>
  <c r="D856" i="2" a="1"/>
  <c r="D856" i="2" s="1"/>
  <c r="D857" i="2" a="1"/>
  <c r="D857" i="2" s="1"/>
  <c r="D858" i="2" a="1"/>
  <c r="D858" i="2" s="1"/>
  <c r="G848" i="2"/>
  <c r="G853" i="2"/>
  <c r="G854" i="2"/>
  <c r="G855" i="2"/>
  <c r="G856" i="2"/>
  <c r="G858" i="2"/>
  <c r="L847" i="2"/>
  <c r="L848" i="2"/>
  <c r="L849" i="2"/>
  <c r="L850" i="2"/>
  <c r="L851" i="2"/>
  <c r="L852" i="2"/>
  <c r="L853" i="2"/>
  <c r="L854" i="2"/>
  <c r="L855" i="2"/>
  <c r="L856" i="2"/>
  <c r="L857" i="2"/>
  <c r="L858" i="2"/>
  <c r="W850" i="2"/>
  <c r="W851" i="2"/>
  <c r="Z851" i="2" s="1"/>
  <c r="W852" i="2"/>
  <c r="Z852" i="2" s="1"/>
  <c r="W853" i="2"/>
  <c r="Z853" i="2" s="1"/>
  <c r="W854" i="2"/>
  <c r="Z854" i="2" s="1"/>
  <c r="W855" i="2"/>
  <c r="W856" i="2"/>
  <c r="W857" i="2"/>
  <c r="Z857" i="2" s="1"/>
  <c r="W858" i="2"/>
  <c r="Z858" i="2" s="1"/>
  <c r="AE847" i="2"/>
  <c r="AE848" i="2"/>
  <c r="AE849" i="2"/>
  <c r="AE850" i="2"/>
  <c r="AE851" i="2"/>
  <c r="AE852" i="2"/>
  <c r="AE853" i="2"/>
  <c r="AE854" i="2"/>
  <c r="AE855" i="2"/>
  <c r="AE856" i="2"/>
  <c r="AE857" i="2"/>
  <c r="AE858" i="2"/>
  <c r="AG847" i="2"/>
  <c r="AG848" i="2"/>
  <c r="AG849" i="2"/>
  <c r="AG850" i="2"/>
  <c r="AG851" i="2"/>
  <c r="AG852" i="2"/>
  <c r="AG853" i="2"/>
  <c r="AG854" i="2"/>
  <c r="AG855" i="2"/>
  <c r="AG856" i="2"/>
  <c r="AG857" i="2"/>
  <c r="AG858"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11" i="2"/>
  <c r="Z855" i="2" l="1"/>
  <c r="Z850" i="2"/>
  <c r="Z856" i="2"/>
  <c r="AG811" i="2" l="1"/>
  <c r="AG812" i="2"/>
  <c r="AG813" i="2"/>
  <c r="AG814" i="2"/>
  <c r="AG815" i="2"/>
  <c r="AG816" i="2"/>
  <c r="AG817" i="2"/>
  <c r="AG818" i="2"/>
  <c r="AG819" i="2"/>
  <c r="AG820" i="2"/>
  <c r="AG821" i="2"/>
  <c r="AG822" i="2"/>
  <c r="AG823" i="2"/>
  <c r="AG824" i="2"/>
  <c r="AG825" i="2"/>
  <c r="AG826" i="2"/>
  <c r="AG827" i="2"/>
  <c r="AG828" i="2"/>
  <c r="AG829" i="2"/>
  <c r="AG830" i="2"/>
  <c r="AG831" i="2"/>
  <c r="AG832" i="2"/>
  <c r="AG833" i="2"/>
  <c r="AG834" i="2"/>
  <c r="AG835" i="2"/>
  <c r="AG836" i="2"/>
  <c r="AG837" i="2"/>
  <c r="AG838" i="2"/>
  <c r="AG839" i="2"/>
  <c r="AG840" i="2"/>
  <c r="AG841" i="2"/>
  <c r="AG842" i="2"/>
  <c r="AG843" i="2"/>
  <c r="AG844" i="2"/>
  <c r="AG845"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D811" i="2" l="1" a="1"/>
  <c r="D811" i="2" s="1"/>
  <c r="D812" i="2" a="1"/>
  <c r="D812" i="2" s="1"/>
  <c r="D813" i="2" a="1"/>
  <c r="D813" i="2" s="1"/>
  <c r="D814" i="2" a="1"/>
  <c r="D814" i="2" s="1"/>
  <c r="D815" i="2" a="1"/>
  <c r="D815" i="2" s="1"/>
  <c r="D816" i="2" a="1"/>
  <c r="D816" i="2" s="1"/>
  <c r="D817" i="2" a="1"/>
  <c r="D817" i="2" s="1"/>
  <c r="D818" i="2" a="1"/>
  <c r="D818" i="2" s="1"/>
  <c r="D819" i="2" a="1"/>
  <c r="D819" i="2" s="1"/>
  <c r="D820" i="2" a="1"/>
  <c r="D820" i="2" s="1"/>
  <c r="D821" i="2" a="1"/>
  <c r="D821" i="2" s="1"/>
  <c r="D822" i="2" a="1"/>
  <c r="D822" i="2" s="1"/>
  <c r="D823" i="2" a="1"/>
  <c r="D823" i="2" s="1"/>
  <c r="D824" i="2" a="1"/>
  <c r="D824" i="2" s="1"/>
  <c r="D825" i="2" a="1"/>
  <c r="D825" i="2" s="1"/>
  <c r="D826" i="2" a="1"/>
  <c r="D826" i="2" s="1"/>
  <c r="D827" i="2" a="1"/>
  <c r="D827" i="2" s="1"/>
  <c r="D828" i="2" a="1"/>
  <c r="D828" i="2" s="1"/>
  <c r="D829" i="2" a="1"/>
  <c r="D829" i="2" s="1"/>
  <c r="D830" i="2" a="1"/>
  <c r="D830" i="2" s="1"/>
  <c r="D831" i="2" a="1"/>
  <c r="D831" i="2" s="1"/>
  <c r="D832" i="2" a="1"/>
  <c r="D832" i="2" s="1"/>
  <c r="D833" i="2" a="1"/>
  <c r="D833" i="2" s="1"/>
  <c r="D834" i="2" a="1"/>
  <c r="D834" i="2" s="1"/>
  <c r="D835" i="2" a="1"/>
  <c r="D835" i="2" s="1"/>
  <c r="D836" i="2" a="1"/>
  <c r="D836" i="2" s="1"/>
  <c r="D837" i="2" a="1"/>
  <c r="D837" i="2" s="1"/>
  <c r="D838" i="2" a="1"/>
  <c r="D838" i="2" s="1"/>
  <c r="D839" i="2" a="1"/>
  <c r="D839" i="2" s="1"/>
  <c r="D840" i="2" a="1"/>
  <c r="D840" i="2" s="1"/>
  <c r="D841" i="2" a="1"/>
  <c r="D841" i="2" s="1"/>
  <c r="D842" i="2" a="1"/>
  <c r="D842" i="2" s="1"/>
  <c r="D843" i="2" a="1"/>
  <c r="D843" i="2" s="1"/>
  <c r="D844" i="2" a="1"/>
  <c r="D844" i="2" s="1"/>
  <c r="D845" i="2" a="1"/>
  <c r="D845" i="2" s="1"/>
  <c r="D846" i="2" a="1"/>
  <c r="D846" i="2" s="1"/>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W811" i="2"/>
  <c r="W812" i="2"/>
  <c r="W813" i="2"/>
  <c r="W814" i="2"/>
  <c r="Z814" i="2" s="1"/>
  <c r="W815" i="2"/>
  <c r="Z815" i="2" s="1"/>
  <c r="W816" i="2"/>
  <c r="W817" i="2"/>
  <c r="Z817" i="2" s="1"/>
  <c r="W818" i="2"/>
  <c r="W819" i="2"/>
  <c r="Z819" i="2" s="1"/>
  <c r="W820" i="2"/>
  <c r="Z820" i="2" s="1"/>
  <c r="W821" i="2"/>
  <c r="Z821" i="2" s="1"/>
  <c r="W822" i="2"/>
  <c r="Z822" i="2" s="1"/>
  <c r="W823" i="2"/>
  <c r="Z823" i="2" s="1"/>
  <c r="W824" i="2"/>
  <c r="W825" i="2"/>
  <c r="Z825" i="2" s="1"/>
  <c r="W826" i="2"/>
  <c r="Z826" i="2" s="1"/>
  <c r="W827" i="2"/>
  <c r="Z827" i="2" s="1"/>
  <c r="W828" i="2"/>
  <c r="Z828" i="2" s="1"/>
  <c r="W829" i="2"/>
  <c r="Z829" i="2" s="1"/>
  <c r="W830" i="2"/>
  <c r="W831" i="2"/>
  <c r="Z831" i="2" s="1"/>
  <c r="W832" i="2"/>
  <c r="Z832" i="2" s="1"/>
  <c r="W833" i="2"/>
  <c r="Z833" i="2" s="1"/>
  <c r="W834" i="2"/>
  <c r="Z834" i="2" s="1"/>
  <c r="W835" i="2"/>
  <c r="Z835" i="2" s="1"/>
  <c r="W836" i="2"/>
  <c r="Z836" i="2" s="1"/>
  <c r="W837" i="2"/>
  <c r="Z837" i="2" s="1"/>
  <c r="W838" i="2"/>
  <c r="Z838" i="2" s="1"/>
  <c r="W839" i="2"/>
  <c r="Z839" i="2" s="1"/>
  <c r="W840" i="2"/>
  <c r="Z840" i="2" s="1"/>
  <c r="W841" i="2"/>
  <c r="W842" i="2"/>
  <c r="Z842" i="2" s="1"/>
  <c r="W843" i="2"/>
  <c r="Z843" i="2" s="1"/>
  <c r="W844" i="2"/>
  <c r="Z844" i="2" s="1"/>
  <c r="W845" i="2"/>
  <c r="Z845" i="2" s="1"/>
  <c r="W846" i="2"/>
  <c r="Z846" i="2" s="1"/>
  <c r="Z811" i="2"/>
  <c r="Z812" i="2"/>
  <c r="Z813" i="2"/>
  <c r="Z816" i="2"/>
  <c r="Z818" i="2"/>
  <c r="Z824" i="2"/>
  <c r="Z830" i="2"/>
  <c r="Z841" i="2"/>
  <c r="AC811" i="2"/>
  <c r="AC812" i="2"/>
  <c r="AC813" i="2"/>
  <c r="AC814" i="2"/>
  <c r="AC815" i="2"/>
  <c r="AC816" i="2"/>
  <c r="AC817" i="2"/>
  <c r="AC818" i="2"/>
  <c r="AC819" i="2"/>
  <c r="AC820" i="2"/>
  <c r="AC821" i="2"/>
  <c r="AC822" i="2"/>
  <c r="AC823" i="2"/>
  <c r="AC824" i="2"/>
  <c r="AC825" i="2"/>
  <c r="AC826" i="2"/>
  <c r="AC827" i="2"/>
  <c r="AC828" i="2"/>
  <c r="AC829" i="2"/>
  <c r="AC830" i="2"/>
  <c r="AC831" i="2"/>
  <c r="AC832" i="2"/>
  <c r="AC833" i="2"/>
  <c r="AC834" i="2"/>
  <c r="AC835" i="2"/>
  <c r="AC836" i="2"/>
  <c r="AC837" i="2"/>
  <c r="AC838" i="2"/>
  <c r="AC839" i="2"/>
  <c r="AC840" i="2"/>
  <c r="AC841" i="2"/>
  <c r="AC842" i="2"/>
  <c r="AC843" i="2"/>
  <c r="AC844" i="2"/>
  <c r="AC845" i="2"/>
  <c r="AE811" i="2"/>
  <c r="AE812" i="2"/>
  <c r="AE813" i="2"/>
  <c r="AE814" i="2"/>
  <c r="AE815" i="2"/>
  <c r="AE816" i="2"/>
  <c r="AE817" i="2"/>
  <c r="AE818" i="2"/>
  <c r="AE819" i="2"/>
  <c r="AE820" i="2"/>
  <c r="AE821" i="2"/>
  <c r="AE822" i="2"/>
  <c r="AE823" i="2"/>
  <c r="AE824" i="2"/>
  <c r="AE825" i="2"/>
  <c r="AE826" i="2"/>
  <c r="AE827" i="2"/>
  <c r="AE828" i="2"/>
  <c r="AE829" i="2"/>
  <c r="AE830" i="2"/>
  <c r="AE831" i="2"/>
  <c r="AE832" i="2"/>
  <c r="AE833" i="2"/>
  <c r="AE834" i="2"/>
  <c r="AE835" i="2"/>
  <c r="AE836" i="2"/>
  <c r="AE837" i="2"/>
  <c r="AE838" i="2"/>
  <c r="AE839" i="2"/>
  <c r="AE840" i="2"/>
  <c r="AE841" i="2"/>
  <c r="AE842" i="2"/>
  <c r="AE843" i="2"/>
  <c r="AE844" i="2"/>
  <c r="AE845" i="2"/>
  <c r="P766" i="2" l="1"/>
  <c r="P767" i="2" s="1"/>
  <c r="P768" i="2" s="1"/>
  <c r="P769" i="2" s="1"/>
  <c r="P770" i="2" s="1"/>
  <c r="P771" i="2" s="1"/>
  <c r="P761" i="2"/>
  <c r="D613" i="2" a="1"/>
  <c r="D613" i="2" s="1"/>
  <c r="D614" i="2" a="1"/>
  <c r="D614" i="2" s="1"/>
  <c r="D615" i="2" a="1"/>
  <c r="D615" i="2" s="1"/>
  <c r="D616" i="2" a="1"/>
  <c r="D616" i="2" s="1"/>
  <c r="D617" i="2" a="1"/>
  <c r="D617" i="2" s="1"/>
  <c r="D618" i="2" a="1"/>
  <c r="D618" i="2" s="1"/>
  <c r="D619" i="2" a="1"/>
  <c r="D619" i="2" s="1"/>
  <c r="D620" i="2" a="1"/>
  <c r="D620" i="2" s="1"/>
  <c r="D621" i="2" a="1"/>
  <c r="D621" i="2" s="1"/>
  <c r="D622" i="2" a="1"/>
  <c r="D622" i="2" s="1"/>
  <c r="D623" i="2" a="1"/>
  <c r="D623" i="2" s="1"/>
  <c r="D624" i="2" a="1"/>
  <c r="D624" i="2" s="1"/>
  <c r="D625" i="2" a="1"/>
  <c r="D625" i="2" s="1"/>
  <c r="D626" i="2" a="1"/>
  <c r="D626" i="2" s="1"/>
  <c r="D627" i="2" a="1"/>
  <c r="D627" i="2" s="1"/>
  <c r="D628" i="2" a="1"/>
  <c r="D628" i="2" s="1"/>
  <c r="D629" i="2" a="1"/>
  <c r="D629" i="2" s="1"/>
  <c r="D630" i="2" a="1"/>
  <c r="D630" i="2" s="1"/>
  <c r="D631" i="2" a="1"/>
  <c r="D631" i="2" s="1"/>
  <c r="D632" i="2" a="1"/>
  <c r="D632" i="2" s="1"/>
  <c r="D633" i="2" a="1"/>
  <c r="D633" i="2" s="1"/>
  <c r="D634" i="2" a="1"/>
  <c r="D634" i="2" s="1"/>
  <c r="D635" i="2" a="1"/>
  <c r="D635" i="2" s="1"/>
  <c r="D636" i="2" a="1"/>
  <c r="D636" i="2" s="1"/>
  <c r="D637" i="2" a="1"/>
  <c r="D637" i="2" s="1"/>
  <c r="D638" i="2" a="1"/>
  <c r="D638" i="2" s="1"/>
  <c r="D639" i="2" a="1"/>
  <c r="D639" i="2" s="1"/>
  <c r="D640" i="2" a="1"/>
  <c r="D640" i="2" s="1"/>
  <c r="D641" i="2" a="1"/>
  <c r="D641" i="2" s="1"/>
  <c r="D642" i="2" a="1"/>
  <c r="D642" i="2" s="1"/>
  <c r="D643" i="2" a="1"/>
  <c r="D643" i="2" s="1"/>
  <c r="D644" i="2" a="1"/>
  <c r="D644" i="2" s="1"/>
  <c r="D645" i="2" a="1"/>
  <c r="D645" i="2" s="1"/>
  <c r="D646" i="2" a="1"/>
  <c r="D646" i="2" s="1"/>
  <c r="D647" i="2" a="1"/>
  <c r="D647" i="2" s="1"/>
  <c r="D648" i="2" a="1"/>
  <c r="D648" i="2" s="1"/>
  <c r="D649" i="2" a="1"/>
  <c r="D649" i="2" s="1"/>
  <c r="D650" i="2" a="1"/>
  <c r="D650" i="2" s="1"/>
  <c r="D651" i="2" a="1"/>
  <c r="D651" i="2" s="1"/>
  <c r="D652" i="2" a="1"/>
  <c r="D652" i="2" s="1"/>
  <c r="D653" i="2" a="1"/>
  <c r="D653" i="2" s="1"/>
  <c r="D654" i="2" a="1"/>
  <c r="D654" i="2" s="1"/>
  <c r="D655" i="2" a="1"/>
  <c r="D655" i="2" s="1"/>
  <c r="D656" i="2" a="1"/>
  <c r="D656" i="2" s="1"/>
  <c r="D657" i="2" a="1"/>
  <c r="D657" i="2" s="1"/>
  <c r="D658" i="2" a="1"/>
  <c r="D658" i="2" s="1"/>
  <c r="D659" i="2" a="1"/>
  <c r="D659" i="2" s="1"/>
  <c r="D660" i="2" a="1"/>
  <c r="D660" i="2" s="1"/>
  <c r="D661" i="2" a="1"/>
  <c r="D661" i="2" s="1"/>
  <c r="D662" i="2" a="1"/>
  <c r="D662" i="2" s="1"/>
  <c r="D663" i="2" a="1"/>
  <c r="D663" i="2" s="1"/>
  <c r="D664" i="2" a="1"/>
  <c r="D664" i="2" s="1"/>
  <c r="D665" i="2" a="1"/>
  <c r="D665" i="2" s="1"/>
  <c r="D666" i="2" a="1"/>
  <c r="D666" i="2" s="1"/>
  <c r="D667" i="2" a="1"/>
  <c r="D667" i="2" s="1"/>
  <c r="D668" i="2" a="1"/>
  <c r="D668" i="2" s="1"/>
  <c r="D669" i="2" a="1"/>
  <c r="D669" i="2" s="1"/>
  <c r="D670" i="2" a="1"/>
  <c r="D670" i="2" s="1"/>
  <c r="D671" i="2" a="1"/>
  <c r="D671" i="2" s="1"/>
  <c r="D672" i="2" a="1"/>
  <c r="D672" i="2" s="1"/>
  <c r="D673" i="2" a="1"/>
  <c r="D673" i="2" s="1"/>
  <c r="D674" i="2" a="1"/>
  <c r="D674" i="2" s="1"/>
  <c r="D675" i="2" a="1"/>
  <c r="D675" i="2" s="1"/>
  <c r="D676" i="2" a="1"/>
  <c r="D676" i="2" s="1"/>
  <c r="D677" i="2" a="1"/>
  <c r="D677" i="2" s="1"/>
  <c r="D678" i="2" a="1"/>
  <c r="D678" i="2" s="1"/>
  <c r="D679" i="2" a="1"/>
  <c r="D679" i="2" s="1"/>
  <c r="D680" i="2" a="1"/>
  <c r="D680" i="2" s="1"/>
  <c r="D681" i="2" a="1"/>
  <c r="D681" i="2" s="1"/>
  <c r="D682" i="2" a="1"/>
  <c r="D682" i="2" s="1"/>
  <c r="D683" i="2" a="1"/>
  <c r="D683" i="2" s="1"/>
  <c r="D684" i="2" a="1"/>
  <c r="D684" i="2" s="1"/>
  <c r="D685" i="2" a="1"/>
  <c r="D685" i="2" s="1"/>
  <c r="D686" i="2" a="1"/>
  <c r="D686" i="2" s="1"/>
  <c r="D687" i="2" a="1"/>
  <c r="D687" i="2" s="1"/>
  <c r="D688" i="2" a="1"/>
  <c r="D688" i="2" s="1"/>
  <c r="D689" i="2" a="1"/>
  <c r="D689" i="2" s="1"/>
  <c r="D690" i="2" a="1"/>
  <c r="D690" i="2" s="1"/>
  <c r="D691" i="2" a="1"/>
  <c r="D691" i="2" s="1"/>
  <c r="D692" i="2" a="1"/>
  <c r="D692" i="2" s="1"/>
  <c r="D693" i="2" a="1"/>
  <c r="D693" i="2" s="1"/>
  <c r="D694" i="2" a="1"/>
  <c r="D694" i="2" s="1"/>
  <c r="D695" i="2" a="1"/>
  <c r="D695" i="2" s="1"/>
  <c r="D696" i="2" a="1"/>
  <c r="D696" i="2" s="1"/>
  <c r="D697" i="2" a="1"/>
  <c r="D697" i="2" s="1"/>
  <c r="D698" i="2" a="1"/>
  <c r="D698" i="2" s="1"/>
  <c r="D699" i="2" a="1"/>
  <c r="D699" i="2" s="1"/>
  <c r="D700" i="2" a="1"/>
  <c r="D700" i="2" s="1"/>
  <c r="D701" i="2" a="1"/>
  <c r="D701" i="2" s="1"/>
  <c r="D702" i="2" a="1"/>
  <c r="D702" i="2" s="1"/>
  <c r="D703" i="2" a="1"/>
  <c r="D703" i="2" s="1"/>
  <c r="D704" i="2" a="1"/>
  <c r="D704" i="2" s="1"/>
  <c r="D705" i="2" a="1"/>
  <c r="D705" i="2" s="1"/>
  <c r="D706" i="2" a="1"/>
  <c r="D706" i="2" s="1"/>
  <c r="D707" i="2" a="1"/>
  <c r="D707" i="2" s="1"/>
  <c r="D708" i="2" a="1"/>
  <c r="D708" i="2" s="1"/>
  <c r="D709" i="2" a="1"/>
  <c r="D709" i="2" s="1"/>
  <c r="D710" i="2" a="1"/>
  <c r="D710" i="2" s="1"/>
  <c r="D711" i="2" a="1"/>
  <c r="D711" i="2" s="1"/>
  <c r="D712" i="2" a="1"/>
  <c r="D712" i="2" s="1"/>
  <c r="D713" i="2" a="1"/>
  <c r="D713" i="2" s="1"/>
  <c r="D714" i="2" a="1"/>
  <c r="D714" i="2" s="1"/>
  <c r="D715" i="2" a="1"/>
  <c r="D715" i="2" s="1"/>
  <c r="D716" i="2" a="1"/>
  <c r="D716" i="2" s="1"/>
  <c r="D717" i="2" a="1"/>
  <c r="D717" i="2" s="1"/>
  <c r="D718" i="2" a="1"/>
  <c r="D718" i="2" s="1"/>
  <c r="D719" i="2" a="1"/>
  <c r="D719" i="2" s="1"/>
  <c r="D720" i="2" a="1"/>
  <c r="D720" i="2" s="1"/>
  <c r="D721" i="2" a="1"/>
  <c r="D721" i="2" s="1"/>
  <c r="D722" i="2" a="1"/>
  <c r="D722" i="2" s="1"/>
  <c r="D723" i="2" a="1"/>
  <c r="D723" i="2" s="1"/>
  <c r="D724" i="2" a="1"/>
  <c r="D724" i="2" s="1"/>
  <c r="D725" i="2" a="1"/>
  <c r="D725" i="2" s="1"/>
  <c r="D726" i="2" a="1"/>
  <c r="D726" i="2" s="1"/>
  <c r="D727" i="2" a="1"/>
  <c r="D727" i="2" s="1"/>
  <c r="D728" i="2" a="1"/>
  <c r="D728" i="2" s="1"/>
  <c r="D729" i="2" a="1"/>
  <c r="D729" i="2" s="1"/>
  <c r="D730" i="2" a="1"/>
  <c r="D730" i="2" s="1"/>
  <c r="D731" i="2" a="1"/>
  <c r="D731" i="2" s="1"/>
  <c r="D732" i="2" a="1"/>
  <c r="D732" i="2" s="1"/>
  <c r="D733" i="2" a="1"/>
  <c r="D733" i="2" s="1"/>
  <c r="D734" i="2" a="1"/>
  <c r="D734" i="2" s="1"/>
  <c r="D735" i="2" a="1"/>
  <c r="D735" i="2" s="1"/>
  <c r="D736" i="2" a="1"/>
  <c r="D736" i="2" s="1"/>
  <c r="D737" i="2" a="1"/>
  <c r="D737" i="2" s="1"/>
  <c r="D738" i="2" a="1"/>
  <c r="D738" i="2" s="1"/>
  <c r="D739" i="2" a="1"/>
  <c r="D739" i="2" s="1"/>
  <c r="D740" i="2" a="1"/>
  <c r="D740" i="2" s="1"/>
  <c r="D741" i="2" a="1"/>
  <c r="D741" i="2" s="1"/>
  <c r="D742" i="2" a="1"/>
  <c r="D742" i="2" s="1"/>
  <c r="D743" i="2" a="1"/>
  <c r="D743" i="2" s="1"/>
  <c r="D744" i="2" a="1"/>
  <c r="D744" i="2" s="1"/>
  <c r="D745" i="2" a="1"/>
  <c r="D745" i="2" s="1"/>
  <c r="D746" i="2" a="1"/>
  <c r="D746" i="2" s="1"/>
  <c r="D747" i="2" a="1"/>
  <c r="D747" i="2" s="1"/>
  <c r="D748" i="2" a="1"/>
  <c r="D748" i="2" s="1"/>
  <c r="D749" i="2" a="1"/>
  <c r="D749" i="2" s="1"/>
  <c r="D750" i="2" a="1"/>
  <c r="D750" i="2" s="1"/>
  <c r="D751" i="2" a="1"/>
  <c r="D751" i="2" s="1"/>
  <c r="D752" i="2" a="1"/>
  <c r="D752" i="2" s="1"/>
  <c r="D753" i="2" a="1"/>
  <c r="D753" i="2" s="1"/>
  <c r="D754" i="2" a="1"/>
  <c r="D754" i="2" s="1"/>
  <c r="D755" i="2" a="1"/>
  <c r="D755" i="2" s="1"/>
  <c r="D756" i="2" a="1"/>
  <c r="D756" i="2" s="1"/>
  <c r="D757" i="2" a="1"/>
  <c r="D757" i="2" s="1"/>
  <c r="D758" i="2" a="1"/>
  <c r="D758" i="2" s="1"/>
  <c r="D759" i="2" a="1"/>
  <c r="D759" i="2" s="1"/>
  <c r="D760" i="2" a="1"/>
  <c r="D760" i="2" s="1"/>
  <c r="D761" i="2" a="1"/>
  <c r="D761" i="2" s="1"/>
  <c r="D762" i="2" a="1"/>
  <c r="D762" i="2" s="1"/>
  <c r="D763" i="2" a="1"/>
  <c r="D763" i="2" s="1"/>
  <c r="D764" i="2" a="1"/>
  <c r="D764" i="2" s="1"/>
  <c r="D765" i="2" a="1"/>
  <c r="D765" i="2" s="1"/>
  <c r="D766" i="2" a="1"/>
  <c r="D766" i="2" s="1"/>
  <c r="D767" i="2" a="1"/>
  <c r="D767" i="2" s="1"/>
  <c r="D768" i="2" a="1"/>
  <c r="D768" i="2" s="1"/>
  <c r="D769" i="2" a="1"/>
  <c r="D769" i="2" s="1"/>
  <c r="D770" i="2" a="1"/>
  <c r="D770" i="2" s="1"/>
  <c r="D771" i="2" a="1"/>
  <c r="D771" i="2" s="1"/>
  <c r="D772" i="2" a="1"/>
  <c r="D772" i="2" s="1"/>
  <c r="D773" i="2" a="1"/>
  <c r="D773" i="2" s="1"/>
  <c r="D774" i="2" a="1"/>
  <c r="D774" i="2" s="1"/>
  <c r="D775" i="2" a="1"/>
  <c r="D775" i="2" s="1"/>
  <c r="D776" i="2" a="1"/>
  <c r="D776" i="2" s="1"/>
  <c r="D777" i="2" a="1"/>
  <c r="D777" i="2" s="1"/>
  <c r="D778" i="2" a="1"/>
  <c r="D778" i="2" s="1"/>
  <c r="D779" i="2" a="1"/>
  <c r="D779" i="2" s="1"/>
  <c r="D780" i="2" a="1"/>
  <c r="D780" i="2" s="1"/>
  <c r="D781" i="2" a="1"/>
  <c r="D781" i="2" s="1"/>
  <c r="D782" i="2" a="1"/>
  <c r="D782" i="2" s="1"/>
  <c r="D783" i="2" a="1"/>
  <c r="D783" i="2" s="1"/>
  <c r="D784" i="2" a="1"/>
  <c r="D784" i="2" s="1"/>
  <c r="D785" i="2" a="1"/>
  <c r="D785" i="2" s="1"/>
  <c r="D786" i="2" a="1"/>
  <c r="D786" i="2" s="1"/>
  <c r="D787" i="2" a="1"/>
  <c r="D787" i="2" s="1"/>
  <c r="D788" i="2" a="1"/>
  <c r="D788" i="2" s="1"/>
  <c r="D789" i="2" a="1"/>
  <c r="D789" i="2" s="1"/>
  <c r="D790" i="2" a="1"/>
  <c r="D790" i="2" s="1"/>
  <c r="D791" i="2" a="1"/>
  <c r="D791" i="2" s="1"/>
  <c r="D792" i="2" a="1"/>
  <c r="D792" i="2" s="1"/>
  <c r="D793" i="2" a="1"/>
  <c r="D793" i="2" s="1"/>
  <c r="D794" i="2" a="1"/>
  <c r="D794" i="2" s="1"/>
  <c r="D795" i="2" a="1"/>
  <c r="D795" i="2" s="1"/>
  <c r="D796" i="2" a="1"/>
  <c r="D796" i="2" s="1"/>
  <c r="D797" i="2" a="1"/>
  <c r="D797" i="2" s="1"/>
  <c r="D798" i="2" a="1"/>
  <c r="D798" i="2" s="1"/>
  <c r="D799" i="2" a="1"/>
  <c r="D799" i="2" s="1"/>
  <c r="D800" i="2" a="1"/>
  <c r="D800" i="2" s="1"/>
  <c r="D801" i="2" a="1"/>
  <c r="D801" i="2" s="1"/>
  <c r="D802" i="2" a="1"/>
  <c r="D802" i="2" s="1"/>
  <c r="D803" i="2" a="1"/>
  <c r="D803" i="2" s="1"/>
  <c r="D804" i="2" a="1"/>
  <c r="D804" i="2" s="1"/>
  <c r="D805" i="2" a="1"/>
  <c r="D805" i="2" s="1"/>
  <c r="D806" i="2" a="1"/>
  <c r="D806" i="2" s="1"/>
  <c r="D807" i="2" a="1"/>
  <c r="D807" i="2" s="1"/>
  <c r="D808" i="2" a="1"/>
  <c r="D808" i="2" s="1"/>
  <c r="D809" i="2" a="1"/>
  <c r="D809" i="2" s="1"/>
  <c r="D810" i="2" a="1"/>
  <c r="D810" i="2" s="1"/>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W613" i="2"/>
  <c r="Z613" i="2" s="1"/>
  <c r="W614" i="2"/>
  <c r="Z614" i="2" s="1"/>
  <c r="W615" i="2"/>
  <c r="Z615" i="2" s="1"/>
  <c r="W616" i="2"/>
  <c r="Z616" i="2" s="1"/>
  <c r="W617" i="2"/>
  <c r="Z617" i="2" s="1"/>
  <c r="W618" i="2"/>
  <c r="Z618" i="2" s="1"/>
  <c r="W619" i="2"/>
  <c r="Z619" i="2" s="1"/>
  <c r="W620" i="2"/>
  <c r="Z620" i="2" s="1"/>
  <c r="W621" i="2"/>
  <c r="Z621" i="2" s="1"/>
  <c r="W622" i="2"/>
  <c r="Z622" i="2" s="1"/>
  <c r="W623" i="2"/>
  <c r="Z623" i="2" s="1"/>
  <c r="W624" i="2"/>
  <c r="Z624" i="2" s="1"/>
  <c r="W625" i="2"/>
  <c r="Z625" i="2" s="1"/>
  <c r="W626" i="2"/>
  <c r="Z626" i="2" s="1"/>
  <c r="W627" i="2"/>
  <c r="Z627" i="2" s="1"/>
  <c r="W628" i="2"/>
  <c r="Z628" i="2" s="1"/>
  <c r="W629" i="2"/>
  <c r="Z629" i="2" s="1"/>
  <c r="W630" i="2"/>
  <c r="Z630" i="2" s="1"/>
  <c r="W631" i="2"/>
  <c r="Z631" i="2" s="1"/>
  <c r="W632" i="2"/>
  <c r="Z632" i="2" s="1"/>
  <c r="W633" i="2"/>
  <c r="Z633" i="2" s="1"/>
  <c r="W634" i="2"/>
  <c r="Z634" i="2" s="1"/>
  <c r="W635" i="2"/>
  <c r="Z635" i="2" s="1"/>
  <c r="W636" i="2"/>
  <c r="Z636" i="2" s="1"/>
  <c r="W637" i="2"/>
  <c r="Z637" i="2" s="1"/>
  <c r="W638" i="2"/>
  <c r="Z638" i="2" s="1"/>
  <c r="W639" i="2"/>
  <c r="Z639" i="2" s="1"/>
  <c r="W640" i="2"/>
  <c r="Z640" i="2" s="1"/>
  <c r="W641" i="2"/>
  <c r="Z641" i="2" s="1"/>
  <c r="W642" i="2"/>
  <c r="Z642" i="2" s="1"/>
  <c r="W643" i="2"/>
  <c r="Z643" i="2" s="1"/>
  <c r="W644" i="2"/>
  <c r="Z644" i="2" s="1"/>
  <c r="W645" i="2"/>
  <c r="Z645" i="2" s="1"/>
  <c r="W646" i="2"/>
  <c r="Z646" i="2" s="1"/>
  <c r="W647" i="2"/>
  <c r="Z647" i="2" s="1"/>
  <c r="W648" i="2"/>
  <c r="Z648" i="2" s="1"/>
  <c r="W649" i="2"/>
  <c r="Z649" i="2" s="1"/>
  <c r="W650" i="2"/>
  <c r="Z650" i="2" s="1"/>
  <c r="W651" i="2"/>
  <c r="Z651" i="2" s="1"/>
  <c r="W652" i="2"/>
  <c r="Z652" i="2" s="1"/>
  <c r="W653" i="2"/>
  <c r="Z653" i="2" s="1"/>
  <c r="W654" i="2"/>
  <c r="Z654" i="2" s="1"/>
  <c r="W655" i="2"/>
  <c r="Z655" i="2" s="1"/>
  <c r="W656" i="2"/>
  <c r="Z656" i="2" s="1"/>
  <c r="W657" i="2"/>
  <c r="Z657" i="2" s="1"/>
  <c r="W658" i="2"/>
  <c r="Z658" i="2" s="1"/>
  <c r="W659" i="2"/>
  <c r="Z659" i="2" s="1"/>
  <c r="W660" i="2"/>
  <c r="Z660" i="2" s="1"/>
  <c r="W661" i="2"/>
  <c r="Z661" i="2" s="1"/>
  <c r="W662" i="2"/>
  <c r="Z662" i="2" s="1"/>
  <c r="W663" i="2"/>
  <c r="Z663" i="2" s="1"/>
  <c r="W664" i="2"/>
  <c r="Z664" i="2" s="1"/>
  <c r="W665" i="2"/>
  <c r="Z665" i="2" s="1"/>
  <c r="W666" i="2"/>
  <c r="Z666" i="2" s="1"/>
  <c r="W667" i="2"/>
  <c r="Z667" i="2" s="1"/>
  <c r="W668" i="2"/>
  <c r="Z668" i="2" s="1"/>
  <c r="W669" i="2"/>
  <c r="Z669" i="2" s="1"/>
  <c r="W670" i="2"/>
  <c r="Z670" i="2" s="1"/>
  <c r="W671" i="2"/>
  <c r="Z671" i="2" s="1"/>
  <c r="W672" i="2"/>
  <c r="Z672" i="2" s="1"/>
  <c r="W673" i="2"/>
  <c r="Z673" i="2" s="1"/>
  <c r="W674" i="2"/>
  <c r="Z674" i="2" s="1"/>
  <c r="W675" i="2"/>
  <c r="Z675" i="2" s="1"/>
  <c r="W676" i="2"/>
  <c r="Z676" i="2" s="1"/>
  <c r="W677" i="2"/>
  <c r="Z677" i="2" s="1"/>
  <c r="W678" i="2"/>
  <c r="Z678" i="2" s="1"/>
  <c r="W679" i="2"/>
  <c r="Z679" i="2" s="1"/>
  <c r="W680" i="2"/>
  <c r="Z680" i="2" s="1"/>
  <c r="W681" i="2"/>
  <c r="Z681" i="2" s="1"/>
  <c r="W682" i="2"/>
  <c r="Z682" i="2" s="1"/>
  <c r="W683" i="2"/>
  <c r="Z683" i="2" s="1"/>
  <c r="W684" i="2"/>
  <c r="Z684" i="2" s="1"/>
  <c r="W685" i="2"/>
  <c r="Z685" i="2" s="1"/>
  <c r="W686" i="2"/>
  <c r="Z686" i="2" s="1"/>
  <c r="W687" i="2"/>
  <c r="Z687" i="2" s="1"/>
  <c r="W688" i="2"/>
  <c r="Z688" i="2" s="1"/>
  <c r="W689" i="2"/>
  <c r="Z689" i="2" s="1"/>
  <c r="W690" i="2"/>
  <c r="Z690" i="2" s="1"/>
  <c r="W691" i="2"/>
  <c r="Z691" i="2" s="1"/>
  <c r="W692" i="2"/>
  <c r="Z692" i="2" s="1"/>
  <c r="W693" i="2"/>
  <c r="Z693" i="2" s="1"/>
  <c r="W694" i="2"/>
  <c r="Z694" i="2" s="1"/>
  <c r="W695" i="2"/>
  <c r="Z695" i="2" s="1"/>
  <c r="W696" i="2"/>
  <c r="Z696" i="2" s="1"/>
  <c r="W697" i="2"/>
  <c r="Z697" i="2" s="1"/>
  <c r="W698" i="2"/>
  <c r="Z698" i="2" s="1"/>
  <c r="W699" i="2"/>
  <c r="Z699" i="2" s="1"/>
  <c r="W700" i="2"/>
  <c r="Z700" i="2" s="1"/>
  <c r="W701" i="2"/>
  <c r="Z701" i="2" s="1"/>
  <c r="W702" i="2"/>
  <c r="Z702" i="2" s="1"/>
  <c r="W703" i="2"/>
  <c r="Z703" i="2" s="1"/>
  <c r="W704" i="2"/>
  <c r="Z704" i="2" s="1"/>
  <c r="W705" i="2"/>
  <c r="Z705" i="2" s="1"/>
  <c r="W706" i="2"/>
  <c r="Z706" i="2" s="1"/>
  <c r="W707" i="2"/>
  <c r="Z707" i="2" s="1"/>
  <c r="W708" i="2"/>
  <c r="Z708" i="2" s="1"/>
  <c r="W709" i="2"/>
  <c r="Z709" i="2" s="1"/>
  <c r="W710" i="2"/>
  <c r="Z710" i="2" s="1"/>
  <c r="W711" i="2"/>
  <c r="Z711" i="2" s="1"/>
  <c r="W712" i="2"/>
  <c r="Z712" i="2" s="1"/>
  <c r="W713" i="2"/>
  <c r="Z713" i="2" s="1"/>
  <c r="W714" i="2"/>
  <c r="Z714" i="2" s="1"/>
  <c r="W715" i="2"/>
  <c r="Z715" i="2" s="1"/>
  <c r="W716" i="2"/>
  <c r="Z716" i="2" s="1"/>
  <c r="W717" i="2"/>
  <c r="Z717" i="2" s="1"/>
  <c r="W718" i="2"/>
  <c r="Z718" i="2" s="1"/>
  <c r="W719" i="2"/>
  <c r="Z719" i="2" s="1"/>
  <c r="W720" i="2"/>
  <c r="Z720" i="2" s="1"/>
  <c r="W721" i="2"/>
  <c r="Z721" i="2" s="1"/>
  <c r="W722" i="2"/>
  <c r="Z722" i="2" s="1"/>
  <c r="W723" i="2"/>
  <c r="Z723" i="2" s="1"/>
  <c r="W724" i="2"/>
  <c r="Z724" i="2" s="1"/>
  <c r="W725" i="2"/>
  <c r="Z725" i="2" s="1"/>
  <c r="W726" i="2"/>
  <c r="Z726" i="2" s="1"/>
  <c r="W727" i="2"/>
  <c r="Z727" i="2" s="1"/>
  <c r="W728" i="2"/>
  <c r="Z728" i="2" s="1"/>
  <c r="W729" i="2"/>
  <c r="Z729" i="2" s="1"/>
  <c r="W730" i="2"/>
  <c r="Z730" i="2" s="1"/>
  <c r="W731" i="2"/>
  <c r="Z731" i="2" s="1"/>
  <c r="W732" i="2"/>
  <c r="Z732" i="2" s="1"/>
  <c r="W733" i="2"/>
  <c r="Z733" i="2" s="1"/>
  <c r="W734" i="2"/>
  <c r="Z734" i="2" s="1"/>
  <c r="W735" i="2"/>
  <c r="Z735" i="2" s="1"/>
  <c r="W736" i="2"/>
  <c r="Z736" i="2" s="1"/>
  <c r="W737" i="2"/>
  <c r="Z737" i="2" s="1"/>
  <c r="W738" i="2"/>
  <c r="Z738" i="2" s="1"/>
  <c r="W739" i="2"/>
  <c r="Z739" i="2" s="1"/>
  <c r="W740" i="2"/>
  <c r="Z740" i="2" s="1"/>
  <c r="W741" i="2"/>
  <c r="Z741" i="2" s="1"/>
  <c r="W742" i="2"/>
  <c r="Z742" i="2" s="1"/>
  <c r="W743" i="2"/>
  <c r="Z743" i="2" s="1"/>
  <c r="W744" i="2"/>
  <c r="Z744" i="2" s="1"/>
  <c r="W745" i="2"/>
  <c r="Z745" i="2" s="1"/>
  <c r="W746" i="2"/>
  <c r="Z746" i="2" s="1"/>
  <c r="W747" i="2"/>
  <c r="Z747" i="2" s="1"/>
  <c r="W748" i="2"/>
  <c r="Z748" i="2" s="1"/>
  <c r="W749" i="2"/>
  <c r="Z749" i="2" s="1"/>
  <c r="W750" i="2"/>
  <c r="Z750" i="2" s="1"/>
  <c r="W751" i="2"/>
  <c r="Z751" i="2" s="1"/>
  <c r="W752" i="2"/>
  <c r="Z752" i="2" s="1"/>
  <c r="W753" i="2"/>
  <c r="Z753" i="2" s="1"/>
  <c r="W754" i="2"/>
  <c r="Z754" i="2" s="1"/>
  <c r="W755" i="2"/>
  <c r="Z755" i="2" s="1"/>
  <c r="W756" i="2"/>
  <c r="Z756" i="2" s="1"/>
  <c r="W757" i="2"/>
  <c r="Z757" i="2" s="1"/>
  <c r="W758" i="2"/>
  <c r="Z758" i="2" s="1"/>
  <c r="W759" i="2"/>
  <c r="Z759" i="2" s="1"/>
  <c r="W760" i="2"/>
  <c r="Z760" i="2" s="1"/>
  <c r="W761" i="2"/>
  <c r="Z761" i="2" s="1"/>
  <c r="W762" i="2"/>
  <c r="Z762" i="2" s="1"/>
  <c r="W763" i="2"/>
  <c r="Z763" i="2" s="1"/>
  <c r="W764" i="2"/>
  <c r="Z764" i="2" s="1"/>
  <c r="W765" i="2"/>
  <c r="Z765" i="2" s="1"/>
  <c r="W766" i="2"/>
  <c r="Z766" i="2" s="1"/>
  <c r="W767" i="2"/>
  <c r="Z767" i="2" s="1"/>
  <c r="W768" i="2"/>
  <c r="Z768" i="2" s="1"/>
  <c r="W769" i="2"/>
  <c r="Z769" i="2" s="1"/>
  <c r="W770" i="2"/>
  <c r="Z770" i="2" s="1"/>
  <c r="W771" i="2"/>
  <c r="Z771" i="2" s="1"/>
  <c r="W772" i="2"/>
  <c r="Z772" i="2" s="1"/>
  <c r="W773" i="2"/>
  <c r="Z773" i="2" s="1"/>
  <c r="W774" i="2"/>
  <c r="Z774" i="2" s="1"/>
  <c r="W775" i="2"/>
  <c r="Z775" i="2" s="1"/>
  <c r="W776" i="2"/>
  <c r="Z776" i="2" s="1"/>
  <c r="W777" i="2"/>
  <c r="Z777" i="2" s="1"/>
  <c r="W778" i="2"/>
  <c r="Z778" i="2" s="1"/>
  <c r="W779" i="2"/>
  <c r="Z779" i="2" s="1"/>
  <c r="W780" i="2"/>
  <c r="Z780" i="2" s="1"/>
  <c r="W781" i="2"/>
  <c r="Z781" i="2" s="1"/>
  <c r="W782" i="2"/>
  <c r="Z782" i="2" s="1"/>
  <c r="W783" i="2"/>
  <c r="Z783" i="2" s="1"/>
  <c r="W784" i="2"/>
  <c r="Z784" i="2" s="1"/>
  <c r="W785" i="2"/>
  <c r="Z785" i="2" s="1"/>
  <c r="W786" i="2"/>
  <c r="Z786" i="2" s="1"/>
  <c r="W787" i="2"/>
  <c r="Z787" i="2" s="1"/>
  <c r="W788" i="2"/>
  <c r="Z788" i="2" s="1"/>
  <c r="W789" i="2"/>
  <c r="Z789" i="2" s="1"/>
  <c r="W790" i="2"/>
  <c r="Z790" i="2" s="1"/>
  <c r="W791" i="2"/>
  <c r="Z791" i="2" s="1"/>
  <c r="W792" i="2"/>
  <c r="Z792" i="2" s="1"/>
  <c r="W793" i="2"/>
  <c r="Z793" i="2" s="1"/>
  <c r="W794" i="2"/>
  <c r="Z794" i="2" s="1"/>
  <c r="W795" i="2"/>
  <c r="Z795" i="2" s="1"/>
  <c r="W796" i="2"/>
  <c r="Z796" i="2" s="1"/>
  <c r="W797" i="2"/>
  <c r="Z797" i="2" s="1"/>
  <c r="W798" i="2"/>
  <c r="Z798" i="2" s="1"/>
  <c r="W799" i="2"/>
  <c r="Z799" i="2" s="1"/>
  <c r="W800" i="2"/>
  <c r="Z800" i="2" s="1"/>
  <c r="W801" i="2"/>
  <c r="Z801" i="2" s="1"/>
  <c r="W802" i="2"/>
  <c r="Z802" i="2" s="1"/>
  <c r="W803" i="2"/>
  <c r="Z803" i="2" s="1"/>
  <c r="W804" i="2"/>
  <c r="Z804" i="2" s="1"/>
  <c r="W805" i="2"/>
  <c r="Z805" i="2" s="1"/>
  <c r="W806" i="2"/>
  <c r="Z806" i="2" s="1"/>
  <c r="W807" i="2"/>
  <c r="Z807" i="2" s="1"/>
  <c r="W808" i="2"/>
  <c r="Z808" i="2" s="1"/>
  <c r="W809" i="2"/>
  <c r="Z809" i="2" s="1"/>
  <c r="W810" i="2"/>
  <c r="Z810" i="2" s="1"/>
  <c r="AC613" i="2"/>
  <c r="AC614" i="2"/>
  <c r="AC615" i="2"/>
  <c r="AC616" i="2"/>
  <c r="AC617" i="2"/>
  <c r="AC618" i="2"/>
  <c r="AC619" i="2"/>
  <c r="AC620" i="2"/>
  <c r="AC621" i="2"/>
  <c r="AC622" i="2"/>
  <c r="AC623" i="2"/>
  <c r="AC624" i="2"/>
  <c r="AC625" i="2"/>
  <c r="AC626" i="2"/>
  <c r="AC627" i="2"/>
  <c r="AC628" i="2"/>
  <c r="AC629" i="2"/>
  <c r="AC630" i="2"/>
  <c r="AC631" i="2"/>
  <c r="AC632" i="2"/>
  <c r="AC633" i="2"/>
  <c r="AC634" i="2"/>
  <c r="AC635" i="2"/>
  <c r="AC636" i="2"/>
  <c r="AC637" i="2"/>
  <c r="AC638" i="2"/>
  <c r="AC639" i="2"/>
  <c r="AC640" i="2"/>
  <c r="AC641" i="2"/>
  <c r="AC642" i="2"/>
  <c r="AC643" i="2"/>
  <c r="AC644" i="2"/>
  <c r="AC645" i="2"/>
  <c r="AC646" i="2"/>
  <c r="AC647" i="2"/>
  <c r="AC648" i="2"/>
  <c r="AC649" i="2"/>
  <c r="AC650" i="2"/>
  <c r="AC651" i="2"/>
  <c r="AC652" i="2"/>
  <c r="AC653" i="2"/>
  <c r="AC654" i="2"/>
  <c r="AC655" i="2"/>
  <c r="AC656" i="2"/>
  <c r="AC657" i="2"/>
  <c r="AC658" i="2"/>
  <c r="AC659" i="2"/>
  <c r="AC660" i="2"/>
  <c r="AC661" i="2"/>
  <c r="AC662" i="2"/>
  <c r="AC663" i="2"/>
  <c r="AC664" i="2"/>
  <c r="AC665" i="2"/>
  <c r="AC666" i="2"/>
  <c r="AC667" i="2"/>
  <c r="AC668" i="2"/>
  <c r="AC669" i="2"/>
  <c r="AC670" i="2"/>
  <c r="AC671" i="2"/>
  <c r="AC672" i="2"/>
  <c r="AC673" i="2"/>
  <c r="AC674" i="2"/>
  <c r="AC675" i="2"/>
  <c r="AC676" i="2"/>
  <c r="AC677" i="2"/>
  <c r="AC678" i="2"/>
  <c r="AC679" i="2"/>
  <c r="AC680" i="2"/>
  <c r="AC681" i="2"/>
  <c r="AC682" i="2"/>
  <c r="AC683" i="2"/>
  <c r="AC684" i="2"/>
  <c r="AC685" i="2"/>
  <c r="AC686" i="2"/>
  <c r="AC687" i="2"/>
  <c r="AC688" i="2"/>
  <c r="AC689" i="2"/>
  <c r="AC690" i="2"/>
  <c r="AC691" i="2"/>
  <c r="AC692" i="2"/>
  <c r="AC693" i="2"/>
  <c r="AC694" i="2"/>
  <c r="AC695" i="2"/>
  <c r="AC696" i="2"/>
  <c r="AC697" i="2"/>
  <c r="AC698" i="2"/>
  <c r="AC699" i="2"/>
  <c r="AC700" i="2"/>
  <c r="AC701" i="2"/>
  <c r="AC702" i="2"/>
  <c r="AC703" i="2"/>
  <c r="AC704" i="2"/>
  <c r="AC705" i="2"/>
  <c r="AC706" i="2"/>
  <c r="AC707" i="2"/>
  <c r="AC708" i="2"/>
  <c r="AC709" i="2"/>
  <c r="AC710" i="2"/>
  <c r="AC711" i="2"/>
  <c r="AC712" i="2"/>
  <c r="AC713" i="2"/>
  <c r="AC714" i="2"/>
  <c r="AC715" i="2"/>
  <c r="AC716" i="2"/>
  <c r="AC717" i="2"/>
  <c r="AC718" i="2"/>
  <c r="AC719" i="2"/>
  <c r="AC720" i="2"/>
  <c r="AC721" i="2"/>
  <c r="AC722" i="2"/>
  <c r="AC723" i="2"/>
  <c r="AC724" i="2"/>
  <c r="AC725" i="2"/>
  <c r="AC726" i="2"/>
  <c r="AC727" i="2"/>
  <c r="AC728" i="2"/>
  <c r="AC729" i="2"/>
  <c r="AC730" i="2"/>
  <c r="AC731" i="2"/>
  <c r="AC732" i="2"/>
  <c r="AC733" i="2"/>
  <c r="AC734" i="2"/>
  <c r="AC735" i="2"/>
  <c r="AC736" i="2"/>
  <c r="AC737" i="2"/>
  <c r="AC738" i="2"/>
  <c r="AC739" i="2"/>
  <c r="AC740" i="2"/>
  <c r="AC741" i="2"/>
  <c r="AC742" i="2"/>
  <c r="AC743" i="2"/>
  <c r="AC744" i="2"/>
  <c r="AC745" i="2"/>
  <c r="AC746" i="2"/>
  <c r="AC747" i="2"/>
  <c r="AC748" i="2"/>
  <c r="AC749" i="2"/>
  <c r="AC750" i="2"/>
  <c r="AC751" i="2"/>
  <c r="AC752" i="2"/>
  <c r="AC753" i="2"/>
  <c r="AC754" i="2"/>
  <c r="AC755" i="2"/>
  <c r="AC756" i="2"/>
  <c r="AC757" i="2"/>
  <c r="AC758" i="2"/>
  <c r="AC759" i="2"/>
  <c r="AC760" i="2"/>
  <c r="AC761" i="2"/>
  <c r="AC762" i="2"/>
  <c r="AC763" i="2"/>
  <c r="AC764" i="2"/>
  <c r="AC765" i="2"/>
  <c r="AC766" i="2"/>
  <c r="AC767" i="2"/>
  <c r="AC768" i="2"/>
  <c r="AC769" i="2"/>
  <c r="AC770" i="2"/>
  <c r="AC771" i="2"/>
  <c r="AC772" i="2"/>
  <c r="AC773" i="2"/>
  <c r="AC774" i="2"/>
  <c r="AC775" i="2"/>
  <c r="AC776" i="2"/>
  <c r="AC777" i="2"/>
  <c r="AC778" i="2"/>
  <c r="AC779" i="2"/>
  <c r="AC780" i="2"/>
  <c r="AC781" i="2"/>
  <c r="AC782" i="2"/>
  <c r="AC783" i="2"/>
  <c r="AC784" i="2"/>
  <c r="AC785" i="2"/>
  <c r="AC786" i="2"/>
  <c r="AC787" i="2"/>
  <c r="AC788" i="2"/>
  <c r="AC789" i="2"/>
  <c r="AC790" i="2"/>
  <c r="AC791" i="2"/>
  <c r="AC792" i="2"/>
  <c r="AC793" i="2"/>
  <c r="AC794" i="2"/>
  <c r="AC795" i="2"/>
  <c r="AC796" i="2"/>
  <c r="AC797" i="2"/>
  <c r="AC798" i="2"/>
  <c r="AC799" i="2"/>
  <c r="AC800" i="2"/>
  <c r="AC801" i="2"/>
  <c r="AC802" i="2"/>
  <c r="AC803" i="2"/>
  <c r="AC804" i="2"/>
  <c r="AC805" i="2"/>
  <c r="AC806" i="2"/>
  <c r="AC807" i="2"/>
  <c r="AC808" i="2"/>
  <c r="AC809" i="2"/>
  <c r="AC810" i="2"/>
  <c r="AE613" i="2"/>
  <c r="AE614" i="2"/>
  <c r="AE615" i="2"/>
  <c r="AE616" i="2"/>
  <c r="AE617" i="2"/>
  <c r="AE618" i="2"/>
  <c r="AE619" i="2"/>
  <c r="AE620" i="2"/>
  <c r="AE621" i="2"/>
  <c r="AE622" i="2"/>
  <c r="AE623" i="2"/>
  <c r="AE624" i="2"/>
  <c r="AE625" i="2"/>
  <c r="AE626" i="2"/>
  <c r="AE627" i="2"/>
  <c r="AE628" i="2"/>
  <c r="AE629" i="2"/>
  <c r="AE630" i="2"/>
  <c r="AE631" i="2"/>
  <c r="AE632" i="2"/>
  <c r="AE633" i="2"/>
  <c r="AE634" i="2"/>
  <c r="AE635" i="2"/>
  <c r="AE636" i="2"/>
  <c r="AE637" i="2"/>
  <c r="AE638" i="2"/>
  <c r="AE639" i="2"/>
  <c r="AE640" i="2"/>
  <c r="AE641" i="2"/>
  <c r="AE642" i="2"/>
  <c r="AE643" i="2"/>
  <c r="AE644" i="2"/>
  <c r="AE645" i="2"/>
  <c r="AE646" i="2"/>
  <c r="AE647" i="2"/>
  <c r="AE648" i="2"/>
  <c r="AE649" i="2"/>
  <c r="AE650" i="2"/>
  <c r="AE651" i="2"/>
  <c r="AE652" i="2"/>
  <c r="AE653" i="2"/>
  <c r="AE654" i="2"/>
  <c r="AE655" i="2"/>
  <c r="AE656" i="2"/>
  <c r="AE657" i="2"/>
  <c r="AE658" i="2"/>
  <c r="AE659" i="2"/>
  <c r="AE660" i="2"/>
  <c r="AE661" i="2"/>
  <c r="AE662" i="2"/>
  <c r="AE663" i="2"/>
  <c r="AE664" i="2"/>
  <c r="AE665" i="2"/>
  <c r="AE666" i="2"/>
  <c r="AE667" i="2"/>
  <c r="AE668" i="2"/>
  <c r="AE669" i="2"/>
  <c r="AE670" i="2"/>
  <c r="AE671" i="2"/>
  <c r="AE672" i="2"/>
  <c r="AE673" i="2"/>
  <c r="AE674" i="2"/>
  <c r="AE675" i="2"/>
  <c r="AE676" i="2"/>
  <c r="AE677" i="2"/>
  <c r="AE678" i="2"/>
  <c r="AE679" i="2"/>
  <c r="AE680" i="2"/>
  <c r="AE681" i="2"/>
  <c r="AE682" i="2"/>
  <c r="AE683" i="2"/>
  <c r="AE684" i="2"/>
  <c r="AE685" i="2"/>
  <c r="AE686" i="2"/>
  <c r="AE687" i="2"/>
  <c r="AE688" i="2"/>
  <c r="AE689" i="2"/>
  <c r="AE690" i="2"/>
  <c r="AE691" i="2"/>
  <c r="AE692" i="2"/>
  <c r="AE693" i="2"/>
  <c r="AE694" i="2"/>
  <c r="AE695" i="2"/>
  <c r="AE696" i="2"/>
  <c r="AE697" i="2"/>
  <c r="AE698" i="2"/>
  <c r="AE699" i="2"/>
  <c r="AE700" i="2"/>
  <c r="AE701" i="2"/>
  <c r="AE702" i="2"/>
  <c r="AE703" i="2"/>
  <c r="AE704" i="2"/>
  <c r="AE705" i="2"/>
  <c r="AE706" i="2"/>
  <c r="AE707" i="2"/>
  <c r="AE708" i="2"/>
  <c r="AE709" i="2"/>
  <c r="AE710" i="2"/>
  <c r="AE711" i="2"/>
  <c r="AE712" i="2"/>
  <c r="AE713" i="2"/>
  <c r="AE714" i="2"/>
  <c r="AE715" i="2"/>
  <c r="AE716" i="2"/>
  <c r="AE717" i="2"/>
  <c r="AE718" i="2"/>
  <c r="AE719" i="2"/>
  <c r="AE720" i="2"/>
  <c r="AE721" i="2"/>
  <c r="AE722" i="2"/>
  <c r="AE723" i="2"/>
  <c r="AE724" i="2"/>
  <c r="AE725" i="2"/>
  <c r="AE726" i="2"/>
  <c r="AE727" i="2"/>
  <c r="AE728" i="2"/>
  <c r="AE729" i="2"/>
  <c r="AE730" i="2"/>
  <c r="AE731" i="2"/>
  <c r="AE732" i="2"/>
  <c r="AE733" i="2"/>
  <c r="AE734" i="2"/>
  <c r="AE735" i="2"/>
  <c r="AE736" i="2"/>
  <c r="AE737" i="2"/>
  <c r="AE738" i="2"/>
  <c r="AE739" i="2"/>
  <c r="AE740" i="2"/>
  <c r="AE741" i="2"/>
  <c r="AE742" i="2"/>
  <c r="AE743" i="2"/>
  <c r="AE744" i="2"/>
  <c r="AE745" i="2"/>
  <c r="AE746" i="2"/>
  <c r="AE747" i="2"/>
  <c r="AE748" i="2"/>
  <c r="AE749" i="2"/>
  <c r="AE750" i="2"/>
  <c r="AE751" i="2"/>
  <c r="AE752" i="2"/>
  <c r="AE753" i="2"/>
  <c r="AE754" i="2"/>
  <c r="AE755" i="2"/>
  <c r="AE756" i="2"/>
  <c r="AE757" i="2"/>
  <c r="AE758" i="2"/>
  <c r="AE759" i="2"/>
  <c r="AE760" i="2"/>
  <c r="AE761" i="2"/>
  <c r="AE762" i="2"/>
  <c r="AE763" i="2"/>
  <c r="AE764" i="2"/>
  <c r="AE765" i="2"/>
  <c r="AE766" i="2"/>
  <c r="AE767" i="2"/>
  <c r="AE768" i="2"/>
  <c r="AE769" i="2"/>
  <c r="AE770" i="2"/>
  <c r="AE771" i="2"/>
  <c r="AE772" i="2"/>
  <c r="AE773" i="2"/>
  <c r="AE774" i="2"/>
  <c r="AE775" i="2"/>
  <c r="AE776" i="2"/>
  <c r="AE777" i="2"/>
  <c r="AE778" i="2"/>
  <c r="AE779" i="2"/>
  <c r="AE780" i="2"/>
  <c r="AE781" i="2"/>
  <c r="AE782" i="2"/>
  <c r="AE783" i="2"/>
  <c r="AE784" i="2"/>
  <c r="AE785" i="2"/>
  <c r="AE786" i="2"/>
  <c r="AE787" i="2"/>
  <c r="AE788" i="2"/>
  <c r="AE789" i="2"/>
  <c r="AE790" i="2"/>
  <c r="AE791" i="2"/>
  <c r="AE792" i="2"/>
  <c r="AE793" i="2"/>
  <c r="AE794" i="2"/>
  <c r="AE795" i="2"/>
  <c r="AE796" i="2"/>
  <c r="AE797" i="2"/>
  <c r="AE798" i="2"/>
  <c r="AE799" i="2"/>
  <c r="AE800" i="2"/>
  <c r="AE801" i="2"/>
  <c r="AE802" i="2"/>
  <c r="AE803" i="2"/>
  <c r="AE804" i="2"/>
  <c r="AE805" i="2"/>
  <c r="AE806" i="2"/>
  <c r="AE807" i="2"/>
  <c r="AE808" i="2"/>
  <c r="AE809" i="2"/>
  <c r="AE810" i="2"/>
  <c r="AG613" i="2"/>
  <c r="AG614" i="2"/>
  <c r="AG615" i="2"/>
  <c r="AG616" i="2"/>
  <c r="AG617" i="2"/>
  <c r="AG618" i="2"/>
  <c r="AG619" i="2"/>
  <c r="AG620" i="2"/>
  <c r="AG621" i="2"/>
  <c r="AG622" i="2"/>
  <c r="AG623" i="2"/>
  <c r="AG624" i="2"/>
  <c r="AG625" i="2"/>
  <c r="AG626" i="2"/>
  <c r="AG627" i="2"/>
  <c r="AG628" i="2"/>
  <c r="AG629" i="2"/>
  <c r="AG630" i="2"/>
  <c r="AG631" i="2"/>
  <c r="AG632" i="2"/>
  <c r="AG633" i="2"/>
  <c r="AG634" i="2"/>
  <c r="AG635" i="2"/>
  <c r="AG636" i="2"/>
  <c r="AG637" i="2"/>
  <c r="AG638" i="2"/>
  <c r="AG639" i="2"/>
  <c r="AG640" i="2"/>
  <c r="AG641" i="2"/>
  <c r="AG642" i="2"/>
  <c r="AG643" i="2"/>
  <c r="AG644" i="2"/>
  <c r="AG645" i="2"/>
  <c r="AG646" i="2"/>
  <c r="AG647" i="2"/>
  <c r="AG648" i="2"/>
  <c r="AG649" i="2"/>
  <c r="AG650" i="2"/>
  <c r="AG651" i="2"/>
  <c r="AG652" i="2"/>
  <c r="AG653" i="2"/>
  <c r="AG654" i="2"/>
  <c r="AG655" i="2"/>
  <c r="AG656" i="2"/>
  <c r="AG657" i="2"/>
  <c r="AG658" i="2"/>
  <c r="AG659" i="2"/>
  <c r="AG660" i="2"/>
  <c r="AG661" i="2"/>
  <c r="AG662" i="2"/>
  <c r="AG663" i="2"/>
  <c r="AG664" i="2"/>
  <c r="AG665" i="2"/>
  <c r="AG666" i="2"/>
  <c r="AG667" i="2"/>
  <c r="AG668" i="2"/>
  <c r="AG669" i="2"/>
  <c r="AG670" i="2"/>
  <c r="AG671" i="2"/>
  <c r="AG672" i="2"/>
  <c r="AG673" i="2"/>
  <c r="AG674" i="2"/>
  <c r="AG675" i="2"/>
  <c r="AG676" i="2"/>
  <c r="AG677" i="2"/>
  <c r="AG678" i="2"/>
  <c r="AG679" i="2"/>
  <c r="AG680" i="2"/>
  <c r="AG681" i="2"/>
  <c r="AG682" i="2"/>
  <c r="AG683" i="2"/>
  <c r="AG684" i="2"/>
  <c r="AG685" i="2"/>
  <c r="AG686" i="2"/>
  <c r="AG687" i="2"/>
  <c r="AG688" i="2"/>
  <c r="AG689" i="2"/>
  <c r="AG690" i="2"/>
  <c r="AG691" i="2"/>
  <c r="AG692" i="2"/>
  <c r="AG693" i="2"/>
  <c r="AG694" i="2"/>
  <c r="AG695" i="2"/>
  <c r="AG696" i="2"/>
  <c r="AG697" i="2"/>
  <c r="AG698" i="2"/>
  <c r="AG699" i="2"/>
  <c r="AG700" i="2"/>
  <c r="AG701" i="2"/>
  <c r="AG702" i="2"/>
  <c r="AG703" i="2"/>
  <c r="AG704" i="2"/>
  <c r="AG705" i="2"/>
  <c r="AG706" i="2"/>
  <c r="AG707" i="2"/>
  <c r="AG708" i="2"/>
  <c r="AG709" i="2"/>
  <c r="AG710" i="2"/>
  <c r="AG711" i="2"/>
  <c r="AG712" i="2"/>
  <c r="AG713" i="2"/>
  <c r="AG714" i="2"/>
  <c r="AG715" i="2"/>
  <c r="AG716" i="2"/>
  <c r="AG717" i="2"/>
  <c r="AG718" i="2"/>
  <c r="AG719" i="2"/>
  <c r="AG720" i="2"/>
  <c r="AG721" i="2"/>
  <c r="AG722" i="2"/>
  <c r="AG723" i="2"/>
  <c r="AG724" i="2"/>
  <c r="AG725" i="2"/>
  <c r="AG726" i="2"/>
  <c r="AG727" i="2"/>
  <c r="AG728" i="2"/>
  <c r="AG729" i="2"/>
  <c r="AG730" i="2"/>
  <c r="AG731" i="2"/>
  <c r="AG732" i="2"/>
  <c r="AG733" i="2"/>
  <c r="AG734" i="2"/>
  <c r="AG735" i="2"/>
  <c r="AG736" i="2"/>
  <c r="AG737" i="2"/>
  <c r="AG738" i="2"/>
  <c r="AG739" i="2"/>
  <c r="AG740" i="2"/>
  <c r="AG741" i="2"/>
  <c r="AG742" i="2"/>
  <c r="AG743" i="2"/>
  <c r="AG744" i="2"/>
  <c r="AG745" i="2"/>
  <c r="AG746" i="2"/>
  <c r="AG747" i="2"/>
  <c r="AG748" i="2"/>
  <c r="AG749" i="2"/>
  <c r="AG750" i="2"/>
  <c r="AG751" i="2"/>
  <c r="AG752" i="2"/>
  <c r="AG753" i="2"/>
  <c r="AG754" i="2"/>
  <c r="AG755" i="2"/>
  <c r="AG756" i="2"/>
  <c r="AG757" i="2"/>
  <c r="AG758" i="2"/>
  <c r="AG759" i="2"/>
  <c r="AG760" i="2"/>
  <c r="AG761" i="2"/>
  <c r="AG762" i="2"/>
  <c r="AG763" i="2"/>
  <c r="AG764" i="2"/>
  <c r="AG765" i="2"/>
  <c r="AG766" i="2"/>
  <c r="AG767" i="2"/>
  <c r="AG768" i="2"/>
  <c r="AG769" i="2"/>
  <c r="AG770" i="2"/>
  <c r="AG771" i="2"/>
  <c r="AG772" i="2"/>
  <c r="AG773" i="2"/>
  <c r="AG774" i="2"/>
  <c r="AG775" i="2"/>
  <c r="AG776" i="2"/>
  <c r="AG777" i="2"/>
  <c r="AG778" i="2"/>
  <c r="AG779" i="2"/>
  <c r="AG780" i="2"/>
  <c r="AG781" i="2"/>
  <c r="AG782" i="2"/>
  <c r="AG783" i="2"/>
  <c r="AG784" i="2"/>
  <c r="AG785" i="2"/>
  <c r="AG786" i="2"/>
  <c r="AG787" i="2"/>
  <c r="AG788" i="2"/>
  <c r="AG789" i="2"/>
  <c r="AG790" i="2"/>
  <c r="AG791" i="2"/>
  <c r="AG792" i="2"/>
  <c r="AG793" i="2"/>
  <c r="AG794" i="2"/>
  <c r="AG795" i="2"/>
  <c r="AG796" i="2"/>
  <c r="AG797" i="2"/>
  <c r="AG798" i="2"/>
  <c r="AG799" i="2"/>
  <c r="AG800" i="2"/>
  <c r="AG801" i="2"/>
  <c r="AG802" i="2"/>
  <c r="AG803" i="2"/>
  <c r="AG804" i="2"/>
  <c r="AG805" i="2"/>
  <c r="AG806" i="2"/>
  <c r="AG807" i="2"/>
  <c r="AG808" i="2"/>
  <c r="AG809" i="2"/>
  <c r="AG810" i="2"/>
  <c r="AB612" i="2" l="1"/>
  <c r="AB611" i="2"/>
  <c r="AB610" i="2"/>
  <c r="AB609" i="2"/>
  <c r="AB608" i="2"/>
  <c r="AB607" i="2"/>
  <c r="AB606" i="2"/>
  <c r="AB605" i="2"/>
  <c r="AB604" i="2"/>
  <c r="AB603" i="2"/>
  <c r="AB602" i="2"/>
  <c r="AB601" i="2"/>
  <c r="AB600" i="2"/>
  <c r="AB599" i="2"/>
  <c r="AB598" i="2"/>
  <c r="AB597" i="2"/>
  <c r="AB596" i="2"/>
  <c r="AB595" i="2"/>
  <c r="AB594" i="2"/>
  <c r="AB593" i="2"/>
  <c r="AB592" i="2"/>
  <c r="AB591" i="2"/>
  <c r="AB590" i="2"/>
  <c r="AB589" i="2"/>
  <c r="AB588" i="2"/>
  <c r="AB587" i="2"/>
  <c r="AB586" i="2"/>
  <c r="AB585" i="2"/>
  <c r="AB584" i="2"/>
  <c r="AB583" i="2"/>
  <c r="AB582" i="2"/>
  <c r="AB581" i="2"/>
  <c r="AB580" i="2"/>
  <c r="AB579" i="2"/>
  <c r="AB578" i="2"/>
  <c r="AB577" i="2"/>
  <c r="AB576" i="2"/>
  <c r="AB575" i="2"/>
  <c r="AB574" i="2"/>
  <c r="AB573" i="2"/>
  <c r="AB572" i="2"/>
  <c r="AB571" i="2"/>
  <c r="AB570" i="2"/>
  <c r="AB569" i="2"/>
  <c r="AB568" i="2"/>
  <c r="AB567" i="2"/>
  <c r="AB566" i="2"/>
  <c r="AB565" i="2"/>
  <c r="AB564" i="2"/>
  <c r="AB563" i="2"/>
  <c r="AB562" i="2"/>
  <c r="AB561" i="2"/>
  <c r="AB560" i="2"/>
  <c r="AB559" i="2"/>
  <c r="AB558" i="2"/>
  <c r="AB557" i="2"/>
  <c r="AB556" i="2"/>
  <c r="AB555" i="2"/>
  <c r="AB554" i="2"/>
  <c r="AB553" i="2"/>
  <c r="AB552" i="2"/>
  <c r="AB551" i="2"/>
  <c r="AB550" i="2"/>
  <c r="AB549" i="2"/>
  <c r="AB548" i="2"/>
  <c r="AB547" i="2"/>
  <c r="AB546" i="2"/>
  <c r="AB545" i="2"/>
  <c r="AB544" i="2"/>
  <c r="AB543" i="2"/>
  <c r="AB542" i="2"/>
  <c r="AB541" i="2"/>
  <c r="AB540" i="2"/>
  <c r="AB539" i="2"/>
  <c r="AB538" i="2"/>
  <c r="AB537" i="2"/>
  <c r="AB536" i="2"/>
  <c r="D427" i="2" a="1"/>
  <c r="D427" i="2" s="1"/>
  <c r="D428" i="2" a="1"/>
  <c r="D428" i="2" s="1"/>
  <c r="D429" i="2" a="1"/>
  <c r="D429" i="2" s="1"/>
  <c r="D430" i="2" a="1"/>
  <c r="D430" i="2" s="1"/>
  <c r="D431" i="2" a="1"/>
  <c r="D431" i="2" s="1"/>
  <c r="D432" i="2" a="1"/>
  <c r="D432" i="2" s="1"/>
  <c r="D433" i="2" a="1"/>
  <c r="D433" i="2" s="1"/>
  <c r="D434" i="2" a="1"/>
  <c r="D434" i="2" s="1"/>
  <c r="D435" i="2" a="1"/>
  <c r="D435" i="2" s="1"/>
  <c r="D436" i="2" a="1"/>
  <c r="D436" i="2" s="1"/>
  <c r="D437" i="2" a="1"/>
  <c r="D437" i="2" s="1"/>
  <c r="D438" i="2" a="1"/>
  <c r="D438" i="2" s="1"/>
  <c r="D439" i="2" a="1"/>
  <c r="D439" i="2" s="1"/>
  <c r="D440" i="2" a="1"/>
  <c r="D440" i="2" s="1"/>
  <c r="D441" i="2" a="1"/>
  <c r="D441" i="2" s="1"/>
  <c r="D442" i="2" a="1"/>
  <c r="D442" i="2" s="1"/>
  <c r="D443" i="2" a="1"/>
  <c r="D443" i="2" s="1"/>
  <c r="D444" i="2" a="1"/>
  <c r="D444" i="2" s="1"/>
  <c r="D445" i="2" a="1"/>
  <c r="D445" i="2" s="1"/>
  <c r="D446" i="2" a="1"/>
  <c r="D446" i="2" s="1"/>
  <c r="D447" i="2" a="1"/>
  <c r="D447" i="2" s="1"/>
  <c r="D448" i="2" a="1"/>
  <c r="D448" i="2" s="1"/>
  <c r="D449" i="2" a="1"/>
  <c r="D449" i="2" s="1"/>
  <c r="D450" i="2" a="1"/>
  <c r="D450" i="2" s="1"/>
  <c r="D451" i="2" a="1"/>
  <c r="D451" i="2" s="1"/>
  <c r="D452" i="2" a="1"/>
  <c r="D452" i="2" s="1"/>
  <c r="D453" i="2" a="1"/>
  <c r="D453" i="2" s="1"/>
  <c r="D454" i="2" a="1"/>
  <c r="D454" i="2" s="1"/>
  <c r="D455" i="2" a="1"/>
  <c r="D455" i="2" s="1"/>
  <c r="D456" i="2" a="1"/>
  <c r="D456" i="2" s="1"/>
  <c r="D457" i="2" a="1"/>
  <c r="D457" i="2" s="1"/>
  <c r="D458" i="2" a="1"/>
  <c r="D458" i="2" s="1"/>
  <c r="D459" i="2" a="1"/>
  <c r="D459" i="2" s="1"/>
  <c r="D460" i="2" a="1"/>
  <c r="D460" i="2" s="1"/>
  <c r="D461" i="2" a="1"/>
  <c r="D461" i="2" s="1"/>
  <c r="D462" i="2" a="1"/>
  <c r="D462" i="2" s="1"/>
  <c r="D463" i="2" a="1"/>
  <c r="D463" i="2" s="1"/>
  <c r="D464" i="2" a="1"/>
  <c r="D464" i="2" s="1"/>
  <c r="D465" i="2" a="1"/>
  <c r="D465" i="2" s="1"/>
  <c r="D466" i="2" a="1"/>
  <c r="D466" i="2" s="1"/>
  <c r="D467" i="2" a="1"/>
  <c r="D467" i="2" s="1"/>
  <c r="D468" i="2" a="1"/>
  <c r="D468" i="2" s="1"/>
  <c r="D469" i="2" a="1"/>
  <c r="D469" i="2" s="1"/>
  <c r="D470" i="2" a="1"/>
  <c r="D470" i="2" s="1"/>
  <c r="D471" i="2" a="1"/>
  <c r="D471" i="2" s="1"/>
  <c r="D472" i="2" a="1"/>
  <c r="D472" i="2" s="1"/>
  <c r="D473" i="2" a="1"/>
  <c r="D473" i="2" s="1"/>
  <c r="D474" i="2" a="1"/>
  <c r="D474" i="2" s="1"/>
  <c r="D475" i="2" a="1"/>
  <c r="D475" i="2" s="1"/>
  <c r="D476" i="2" a="1"/>
  <c r="D476" i="2" s="1"/>
  <c r="D477" i="2" a="1"/>
  <c r="D477" i="2" s="1"/>
  <c r="D478" i="2" a="1"/>
  <c r="D478" i="2" s="1"/>
  <c r="D479" i="2" a="1"/>
  <c r="D479" i="2" s="1"/>
  <c r="D480" i="2" a="1"/>
  <c r="D480" i="2" s="1"/>
  <c r="D481" i="2" a="1"/>
  <c r="D481" i="2" s="1"/>
  <c r="D482" i="2" a="1"/>
  <c r="D482" i="2" s="1"/>
  <c r="D483" i="2" a="1"/>
  <c r="D483" i="2" s="1"/>
  <c r="D484" i="2" a="1"/>
  <c r="D484" i="2" s="1"/>
  <c r="D485" i="2" a="1"/>
  <c r="D485" i="2" s="1"/>
  <c r="D486" i="2" a="1"/>
  <c r="D486" i="2" s="1"/>
  <c r="D487" i="2" a="1"/>
  <c r="D487" i="2" s="1"/>
  <c r="D488" i="2" a="1"/>
  <c r="D488" i="2" s="1"/>
  <c r="D489" i="2" a="1"/>
  <c r="D489" i="2" s="1"/>
  <c r="D490" i="2" a="1"/>
  <c r="D490" i="2" s="1"/>
  <c r="D491" i="2" a="1"/>
  <c r="D491" i="2" s="1"/>
  <c r="D492" i="2" a="1"/>
  <c r="D492" i="2" s="1"/>
  <c r="D493" i="2" a="1"/>
  <c r="D493" i="2" s="1"/>
  <c r="D494" i="2" a="1"/>
  <c r="D494" i="2" s="1"/>
  <c r="D495" i="2" a="1"/>
  <c r="D495" i="2" s="1"/>
  <c r="D496" i="2" a="1"/>
  <c r="D496" i="2" s="1"/>
  <c r="D497" i="2" a="1"/>
  <c r="D497" i="2" s="1"/>
  <c r="D498" i="2" a="1"/>
  <c r="D498" i="2" s="1"/>
  <c r="D499" i="2" a="1"/>
  <c r="D499" i="2" s="1"/>
  <c r="D500" i="2" a="1"/>
  <c r="D500" i="2" s="1"/>
  <c r="D501" i="2" a="1"/>
  <c r="D501" i="2" s="1"/>
  <c r="D502" i="2" a="1"/>
  <c r="D502" i="2" s="1"/>
  <c r="D503" i="2" a="1"/>
  <c r="D503" i="2" s="1"/>
  <c r="D504" i="2" a="1"/>
  <c r="D504" i="2" s="1"/>
  <c r="D505" i="2" a="1"/>
  <c r="D505" i="2" s="1"/>
  <c r="D506" i="2" a="1"/>
  <c r="D506" i="2" s="1"/>
  <c r="D507" i="2" a="1"/>
  <c r="D507" i="2" s="1"/>
  <c r="D508" i="2" a="1"/>
  <c r="D508" i="2" s="1"/>
  <c r="D509" i="2" a="1"/>
  <c r="D509" i="2" s="1"/>
  <c r="D510" i="2" a="1"/>
  <c r="D510" i="2" s="1"/>
  <c r="D511" i="2" a="1"/>
  <c r="D511" i="2" s="1"/>
  <c r="D512" i="2" a="1"/>
  <c r="D512" i="2" s="1"/>
  <c r="D513" i="2" a="1"/>
  <c r="D513" i="2" s="1"/>
  <c r="D514" i="2" a="1"/>
  <c r="D514" i="2" s="1"/>
  <c r="D515" i="2" a="1"/>
  <c r="D515" i="2" s="1"/>
  <c r="D516" i="2" a="1"/>
  <c r="D516" i="2" s="1"/>
  <c r="D517" i="2" a="1"/>
  <c r="D517" i="2" s="1"/>
  <c r="D518" i="2" a="1"/>
  <c r="D518" i="2" s="1"/>
  <c r="D519" i="2" a="1"/>
  <c r="D519" i="2" s="1"/>
  <c r="D520" i="2" a="1"/>
  <c r="D520" i="2" s="1"/>
  <c r="D521" i="2" a="1"/>
  <c r="D521" i="2" s="1"/>
  <c r="D522" i="2" a="1"/>
  <c r="D522" i="2" s="1"/>
  <c r="D523" i="2" a="1"/>
  <c r="D523" i="2" s="1"/>
  <c r="D524" i="2" a="1"/>
  <c r="D524" i="2" s="1"/>
  <c r="D525" i="2" a="1"/>
  <c r="D525" i="2" s="1"/>
  <c r="D526" i="2" a="1"/>
  <c r="D526" i="2" s="1"/>
  <c r="D527" i="2" a="1"/>
  <c r="D527" i="2" s="1"/>
  <c r="D528" i="2" a="1"/>
  <c r="D528" i="2" s="1"/>
  <c r="D529" i="2" a="1"/>
  <c r="D529" i="2" s="1"/>
  <c r="D530" i="2" a="1"/>
  <c r="D530" i="2" s="1"/>
  <c r="D531" i="2" a="1"/>
  <c r="D531" i="2" s="1"/>
  <c r="D532" i="2" a="1"/>
  <c r="D532" i="2" s="1"/>
  <c r="D533" i="2" a="1"/>
  <c r="D533" i="2" s="1"/>
  <c r="D534" i="2" a="1"/>
  <c r="D534" i="2" s="1"/>
  <c r="D535" i="2" a="1"/>
  <c r="D535" i="2" s="1"/>
  <c r="D536" i="2" a="1"/>
  <c r="D536" i="2" s="1"/>
  <c r="D537" i="2" a="1"/>
  <c r="D537" i="2" s="1"/>
  <c r="D538" i="2" a="1"/>
  <c r="D538" i="2" s="1"/>
  <c r="D539" i="2" a="1"/>
  <c r="D539" i="2" s="1"/>
  <c r="D540" i="2" a="1"/>
  <c r="D540" i="2" s="1"/>
  <c r="D541" i="2" a="1"/>
  <c r="D541" i="2" s="1"/>
  <c r="D542" i="2" a="1"/>
  <c r="D542" i="2" s="1"/>
  <c r="D543" i="2" a="1"/>
  <c r="D543" i="2" s="1"/>
  <c r="D544" i="2" a="1"/>
  <c r="D544" i="2" s="1"/>
  <c r="D545" i="2" a="1"/>
  <c r="D545" i="2" s="1"/>
  <c r="D546" i="2" a="1"/>
  <c r="D546" i="2" s="1"/>
  <c r="D547" i="2" a="1"/>
  <c r="D547" i="2" s="1"/>
  <c r="D548" i="2" a="1"/>
  <c r="D548" i="2" s="1"/>
  <c r="D549" i="2" a="1"/>
  <c r="D549" i="2" s="1"/>
  <c r="D550" i="2" a="1"/>
  <c r="D550" i="2" s="1"/>
  <c r="D551" i="2" a="1"/>
  <c r="D551" i="2" s="1"/>
  <c r="D552" i="2" a="1"/>
  <c r="D552" i="2" s="1"/>
  <c r="D553" i="2" a="1"/>
  <c r="D553" i="2" s="1"/>
  <c r="D554" i="2" a="1"/>
  <c r="D554" i="2" s="1"/>
  <c r="D555" i="2" a="1"/>
  <c r="D555" i="2" s="1"/>
  <c r="D556" i="2" a="1"/>
  <c r="D556" i="2" s="1"/>
  <c r="D557" i="2" a="1"/>
  <c r="D557" i="2" s="1"/>
  <c r="D558" i="2" a="1"/>
  <c r="D558" i="2" s="1"/>
  <c r="D559" i="2" a="1"/>
  <c r="D559" i="2" s="1"/>
  <c r="D560" i="2" a="1"/>
  <c r="D560" i="2" s="1"/>
  <c r="D561" i="2" a="1"/>
  <c r="D561" i="2" s="1"/>
  <c r="D562" i="2" a="1"/>
  <c r="D562" i="2" s="1"/>
  <c r="D563" i="2" a="1"/>
  <c r="D563" i="2" s="1"/>
  <c r="D564" i="2" a="1"/>
  <c r="D564" i="2" s="1"/>
  <c r="D565" i="2" a="1"/>
  <c r="D565" i="2" s="1"/>
  <c r="D566" i="2" a="1"/>
  <c r="D566" i="2" s="1"/>
  <c r="D567" i="2" a="1"/>
  <c r="D567" i="2" s="1"/>
  <c r="D568" i="2" a="1"/>
  <c r="D568" i="2" s="1"/>
  <c r="D569" i="2" a="1"/>
  <c r="D569" i="2" s="1"/>
  <c r="D570" i="2" a="1"/>
  <c r="D570" i="2" s="1"/>
  <c r="D571" i="2" a="1"/>
  <c r="D571" i="2" s="1"/>
  <c r="D572" i="2" a="1"/>
  <c r="D572" i="2" s="1"/>
  <c r="D573" i="2" a="1"/>
  <c r="D573" i="2" s="1"/>
  <c r="D574" i="2" a="1"/>
  <c r="D574" i="2" s="1"/>
  <c r="D575" i="2" a="1"/>
  <c r="D575" i="2" s="1"/>
  <c r="D576" i="2" a="1"/>
  <c r="D576" i="2" s="1"/>
  <c r="D577" i="2" a="1"/>
  <c r="D577" i="2" s="1"/>
  <c r="D578" i="2" a="1"/>
  <c r="D578" i="2" s="1"/>
  <c r="D579" i="2" a="1"/>
  <c r="D579" i="2" s="1"/>
  <c r="D580" i="2" a="1"/>
  <c r="D580" i="2" s="1"/>
  <c r="D581" i="2" a="1"/>
  <c r="D581" i="2" s="1"/>
  <c r="D582" i="2" a="1"/>
  <c r="D582" i="2" s="1"/>
  <c r="D583" i="2" a="1"/>
  <c r="D583" i="2" s="1"/>
  <c r="D584" i="2" a="1"/>
  <c r="D584" i="2" s="1"/>
  <c r="D585" i="2" a="1"/>
  <c r="D585" i="2" s="1"/>
  <c r="D586" i="2" a="1"/>
  <c r="D586" i="2" s="1"/>
  <c r="D587" i="2" a="1"/>
  <c r="D587" i="2" s="1"/>
  <c r="D588" i="2" a="1"/>
  <c r="D588" i="2" s="1"/>
  <c r="D589" i="2" a="1"/>
  <c r="D589" i="2" s="1"/>
  <c r="D590" i="2" a="1"/>
  <c r="D590" i="2" s="1"/>
  <c r="D591" i="2" a="1"/>
  <c r="D591" i="2" s="1"/>
  <c r="D592" i="2" a="1"/>
  <c r="D592" i="2" s="1"/>
  <c r="D593" i="2" a="1"/>
  <c r="D593" i="2" s="1"/>
  <c r="D594" i="2" a="1"/>
  <c r="D594" i="2" s="1"/>
  <c r="D595" i="2" a="1"/>
  <c r="D595" i="2" s="1"/>
  <c r="D596" i="2" a="1"/>
  <c r="D596" i="2" s="1"/>
  <c r="D597" i="2" a="1"/>
  <c r="D597" i="2" s="1"/>
  <c r="D598" i="2" a="1"/>
  <c r="D598" i="2" s="1"/>
  <c r="D599" i="2" a="1"/>
  <c r="D599" i="2" s="1"/>
  <c r="D600" i="2" a="1"/>
  <c r="D600" i="2" s="1"/>
  <c r="D601" i="2" a="1"/>
  <c r="D601" i="2" s="1"/>
  <c r="D602" i="2" a="1"/>
  <c r="D602" i="2" s="1"/>
  <c r="D603" i="2" a="1"/>
  <c r="D603" i="2" s="1"/>
  <c r="D604" i="2" a="1"/>
  <c r="D604" i="2" s="1"/>
  <c r="D605" i="2" a="1"/>
  <c r="D605" i="2" s="1"/>
  <c r="D606" i="2" a="1"/>
  <c r="D606" i="2" s="1"/>
  <c r="D607" i="2" a="1"/>
  <c r="D607" i="2" s="1"/>
  <c r="D608" i="2" a="1"/>
  <c r="D608" i="2" s="1"/>
  <c r="D609" i="2" a="1"/>
  <c r="D609" i="2" s="1"/>
  <c r="D610" i="2" a="1"/>
  <c r="D610" i="2" s="1"/>
  <c r="D611" i="2" a="1"/>
  <c r="D611" i="2" s="1"/>
  <c r="D612" i="2" a="1"/>
  <c r="D612" i="2" s="1"/>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W427" i="2"/>
  <c r="Z427" i="2" s="1"/>
  <c r="W428" i="2"/>
  <c r="Z428" i="2" s="1"/>
  <c r="W429" i="2"/>
  <c r="Z429" i="2" s="1"/>
  <c r="W430" i="2"/>
  <c r="Z430" i="2" s="1"/>
  <c r="W431" i="2"/>
  <c r="Z431" i="2" s="1"/>
  <c r="W432" i="2"/>
  <c r="Z432" i="2" s="1"/>
  <c r="W433" i="2"/>
  <c r="Z433" i="2" s="1"/>
  <c r="W434" i="2"/>
  <c r="Z434" i="2" s="1"/>
  <c r="W435" i="2"/>
  <c r="Z435" i="2" s="1"/>
  <c r="W436" i="2"/>
  <c r="Z436" i="2" s="1"/>
  <c r="W437" i="2"/>
  <c r="Z437" i="2" s="1"/>
  <c r="W438" i="2"/>
  <c r="Z438" i="2" s="1"/>
  <c r="W439" i="2"/>
  <c r="Z439" i="2" s="1"/>
  <c r="W440" i="2"/>
  <c r="Z440" i="2" s="1"/>
  <c r="W441" i="2"/>
  <c r="Z441" i="2" s="1"/>
  <c r="W442" i="2"/>
  <c r="Z442" i="2" s="1"/>
  <c r="W443" i="2"/>
  <c r="Z443" i="2" s="1"/>
  <c r="W444" i="2"/>
  <c r="Z444" i="2" s="1"/>
  <c r="W445" i="2"/>
  <c r="Z445" i="2" s="1"/>
  <c r="W446" i="2"/>
  <c r="Z446" i="2" s="1"/>
  <c r="W447" i="2"/>
  <c r="Z447" i="2" s="1"/>
  <c r="W448" i="2"/>
  <c r="Z448" i="2" s="1"/>
  <c r="W449" i="2"/>
  <c r="Z449" i="2" s="1"/>
  <c r="W450" i="2"/>
  <c r="Z450" i="2" s="1"/>
  <c r="W451" i="2"/>
  <c r="Z451" i="2" s="1"/>
  <c r="W452" i="2"/>
  <c r="Z452" i="2" s="1"/>
  <c r="W453" i="2"/>
  <c r="Z453" i="2" s="1"/>
  <c r="W454" i="2"/>
  <c r="Z454" i="2" s="1"/>
  <c r="W455" i="2"/>
  <c r="Z455" i="2" s="1"/>
  <c r="W456" i="2"/>
  <c r="Z456" i="2" s="1"/>
  <c r="W457" i="2"/>
  <c r="Z457" i="2" s="1"/>
  <c r="W458" i="2"/>
  <c r="Z458" i="2" s="1"/>
  <c r="W459" i="2"/>
  <c r="Z459" i="2" s="1"/>
  <c r="W460" i="2"/>
  <c r="Z460" i="2" s="1"/>
  <c r="W461" i="2"/>
  <c r="Z461" i="2" s="1"/>
  <c r="W462" i="2"/>
  <c r="Z462" i="2" s="1"/>
  <c r="W463" i="2"/>
  <c r="Z463" i="2" s="1"/>
  <c r="W464" i="2"/>
  <c r="Z464" i="2" s="1"/>
  <c r="W465" i="2"/>
  <c r="Z465" i="2" s="1"/>
  <c r="W466" i="2"/>
  <c r="Z466" i="2" s="1"/>
  <c r="W467" i="2"/>
  <c r="Z467" i="2" s="1"/>
  <c r="W468" i="2"/>
  <c r="Z468" i="2" s="1"/>
  <c r="W469" i="2"/>
  <c r="Z469" i="2" s="1"/>
  <c r="W470" i="2"/>
  <c r="Z470" i="2" s="1"/>
  <c r="W471" i="2"/>
  <c r="Z471" i="2" s="1"/>
  <c r="W472" i="2"/>
  <c r="Z472" i="2" s="1"/>
  <c r="W473" i="2"/>
  <c r="Z473" i="2" s="1"/>
  <c r="W474" i="2"/>
  <c r="Z474" i="2" s="1"/>
  <c r="W475" i="2"/>
  <c r="Z475" i="2" s="1"/>
  <c r="W476" i="2"/>
  <c r="Z476" i="2" s="1"/>
  <c r="W477" i="2"/>
  <c r="Z477" i="2" s="1"/>
  <c r="W478" i="2"/>
  <c r="Z478" i="2" s="1"/>
  <c r="W479" i="2"/>
  <c r="Z479" i="2" s="1"/>
  <c r="W480" i="2"/>
  <c r="Z480" i="2" s="1"/>
  <c r="W481" i="2"/>
  <c r="Z481" i="2" s="1"/>
  <c r="W482" i="2"/>
  <c r="Z482" i="2" s="1"/>
  <c r="W483" i="2"/>
  <c r="Z483" i="2" s="1"/>
  <c r="W484" i="2"/>
  <c r="Z484" i="2" s="1"/>
  <c r="W485" i="2"/>
  <c r="Z485" i="2" s="1"/>
  <c r="W486" i="2"/>
  <c r="Z486" i="2" s="1"/>
  <c r="W487" i="2"/>
  <c r="Z487" i="2" s="1"/>
  <c r="W488" i="2"/>
  <c r="Z488" i="2" s="1"/>
  <c r="W489" i="2"/>
  <c r="Z489" i="2" s="1"/>
  <c r="W490" i="2"/>
  <c r="Z490" i="2" s="1"/>
  <c r="W491" i="2"/>
  <c r="Z491" i="2" s="1"/>
  <c r="W492" i="2"/>
  <c r="Z492" i="2" s="1"/>
  <c r="W493" i="2"/>
  <c r="Z493" i="2" s="1"/>
  <c r="W494" i="2"/>
  <c r="Z494" i="2" s="1"/>
  <c r="W495" i="2"/>
  <c r="Z495" i="2" s="1"/>
  <c r="W496" i="2"/>
  <c r="Z496" i="2" s="1"/>
  <c r="W497" i="2"/>
  <c r="Z497" i="2" s="1"/>
  <c r="W498" i="2"/>
  <c r="Z498" i="2" s="1"/>
  <c r="W499" i="2"/>
  <c r="Z499" i="2" s="1"/>
  <c r="W500" i="2"/>
  <c r="Z500" i="2" s="1"/>
  <c r="W501" i="2"/>
  <c r="Z501" i="2" s="1"/>
  <c r="W502" i="2"/>
  <c r="Z502" i="2" s="1"/>
  <c r="W503" i="2"/>
  <c r="Z503" i="2" s="1"/>
  <c r="W504" i="2"/>
  <c r="Z504" i="2" s="1"/>
  <c r="W505" i="2"/>
  <c r="Z505" i="2" s="1"/>
  <c r="W506" i="2"/>
  <c r="Z506" i="2" s="1"/>
  <c r="W507" i="2"/>
  <c r="Z507" i="2" s="1"/>
  <c r="W508" i="2"/>
  <c r="Z508" i="2" s="1"/>
  <c r="W509" i="2"/>
  <c r="Z509" i="2" s="1"/>
  <c r="W510" i="2"/>
  <c r="Z510" i="2" s="1"/>
  <c r="W511" i="2"/>
  <c r="Z511" i="2" s="1"/>
  <c r="W512" i="2"/>
  <c r="Z512" i="2" s="1"/>
  <c r="W513" i="2"/>
  <c r="Z513" i="2" s="1"/>
  <c r="W514" i="2"/>
  <c r="Z514" i="2" s="1"/>
  <c r="W515" i="2"/>
  <c r="Z515" i="2" s="1"/>
  <c r="W516" i="2"/>
  <c r="Z516" i="2" s="1"/>
  <c r="W517" i="2"/>
  <c r="Z517" i="2" s="1"/>
  <c r="W518" i="2"/>
  <c r="Z518" i="2" s="1"/>
  <c r="W519" i="2"/>
  <c r="Z519" i="2" s="1"/>
  <c r="W520" i="2"/>
  <c r="Z520" i="2" s="1"/>
  <c r="W521" i="2"/>
  <c r="Z521" i="2" s="1"/>
  <c r="W522" i="2"/>
  <c r="Z522" i="2" s="1"/>
  <c r="W523" i="2"/>
  <c r="Z523" i="2" s="1"/>
  <c r="W524" i="2"/>
  <c r="Z524" i="2" s="1"/>
  <c r="W525" i="2"/>
  <c r="Z525" i="2" s="1"/>
  <c r="W526" i="2"/>
  <c r="Z526" i="2" s="1"/>
  <c r="W527" i="2"/>
  <c r="Z527" i="2" s="1"/>
  <c r="W528" i="2"/>
  <c r="Z528" i="2" s="1"/>
  <c r="W529" i="2"/>
  <c r="Z529" i="2" s="1"/>
  <c r="W530" i="2"/>
  <c r="Z530" i="2" s="1"/>
  <c r="W531" i="2"/>
  <c r="Z531" i="2" s="1"/>
  <c r="W532" i="2"/>
  <c r="Z532" i="2" s="1"/>
  <c r="W533" i="2"/>
  <c r="Z533" i="2" s="1"/>
  <c r="W534" i="2"/>
  <c r="Z534" i="2" s="1"/>
  <c r="W535" i="2"/>
  <c r="Z535" i="2" s="1"/>
  <c r="W536" i="2"/>
  <c r="Z536" i="2" s="1"/>
  <c r="W537" i="2"/>
  <c r="Z537" i="2" s="1"/>
  <c r="W538" i="2"/>
  <c r="Z538" i="2" s="1"/>
  <c r="W539" i="2"/>
  <c r="Z539" i="2" s="1"/>
  <c r="W540" i="2"/>
  <c r="Z540" i="2" s="1"/>
  <c r="W541" i="2"/>
  <c r="Z541" i="2" s="1"/>
  <c r="W542" i="2"/>
  <c r="Z542" i="2" s="1"/>
  <c r="W543" i="2"/>
  <c r="Z543" i="2" s="1"/>
  <c r="W544" i="2"/>
  <c r="Z544" i="2" s="1"/>
  <c r="W545" i="2"/>
  <c r="Z545" i="2" s="1"/>
  <c r="W546" i="2"/>
  <c r="Z546" i="2" s="1"/>
  <c r="W547" i="2"/>
  <c r="Z547" i="2" s="1"/>
  <c r="W548" i="2"/>
  <c r="Z548" i="2" s="1"/>
  <c r="W549" i="2"/>
  <c r="Z549" i="2" s="1"/>
  <c r="W550" i="2"/>
  <c r="Z550" i="2" s="1"/>
  <c r="W551" i="2"/>
  <c r="Z551" i="2" s="1"/>
  <c r="W552" i="2"/>
  <c r="Z552" i="2" s="1"/>
  <c r="W553" i="2"/>
  <c r="Z553" i="2" s="1"/>
  <c r="W554" i="2"/>
  <c r="Z554" i="2" s="1"/>
  <c r="W555" i="2"/>
  <c r="Z555" i="2" s="1"/>
  <c r="W556" i="2"/>
  <c r="Z556" i="2" s="1"/>
  <c r="W557" i="2"/>
  <c r="Z557" i="2" s="1"/>
  <c r="W558" i="2"/>
  <c r="Z558" i="2" s="1"/>
  <c r="W559" i="2"/>
  <c r="Z559" i="2" s="1"/>
  <c r="W560" i="2"/>
  <c r="Z560" i="2" s="1"/>
  <c r="W561" i="2"/>
  <c r="Z561" i="2" s="1"/>
  <c r="W562" i="2"/>
  <c r="Z562" i="2" s="1"/>
  <c r="W563" i="2"/>
  <c r="Z563" i="2" s="1"/>
  <c r="W564" i="2"/>
  <c r="Z564" i="2" s="1"/>
  <c r="W565" i="2"/>
  <c r="Z565" i="2" s="1"/>
  <c r="W566" i="2"/>
  <c r="Z566" i="2" s="1"/>
  <c r="W567" i="2"/>
  <c r="Z567" i="2" s="1"/>
  <c r="W568" i="2"/>
  <c r="Z568" i="2" s="1"/>
  <c r="W569" i="2"/>
  <c r="Z569" i="2" s="1"/>
  <c r="W570" i="2"/>
  <c r="Z570" i="2" s="1"/>
  <c r="W571" i="2"/>
  <c r="Z571" i="2" s="1"/>
  <c r="W572" i="2"/>
  <c r="Z572" i="2" s="1"/>
  <c r="W573" i="2"/>
  <c r="Z573" i="2" s="1"/>
  <c r="W574" i="2"/>
  <c r="Z574" i="2" s="1"/>
  <c r="W575" i="2"/>
  <c r="Z575" i="2" s="1"/>
  <c r="W576" i="2"/>
  <c r="Z576" i="2" s="1"/>
  <c r="W577" i="2"/>
  <c r="Z577" i="2" s="1"/>
  <c r="W578" i="2"/>
  <c r="Z578" i="2" s="1"/>
  <c r="W579" i="2"/>
  <c r="Z579" i="2" s="1"/>
  <c r="W580" i="2"/>
  <c r="Z580" i="2" s="1"/>
  <c r="W581" i="2"/>
  <c r="Z581" i="2" s="1"/>
  <c r="W582" i="2"/>
  <c r="Z582" i="2" s="1"/>
  <c r="W583" i="2"/>
  <c r="Z583" i="2" s="1"/>
  <c r="W584" i="2"/>
  <c r="Z584" i="2" s="1"/>
  <c r="W585" i="2"/>
  <c r="Z585" i="2" s="1"/>
  <c r="W586" i="2"/>
  <c r="Z586" i="2" s="1"/>
  <c r="W587" i="2"/>
  <c r="Z587" i="2" s="1"/>
  <c r="W588" i="2"/>
  <c r="Z588" i="2" s="1"/>
  <c r="W589" i="2"/>
  <c r="Z589" i="2" s="1"/>
  <c r="W590" i="2"/>
  <c r="Z590" i="2" s="1"/>
  <c r="W591" i="2"/>
  <c r="Z591" i="2" s="1"/>
  <c r="W592" i="2"/>
  <c r="Z592" i="2" s="1"/>
  <c r="W593" i="2"/>
  <c r="Z593" i="2" s="1"/>
  <c r="W594" i="2"/>
  <c r="Z594" i="2" s="1"/>
  <c r="W595" i="2"/>
  <c r="Z595" i="2" s="1"/>
  <c r="W596" i="2"/>
  <c r="Z596" i="2" s="1"/>
  <c r="W597" i="2"/>
  <c r="Z597" i="2" s="1"/>
  <c r="W598" i="2"/>
  <c r="Z598" i="2" s="1"/>
  <c r="W599" i="2"/>
  <c r="Z599" i="2" s="1"/>
  <c r="W600" i="2"/>
  <c r="Z600" i="2" s="1"/>
  <c r="W601" i="2"/>
  <c r="Z601" i="2" s="1"/>
  <c r="W602" i="2"/>
  <c r="Z602" i="2" s="1"/>
  <c r="W603" i="2"/>
  <c r="Z603" i="2" s="1"/>
  <c r="W604" i="2"/>
  <c r="Z604" i="2" s="1"/>
  <c r="W605" i="2"/>
  <c r="Z605" i="2" s="1"/>
  <c r="W606" i="2"/>
  <c r="Z606" i="2" s="1"/>
  <c r="W607" i="2"/>
  <c r="Z607" i="2" s="1"/>
  <c r="W608" i="2"/>
  <c r="Z608" i="2" s="1"/>
  <c r="W609" i="2"/>
  <c r="Z609" i="2" s="1"/>
  <c r="W610" i="2"/>
  <c r="Z610" i="2" s="1"/>
  <c r="W611" i="2"/>
  <c r="Z611" i="2" s="1"/>
  <c r="W612" i="2"/>
  <c r="Z612" i="2" s="1"/>
  <c r="AC427" i="2"/>
  <c r="AC428" i="2"/>
  <c r="AC429" i="2"/>
  <c r="AC430" i="2"/>
  <c r="AC431" i="2"/>
  <c r="AC432" i="2"/>
  <c r="AC433" i="2"/>
  <c r="AC434" i="2"/>
  <c r="AC435" i="2"/>
  <c r="AC436" i="2"/>
  <c r="AC437" i="2"/>
  <c r="AC438" i="2"/>
  <c r="AC439" i="2"/>
  <c r="AC440" i="2"/>
  <c r="AC441" i="2"/>
  <c r="AC442" i="2"/>
  <c r="AC443" i="2"/>
  <c r="AC444" i="2"/>
  <c r="AC445" i="2"/>
  <c r="AC446" i="2"/>
  <c r="AC447" i="2"/>
  <c r="AC448" i="2"/>
  <c r="AC449" i="2"/>
  <c r="AC450" i="2"/>
  <c r="AC451" i="2"/>
  <c r="AC452" i="2"/>
  <c r="AC453" i="2"/>
  <c r="AC454" i="2"/>
  <c r="AC455" i="2"/>
  <c r="AC456" i="2"/>
  <c r="AC457" i="2"/>
  <c r="AC458" i="2"/>
  <c r="AC459" i="2"/>
  <c r="AC460" i="2"/>
  <c r="AC461" i="2"/>
  <c r="AC462" i="2"/>
  <c r="AC463" i="2"/>
  <c r="AC464" i="2"/>
  <c r="AC465" i="2"/>
  <c r="AC466" i="2"/>
  <c r="AC467" i="2"/>
  <c r="AC468" i="2"/>
  <c r="AC469" i="2"/>
  <c r="AC470" i="2"/>
  <c r="AC471" i="2"/>
  <c r="AC472" i="2"/>
  <c r="AC473" i="2"/>
  <c r="AC474" i="2"/>
  <c r="AC475" i="2"/>
  <c r="AC476" i="2"/>
  <c r="AC477" i="2"/>
  <c r="AC478" i="2"/>
  <c r="AC479" i="2"/>
  <c r="AC480" i="2"/>
  <c r="AC481" i="2"/>
  <c r="AC482" i="2"/>
  <c r="AC483" i="2"/>
  <c r="AC484" i="2"/>
  <c r="AC485" i="2"/>
  <c r="AC486" i="2"/>
  <c r="AC487" i="2"/>
  <c r="AC488" i="2"/>
  <c r="AC489" i="2"/>
  <c r="AC490" i="2"/>
  <c r="AC491" i="2"/>
  <c r="AC492" i="2"/>
  <c r="AC493" i="2"/>
  <c r="AC494" i="2"/>
  <c r="AC495" i="2"/>
  <c r="AC496" i="2"/>
  <c r="AC497" i="2"/>
  <c r="AC498" i="2"/>
  <c r="AC499" i="2"/>
  <c r="AC500" i="2"/>
  <c r="AC501" i="2"/>
  <c r="AC502" i="2"/>
  <c r="AC503" i="2"/>
  <c r="AC504" i="2"/>
  <c r="AC505" i="2"/>
  <c r="AC506" i="2"/>
  <c r="AC507" i="2"/>
  <c r="AC508" i="2"/>
  <c r="AC509" i="2"/>
  <c r="AC510" i="2"/>
  <c r="AC511" i="2"/>
  <c r="AC512" i="2"/>
  <c r="AC513" i="2"/>
  <c r="AC514" i="2"/>
  <c r="AC515" i="2"/>
  <c r="AC516" i="2"/>
  <c r="AC517" i="2"/>
  <c r="AC518" i="2"/>
  <c r="AC519" i="2"/>
  <c r="AC520" i="2"/>
  <c r="AC521" i="2"/>
  <c r="AC522" i="2"/>
  <c r="AC523" i="2"/>
  <c r="AC524" i="2"/>
  <c r="AC525" i="2"/>
  <c r="AC526" i="2"/>
  <c r="AC527" i="2"/>
  <c r="AC528" i="2"/>
  <c r="AC529" i="2"/>
  <c r="AC530" i="2"/>
  <c r="AC531" i="2"/>
  <c r="AC532" i="2"/>
  <c r="AC533" i="2"/>
  <c r="AC534" i="2"/>
  <c r="AC535" i="2"/>
  <c r="AC536" i="2"/>
  <c r="AC537" i="2"/>
  <c r="AC538" i="2"/>
  <c r="AC539" i="2"/>
  <c r="AC540" i="2"/>
  <c r="AC541" i="2"/>
  <c r="AC542" i="2"/>
  <c r="AC543" i="2"/>
  <c r="AC544" i="2"/>
  <c r="AC545" i="2"/>
  <c r="AC546" i="2"/>
  <c r="AC547" i="2"/>
  <c r="AC548" i="2"/>
  <c r="AC549" i="2"/>
  <c r="AC550" i="2"/>
  <c r="AC551" i="2"/>
  <c r="AC552" i="2"/>
  <c r="AC553" i="2"/>
  <c r="AC554" i="2"/>
  <c r="AC555" i="2"/>
  <c r="AC556" i="2"/>
  <c r="AC557" i="2"/>
  <c r="AC558" i="2"/>
  <c r="AC559" i="2"/>
  <c r="AC560" i="2"/>
  <c r="AC561" i="2"/>
  <c r="AC562" i="2"/>
  <c r="AC563" i="2"/>
  <c r="AC564" i="2"/>
  <c r="AC565" i="2"/>
  <c r="AC566" i="2"/>
  <c r="AC567" i="2"/>
  <c r="AC568" i="2"/>
  <c r="AC569" i="2"/>
  <c r="AC570" i="2"/>
  <c r="AC571" i="2"/>
  <c r="AC572" i="2"/>
  <c r="AC573" i="2"/>
  <c r="AC574" i="2"/>
  <c r="AC575" i="2"/>
  <c r="AC576" i="2"/>
  <c r="AC577" i="2"/>
  <c r="AC578" i="2"/>
  <c r="AC579" i="2"/>
  <c r="AC580" i="2"/>
  <c r="AC581" i="2"/>
  <c r="AC582" i="2"/>
  <c r="AC583" i="2"/>
  <c r="AC584" i="2"/>
  <c r="AC585" i="2"/>
  <c r="AC586" i="2"/>
  <c r="AC587" i="2"/>
  <c r="AC588" i="2"/>
  <c r="AC589" i="2"/>
  <c r="AC590" i="2"/>
  <c r="AC591" i="2"/>
  <c r="AC592" i="2"/>
  <c r="AC593" i="2"/>
  <c r="AC594" i="2"/>
  <c r="AC595" i="2"/>
  <c r="AC596" i="2"/>
  <c r="AC597" i="2"/>
  <c r="AC598" i="2"/>
  <c r="AC599" i="2"/>
  <c r="AC600" i="2"/>
  <c r="AC601" i="2"/>
  <c r="AC602" i="2"/>
  <c r="AC603" i="2"/>
  <c r="AC604" i="2"/>
  <c r="AC605" i="2"/>
  <c r="AC606" i="2"/>
  <c r="AC607" i="2"/>
  <c r="AC608" i="2"/>
  <c r="AC609" i="2"/>
  <c r="AC610" i="2"/>
  <c r="AC611" i="2"/>
  <c r="AC612" i="2"/>
  <c r="AE427" i="2"/>
  <c r="AE428" i="2"/>
  <c r="AE429" i="2"/>
  <c r="AE430" i="2"/>
  <c r="AE431" i="2"/>
  <c r="AE432" i="2"/>
  <c r="AE433" i="2"/>
  <c r="AE434" i="2"/>
  <c r="AE435" i="2"/>
  <c r="AE436" i="2"/>
  <c r="AE437" i="2"/>
  <c r="AE438" i="2"/>
  <c r="AE439" i="2"/>
  <c r="AE440" i="2"/>
  <c r="AE441" i="2"/>
  <c r="AE442" i="2"/>
  <c r="AE443" i="2"/>
  <c r="AE444" i="2"/>
  <c r="AE445" i="2"/>
  <c r="AE446" i="2"/>
  <c r="AE447" i="2"/>
  <c r="AE448" i="2"/>
  <c r="AE449" i="2"/>
  <c r="AE450" i="2"/>
  <c r="AE451" i="2"/>
  <c r="AE452" i="2"/>
  <c r="AE453" i="2"/>
  <c r="AE454" i="2"/>
  <c r="AE455" i="2"/>
  <c r="AE456" i="2"/>
  <c r="AE457" i="2"/>
  <c r="AE458" i="2"/>
  <c r="AE459" i="2"/>
  <c r="AE460" i="2"/>
  <c r="AE461" i="2"/>
  <c r="AE462" i="2"/>
  <c r="AE463" i="2"/>
  <c r="AE464" i="2"/>
  <c r="AE465" i="2"/>
  <c r="AE466" i="2"/>
  <c r="AE467" i="2"/>
  <c r="AE468" i="2"/>
  <c r="AE469" i="2"/>
  <c r="AE470" i="2"/>
  <c r="AE471" i="2"/>
  <c r="AE472" i="2"/>
  <c r="AE473" i="2"/>
  <c r="AE474" i="2"/>
  <c r="AE475" i="2"/>
  <c r="AE476" i="2"/>
  <c r="AE477" i="2"/>
  <c r="AE478" i="2"/>
  <c r="AE479" i="2"/>
  <c r="AE480" i="2"/>
  <c r="AE481" i="2"/>
  <c r="AE482" i="2"/>
  <c r="AE483" i="2"/>
  <c r="AE484" i="2"/>
  <c r="AE485" i="2"/>
  <c r="AE486" i="2"/>
  <c r="AE487" i="2"/>
  <c r="AE488" i="2"/>
  <c r="AE489" i="2"/>
  <c r="AE490" i="2"/>
  <c r="AE491" i="2"/>
  <c r="AE492" i="2"/>
  <c r="AE493" i="2"/>
  <c r="AE494" i="2"/>
  <c r="AE495" i="2"/>
  <c r="AE496" i="2"/>
  <c r="AE497" i="2"/>
  <c r="AE498" i="2"/>
  <c r="AE499" i="2"/>
  <c r="AE500" i="2"/>
  <c r="AE501" i="2"/>
  <c r="AE502" i="2"/>
  <c r="AE503" i="2"/>
  <c r="AE504" i="2"/>
  <c r="AE505" i="2"/>
  <c r="AE506" i="2"/>
  <c r="AE507" i="2"/>
  <c r="AE508" i="2"/>
  <c r="AE509" i="2"/>
  <c r="AE510" i="2"/>
  <c r="AE511" i="2"/>
  <c r="AE512" i="2"/>
  <c r="AE513" i="2"/>
  <c r="AE514" i="2"/>
  <c r="AE515" i="2"/>
  <c r="AE516" i="2"/>
  <c r="AE517" i="2"/>
  <c r="AE518" i="2"/>
  <c r="AE519" i="2"/>
  <c r="AE520" i="2"/>
  <c r="AE521" i="2"/>
  <c r="AE522" i="2"/>
  <c r="AE523" i="2"/>
  <c r="AE524" i="2"/>
  <c r="AE525" i="2"/>
  <c r="AE526" i="2"/>
  <c r="AE527" i="2"/>
  <c r="AE528" i="2"/>
  <c r="AE529" i="2"/>
  <c r="AE530" i="2"/>
  <c r="AE531" i="2"/>
  <c r="AE532" i="2"/>
  <c r="AE533" i="2"/>
  <c r="AE534" i="2"/>
  <c r="AE535" i="2"/>
  <c r="AE536" i="2"/>
  <c r="AE537" i="2"/>
  <c r="AE538" i="2"/>
  <c r="AE539" i="2"/>
  <c r="AE540" i="2"/>
  <c r="AE541" i="2"/>
  <c r="AE542" i="2"/>
  <c r="AE543" i="2"/>
  <c r="AE544" i="2"/>
  <c r="AE545" i="2"/>
  <c r="AE546" i="2"/>
  <c r="AE547" i="2"/>
  <c r="AE548" i="2"/>
  <c r="AE549" i="2"/>
  <c r="AE550" i="2"/>
  <c r="AE551" i="2"/>
  <c r="AE552" i="2"/>
  <c r="AE553" i="2"/>
  <c r="AE554" i="2"/>
  <c r="AE555" i="2"/>
  <c r="AE556" i="2"/>
  <c r="AE557" i="2"/>
  <c r="AE558" i="2"/>
  <c r="AE559" i="2"/>
  <c r="AE560" i="2"/>
  <c r="AE561" i="2"/>
  <c r="AE562" i="2"/>
  <c r="AE563" i="2"/>
  <c r="AE564" i="2"/>
  <c r="AE565" i="2"/>
  <c r="AE566" i="2"/>
  <c r="AE567" i="2"/>
  <c r="AE568" i="2"/>
  <c r="AE569" i="2"/>
  <c r="AE570" i="2"/>
  <c r="AE571" i="2"/>
  <c r="AE572" i="2"/>
  <c r="AE573" i="2"/>
  <c r="AE574" i="2"/>
  <c r="AE575" i="2"/>
  <c r="AE576" i="2"/>
  <c r="AE577" i="2"/>
  <c r="AE578" i="2"/>
  <c r="AE579" i="2"/>
  <c r="AE580" i="2"/>
  <c r="AE581" i="2"/>
  <c r="AE582" i="2"/>
  <c r="AE583" i="2"/>
  <c r="AE584" i="2"/>
  <c r="AE585" i="2"/>
  <c r="AE586" i="2"/>
  <c r="AE587" i="2"/>
  <c r="AE588" i="2"/>
  <c r="AE589" i="2"/>
  <c r="AE590" i="2"/>
  <c r="AE591" i="2"/>
  <c r="AE592" i="2"/>
  <c r="AE593" i="2"/>
  <c r="AE594" i="2"/>
  <c r="AE595" i="2"/>
  <c r="AE596" i="2"/>
  <c r="AE597" i="2"/>
  <c r="AE598" i="2"/>
  <c r="AE599" i="2"/>
  <c r="AE600" i="2"/>
  <c r="AE601" i="2"/>
  <c r="AE602" i="2"/>
  <c r="AE603" i="2"/>
  <c r="AE604" i="2"/>
  <c r="AE605" i="2"/>
  <c r="AE606" i="2"/>
  <c r="AE607" i="2"/>
  <c r="AE608" i="2"/>
  <c r="AE609" i="2"/>
  <c r="AE610" i="2"/>
  <c r="AE611" i="2"/>
  <c r="AE612" i="2"/>
  <c r="AG427" i="2"/>
  <c r="AG428" i="2"/>
  <c r="AG429" i="2"/>
  <c r="AG430" i="2"/>
  <c r="AG431" i="2"/>
  <c r="AG432" i="2"/>
  <c r="AG433" i="2"/>
  <c r="AG434" i="2"/>
  <c r="AG435" i="2"/>
  <c r="AG436" i="2"/>
  <c r="AG437" i="2"/>
  <c r="AG438" i="2"/>
  <c r="AG439" i="2"/>
  <c r="AG440" i="2"/>
  <c r="AG441" i="2"/>
  <c r="AG442" i="2"/>
  <c r="AG443" i="2"/>
  <c r="AG444" i="2"/>
  <c r="AG445" i="2"/>
  <c r="AG446" i="2"/>
  <c r="AG447" i="2"/>
  <c r="AG448" i="2"/>
  <c r="AG449" i="2"/>
  <c r="AG450" i="2"/>
  <c r="AG451" i="2"/>
  <c r="AG452" i="2"/>
  <c r="AG453" i="2"/>
  <c r="AG454" i="2"/>
  <c r="AG455" i="2"/>
  <c r="AG456" i="2"/>
  <c r="AG457" i="2"/>
  <c r="AG458" i="2"/>
  <c r="AG459" i="2"/>
  <c r="AG460" i="2"/>
  <c r="AG461" i="2"/>
  <c r="AG462" i="2"/>
  <c r="AG463" i="2"/>
  <c r="AG464" i="2"/>
  <c r="AG465" i="2"/>
  <c r="AG466" i="2"/>
  <c r="AG467" i="2"/>
  <c r="AG468" i="2"/>
  <c r="AG469" i="2"/>
  <c r="AG470" i="2"/>
  <c r="AG471" i="2"/>
  <c r="AG472" i="2"/>
  <c r="AG473" i="2"/>
  <c r="AG474" i="2"/>
  <c r="AG475" i="2"/>
  <c r="AG476" i="2"/>
  <c r="AG477" i="2"/>
  <c r="AG478" i="2"/>
  <c r="AG479" i="2"/>
  <c r="AG480" i="2"/>
  <c r="AG481" i="2"/>
  <c r="AG482" i="2"/>
  <c r="AG483" i="2"/>
  <c r="AG484" i="2"/>
  <c r="AG485" i="2"/>
  <c r="AG486" i="2"/>
  <c r="AG487" i="2"/>
  <c r="AG488" i="2"/>
  <c r="AG489" i="2"/>
  <c r="AG490" i="2"/>
  <c r="AG491" i="2"/>
  <c r="AG492" i="2"/>
  <c r="AG493" i="2"/>
  <c r="AG494" i="2"/>
  <c r="AG495" i="2"/>
  <c r="AG496" i="2"/>
  <c r="AG497" i="2"/>
  <c r="AG498" i="2"/>
  <c r="AG499" i="2"/>
  <c r="AG500" i="2"/>
  <c r="AG501" i="2"/>
  <c r="AG502" i="2"/>
  <c r="AG503" i="2"/>
  <c r="AG504" i="2"/>
  <c r="AG505" i="2"/>
  <c r="AG506" i="2"/>
  <c r="AG507" i="2"/>
  <c r="AG508" i="2"/>
  <c r="AG509" i="2"/>
  <c r="AG510" i="2"/>
  <c r="AG511" i="2"/>
  <c r="AG512" i="2"/>
  <c r="AG513" i="2"/>
  <c r="AG514" i="2"/>
  <c r="AG515" i="2"/>
  <c r="AG516" i="2"/>
  <c r="AG517" i="2"/>
  <c r="AG518" i="2"/>
  <c r="AG519" i="2"/>
  <c r="AG520" i="2"/>
  <c r="AG521" i="2"/>
  <c r="AG522" i="2"/>
  <c r="AG523" i="2"/>
  <c r="AG524" i="2"/>
  <c r="AG525" i="2"/>
  <c r="AG526" i="2"/>
  <c r="AG527" i="2"/>
  <c r="AG528" i="2"/>
  <c r="AG529" i="2"/>
  <c r="AG530" i="2"/>
  <c r="AG531" i="2"/>
  <c r="AG532" i="2"/>
  <c r="AG533" i="2"/>
  <c r="AG534" i="2"/>
  <c r="AG535" i="2"/>
  <c r="AG536" i="2"/>
  <c r="AG537" i="2"/>
  <c r="AG538" i="2"/>
  <c r="AG539" i="2"/>
  <c r="AG540" i="2"/>
  <c r="AG541" i="2"/>
  <c r="AG542" i="2"/>
  <c r="AG543" i="2"/>
  <c r="AG544" i="2"/>
  <c r="AG545" i="2"/>
  <c r="AG546" i="2"/>
  <c r="AG547" i="2"/>
  <c r="AG548" i="2"/>
  <c r="AG549" i="2"/>
  <c r="AG550" i="2"/>
  <c r="AG551" i="2"/>
  <c r="AG552" i="2"/>
  <c r="AG553" i="2"/>
  <c r="AG554" i="2"/>
  <c r="AG555" i="2"/>
  <c r="AG556" i="2"/>
  <c r="AG557" i="2"/>
  <c r="AG558" i="2"/>
  <c r="AG559" i="2"/>
  <c r="AG560" i="2"/>
  <c r="AG561" i="2"/>
  <c r="AG562" i="2"/>
  <c r="AG563" i="2"/>
  <c r="AG564" i="2"/>
  <c r="AG565" i="2"/>
  <c r="AG566" i="2"/>
  <c r="AG567" i="2"/>
  <c r="AG568" i="2"/>
  <c r="AG569" i="2"/>
  <c r="AG570" i="2"/>
  <c r="AG571" i="2"/>
  <c r="AG572" i="2"/>
  <c r="AG573" i="2"/>
  <c r="AG574" i="2"/>
  <c r="AG575" i="2"/>
  <c r="AG576" i="2"/>
  <c r="AG577" i="2"/>
  <c r="AG578" i="2"/>
  <c r="AG579" i="2"/>
  <c r="AG580" i="2"/>
  <c r="AG581" i="2"/>
  <c r="AG582" i="2"/>
  <c r="AG583" i="2"/>
  <c r="AG584" i="2"/>
  <c r="AG585" i="2"/>
  <c r="AG586" i="2"/>
  <c r="AG587" i="2"/>
  <c r="AG588" i="2"/>
  <c r="AG589" i="2"/>
  <c r="AG590" i="2"/>
  <c r="AG591" i="2"/>
  <c r="AG592" i="2"/>
  <c r="AG593" i="2"/>
  <c r="AG594" i="2"/>
  <c r="AG595" i="2"/>
  <c r="AG596" i="2"/>
  <c r="AG597" i="2"/>
  <c r="AG598" i="2"/>
  <c r="AG599" i="2"/>
  <c r="AG600" i="2"/>
  <c r="AG601" i="2"/>
  <c r="AG602" i="2"/>
  <c r="AG603" i="2"/>
  <c r="AG604" i="2"/>
  <c r="AG605" i="2"/>
  <c r="AG606" i="2"/>
  <c r="AG607" i="2"/>
  <c r="AG608" i="2"/>
  <c r="AG609" i="2"/>
  <c r="AG610" i="2"/>
  <c r="AG611" i="2"/>
  <c r="AG612" i="2"/>
  <c r="G426" i="2" l="1"/>
  <c r="G425" i="2"/>
  <c r="G424" i="2"/>
  <c r="G423" i="2"/>
  <c r="G421" i="2"/>
  <c r="G420" i="2"/>
  <c r="D421" i="2" a="1"/>
  <c r="D421" i="2" s="1"/>
  <c r="D422" i="2" a="1"/>
  <c r="D422" i="2" s="1"/>
  <c r="D423" i="2" a="1"/>
  <c r="D423" i="2" s="1"/>
  <c r="D424" i="2" a="1"/>
  <c r="D424" i="2" s="1"/>
  <c r="D425" i="2" a="1"/>
  <c r="D425" i="2" s="1"/>
  <c r="D426" i="2" a="1"/>
  <c r="D426" i="2" s="1"/>
  <c r="G422" i="2"/>
  <c r="L421" i="2"/>
  <c r="L422" i="2"/>
  <c r="L423" i="2"/>
  <c r="L424" i="2"/>
  <c r="L425" i="2"/>
  <c r="L426" i="2"/>
  <c r="W421" i="2"/>
  <c r="Z421" i="2" s="1"/>
  <c r="W422" i="2"/>
  <c r="Z422" i="2" s="1"/>
  <c r="W423" i="2"/>
  <c r="Z423" i="2" s="1"/>
  <c r="W424" i="2"/>
  <c r="Z424" i="2" s="1"/>
  <c r="W425" i="2"/>
  <c r="Z425" i="2" s="1"/>
  <c r="W426" i="2"/>
  <c r="Z426" i="2" s="1"/>
  <c r="AC421" i="2"/>
  <c r="AC422" i="2"/>
  <c r="AC423" i="2"/>
  <c r="AC424" i="2"/>
  <c r="AC425" i="2"/>
  <c r="AC426" i="2"/>
  <c r="AE421" i="2"/>
  <c r="AE422" i="2"/>
  <c r="AE423" i="2"/>
  <c r="AE424" i="2"/>
  <c r="AE425" i="2"/>
  <c r="AE426" i="2"/>
  <c r="AG421" i="2"/>
  <c r="AG422" i="2"/>
  <c r="AG423" i="2"/>
  <c r="AG424" i="2"/>
  <c r="AG425" i="2"/>
  <c r="AG426" i="2"/>
  <c r="D420" i="2" a="1"/>
  <c r="D420" i="2" s="1"/>
  <c r="L420" i="2"/>
  <c r="W420" i="2"/>
  <c r="Z420" i="2" s="1"/>
  <c r="AC420" i="2"/>
  <c r="AE420" i="2"/>
  <c r="AG420" i="2"/>
  <c r="D411" i="2" a="1"/>
  <c r="D411" i="2" s="1"/>
  <c r="D412" i="2" a="1"/>
  <c r="D412" i="2" s="1"/>
  <c r="D413" i="2" a="1"/>
  <c r="D413" i="2" s="1"/>
  <c r="D414" i="2" a="1"/>
  <c r="D414" i="2" s="1"/>
  <c r="D415" i="2" a="1"/>
  <c r="D415" i="2" s="1"/>
  <c r="D416" i="2" a="1"/>
  <c r="D416" i="2" s="1"/>
  <c r="D417" i="2" a="1"/>
  <c r="D417" i="2" s="1"/>
  <c r="D418" i="2" a="1"/>
  <c r="D418" i="2" s="1"/>
  <c r="D419" i="2" a="1"/>
  <c r="D419" i="2" s="1"/>
  <c r="G411" i="2"/>
  <c r="G412" i="2"/>
  <c r="G413" i="2"/>
  <c r="G414" i="2"/>
  <c r="G415" i="2"/>
  <c r="G416" i="2"/>
  <c r="G417" i="2"/>
  <c r="G418" i="2"/>
  <c r="G419" i="2"/>
  <c r="L411" i="2"/>
  <c r="L412" i="2"/>
  <c r="L413" i="2"/>
  <c r="L414" i="2"/>
  <c r="L415" i="2"/>
  <c r="L416" i="2"/>
  <c r="L417" i="2"/>
  <c r="L418" i="2"/>
  <c r="L419" i="2"/>
  <c r="W411" i="2"/>
  <c r="Z411" i="2" s="1"/>
  <c r="W412" i="2"/>
  <c r="Z412" i="2" s="1"/>
  <c r="W413" i="2"/>
  <c r="Z413" i="2" s="1"/>
  <c r="W414" i="2"/>
  <c r="Z414" i="2" s="1"/>
  <c r="W415" i="2"/>
  <c r="Z415" i="2" s="1"/>
  <c r="W416" i="2"/>
  <c r="Z416" i="2" s="1"/>
  <c r="W417" i="2"/>
  <c r="Z417" i="2" s="1"/>
  <c r="W418" i="2"/>
  <c r="Z418" i="2" s="1"/>
  <c r="W419" i="2"/>
  <c r="Z419" i="2" s="1"/>
  <c r="AC411" i="2"/>
  <c r="AC412" i="2"/>
  <c r="AC413" i="2"/>
  <c r="AC414" i="2"/>
  <c r="AC415" i="2"/>
  <c r="AC416" i="2"/>
  <c r="AC417" i="2"/>
  <c r="AC418" i="2"/>
  <c r="AC419" i="2"/>
  <c r="AE411" i="2"/>
  <c r="AE412" i="2"/>
  <c r="AE413" i="2"/>
  <c r="AE414" i="2"/>
  <c r="AE415" i="2"/>
  <c r="AE416" i="2"/>
  <c r="AE417" i="2"/>
  <c r="AE418" i="2"/>
  <c r="AE419" i="2"/>
  <c r="AG411" i="2"/>
  <c r="AG412" i="2"/>
  <c r="AG413" i="2"/>
  <c r="AG414" i="2"/>
  <c r="AG415" i="2"/>
  <c r="AG416" i="2"/>
  <c r="AG417" i="2"/>
  <c r="AG418" i="2"/>
  <c r="AG419" i="2"/>
  <c r="D410" i="2" a="1"/>
  <c r="D410" i="2" s="1"/>
  <c r="G410" i="2"/>
  <c r="L410" i="2"/>
  <c r="W410" i="2"/>
  <c r="Z410" i="2" s="1"/>
  <c r="AC410" i="2"/>
  <c r="AE410" i="2"/>
  <c r="AG410" i="2"/>
  <c r="D3" i="2" l="1" a="1"/>
  <c r="D3" i="2" s="1"/>
  <c r="D4" i="2" a="1"/>
  <c r="D4" i="2" s="1"/>
  <c r="D5" i="2" a="1"/>
  <c r="D5" i="2" s="1"/>
  <c r="D6" i="2" a="1"/>
  <c r="D6" i="2" s="1"/>
  <c r="D7" i="2" a="1"/>
  <c r="D7" i="2" s="1"/>
  <c r="D8" i="2" a="1"/>
  <c r="D8" i="2" s="1"/>
  <c r="D9" i="2" a="1"/>
  <c r="D9" i="2" s="1"/>
  <c r="D10" i="2" a="1"/>
  <c r="D10" i="2" s="1"/>
  <c r="D11" i="2" a="1"/>
  <c r="D11" i="2" s="1"/>
  <c r="D12" i="2" a="1"/>
  <c r="D12" i="2" s="1"/>
  <c r="D13" i="2" a="1"/>
  <c r="D13" i="2" s="1"/>
  <c r="D14" i="2" a="1"/>
  <c r="D14" i="2" s="1"/>
  <c r="D15" i="2" a="1"/>
  <c r="D15" i="2" s="1"/>
  <c r="D16" i="2" a="1"/>
  <c r="D16" i="2" s="1"/>
  <c r="D17" i="2" a="1"/>
  <c r="D17" i="2" s="1"/>
  <c r="D18" i="2" a="1"/>
  <c r="D18" i="2" s="1"/>
  <c r="D19" i="2" a="1"/>
  <c r="D19" i="2" s="1"/>
  <c r="D20" i="2" a="1"/>
  <c r="D20" i="2" s="1"/>
  <c r="D21" i="2" a="1"/>
  <c r="D21" i="2" s="1"/>
  <c r="D22" i="2" a="1"/>
  <c r="D22" i="2" s="1"/>
  <c r="D23" i="2" a="1"/>
  <c r="D23" i="2" s="1"/>
  <c r="D24" i="2" a="1"/>
  <c r="D24" i="2" s="1"/>
  <c r="D25" i="2" a="1"/>
  <c r="D25" i="2" s="1"/>
  <c r="D26" i="2" a="1"/>
  <c r="D26" i="2" s="1"/>
  <c r="D27" i="2" a="1"/>
  <c r="D27" i="2" s="1"/>
  <c r="D28" i="2" a="1"/>
  <c r="D28" i="2" s="1"/>
  <c r="D29" i="2" a="1"/>
  <c r="D29" i="2" s="1"/>
  <c r="D30" i="2" a="1"/>
  <c r="D30" i="2" s="1"/>
  <c r="D31" i="2" a="1"/>
  <c r="D31" i="2" s="1"/>
  <c r="D32" i="2" a="1"/>
  <c r="D32" i="2" s="1"/>
  <c r="D33" i="2" a="1"/>
  <c r="D33" i="2" s="1"/>
  <c r="D34" i="2" a="1"/>
  <c r="D34" i="2" s="1"/>
  <c r="D35" i="2" a="1"/>
  <c r="D35" i="2" s="1"/>
  <c r="D36" i="2" a="1"/>
  <c r="D36" i="2" s="1"/>
  <c r="D37" i="2" a="1"/>
  <c r="D37" i="2" s="1"/>
  <c r="D38" i="2" a="1"/>
  <c r="D38" i="2" s="1"/>
  <c r="D39" i="2" a="1"/>
  <c r="D39" i="2" s="1"/>
  <c r="D40" i="2" a="1"/>
  <c r="D40" i="2" s="1"/>
  <c r="D41" i="2" a="1"/>
  <c r="D41" i="2" s="1"/>
  <c r="D42" i="2" a="1"/>
  <c r="D42" i="2" s="1"/>
  <c r="D43" i="2" a="1"/>
  <c r="D43" i="2" s="1"/>
  <c r="D44" i="2" a="1"/>
  <c r="D44" i="2" s="1"/>
  <c r="D45" i="2" a="1"/>
  <c r="D45" i="2" s="1"/>
  <c r="D46" i="2" a="1"/>
  <c r="D46" i="2" s="1"/>
  <c r="D47" i="2" a="1"/>
  <c r="D47" i="2" s="1"/>
  <c r="D48" i="2" a="1"/>
  <c r="D48" i="2" s="1"/>
  <c r="D49" i="2" a="1"/>
  <c r="D49" i="2" s="1"/>
  <c r="D50" i="2" a="1"/>
  <c r="D50" i="2" s="1"/>
  <c r="D51" i="2" a="1"/>
  <c r="D51" i="2" s="1"/>
  <c r="D52" i="2" a="1"/>
  <c r="D52" i="2" s="1"/>
  <c r="D53" i="2" a="1"/>
  <c r="D53" i="2" s="1"/>
  <c r="D54" i="2" a="1"/>
  <c r="D54" i="2" s="1"/>
  <c r="D55" i="2" a="1"/>
  <c r="D55" i="2" s="1"/>
  <c r="D56" i="2" a="1"/>
  <c r="D56" i="2" s="1"/>
  <c r="D57" i="2" a="1"/>
  <c r="D57" i="2" s="1"/>
  <c r="D58" i="2" a="1"/>
  <c r="D58" i="2" s="1"/>
  <c r="D59" i="2" a="1"/>
  <c r="D59" i="2" s="1"/>
  <c r="D60" i="2" a="1"/>
  <c r="D60" i="2" s="1"/>
  <c r="D61" i="2" a="1"/>
  <c r="D61" i="2" s="1"/>
  <c r="D62" i="2" a="1"/>
  <c r="D62" i="2" s="1"/>
  <c r="D63" i="2" a="1"/>
  <c r="D63" i="2" s="1"/>
  <c r="D64" i="2" a="1"/>
  <c r="D64" i="2" s="1"/>
  <c r="D65" i="2" a="1"/>
  <c r="D65" i="2" s="1"/>
  <c r="D66" i="2" a="1"/>
  <c r="D66" i="2" s="1"/>
  <c r="D67" i="2" a="1"/>
  <c r="D67" i="2" s="1"/>
  <c r="D68" i="2" a="1"/>
  <c r="D68" i="2" s="1"/>
  <c r="D69" i="2" a="1"/>
  <c r="D69" i="2" s="1"/>
  <c r="D70" i="2" a="1"/>
  <c r="D70" i="2" s="1"/>
  <c r="D71" i="2" a="1"/>
  <c r="D71" i="2" s="1"/>
  <c r="D72" i="2" a="1"/>
  <c r="D72" i="2" s="1"/>
  <c r="D73" i="2" a="1"/>
  <c r="D73" i="2" s="1"/>
  <c r="D74" i="2" a="1"/>
  <c r="D74" i="2" s="1"/>
  <c r="D75" i="2" a="1"/>
  <c r="D75" i="2" s="1"/>
  <c r="D76" i="2" a="1"/>
  <c r="D76" i="2" s="1"/>
  <c r="D77" i="2" a="1"/>
  <c r="D77" i="2" s="1"/>
  <c r="D78" i="2" a="1"/>
  <c r="D78" i="2" s="1"/>
  <c r="D79" i="2" a="1"/>
  <c r="D79" i="2" s="1"/>
  <c r="D80" i="2" a="1"/>
  <c r="D80" i="2" s="1"/>
  <c r="D81" i="2" a="1"/>
  <c r="D81" i="2" s="1"/>
  <c r="D82" i="2" a="1"/>
  <c r="D82" i="2" s="1"/>
  <c r="D83" i="2" a="1"/>
  <c r="D83" i="2" s="1"/>
  <c r="D84" i="2" a="1"/>
  <c r="D84" i="2" s="1"/>
  <c r="D85" i="2" a="1"/>
  <c r="D85" i="2" s="1"/>
  <c r="D86" i="2" a="1"/>
  <c r="D86" i="2" s="1"/>
  <c r="D87" i="2" a="1"/>
  <c r="D87" i="2" s="1"/>
  <c r="D88" i="2" a="1"/>
  <c r="D88" i="2" s="1"/>
  <c r="D89" i="2" a="1"/>
  <c r="D89" i="2" s="1"/>
  <c r="D90" i="2" a="1"/>
  <c r="D90" i="2" s="1"/>
  <c r="D91" i="2" a="1"/>
  <c r="D91" i="2" s="1"/>
  <c r="D92" i="2" a="1"/>
  <c r="D92" i="2" s="1"/>
  <c r="D93" i="2" a="1"/>
  <c r="D93" i="2" s="1"/>
  <c r="D94" i="2" a="1"/>
  <c r="D94" i="2" s="1"/>
  <c r="D95" i="2" a="1"/>
  <c r="D95" i="2" s="1"/>
  <c r="D96" i="2" a="1"/>
  <c r="D96" i="2" s="1"/>
  <c r="D97" i="2" a="1"/>
  <c r="D97" i="2" s="1"/>
  <c r="D98" i="2" a="1"/>
  <c r="D98" i="2" s="1"/>
  <c r="D99" i="2" a="1"/>
  <c r="D99" i="2" s="1"/>
  <c r="D100" i="2" a="1"/>
  <c r="D100" i="2" s="1"/>
  <c r="D101" i="2" a="1"/>
  <c r="D101" i="2" s="1"/>
  <c r="D102" i="2" a="1"/>
  <c r="D102" i="2" s="1"/>
  <c r="D103" i="2" a="1"/>
  <c r="D103" i="2" s="1"/>
  <c r="D104" i="2" a="1"/>
  <c r="D104" i="2" s="1"/>
  <c r="D105" i="2" a="1"/>
  <c r="D105" i="2" s="1"/>
  <c r="D106" i="2" a="1"/>
  <c r="D106" i="2" s="1"/>
  <c r="D107" i="2" a="1"/>
  <c r="D107" i="2" s="1"/>
  <c r="D108" i="2" a="1"/>
  <c r="D108" i="2" s="1"/>
  <c r="D109" i="2" a="1"/>
  <c r="D109" i="2" s="1"/>
  <c r="D110" i="2" a="1"/>
  <c r="D110" i="2" s="1"/>
  <c r="D111" i="2" a="1"/>
  <c r="D111" i="2" s="1"/>
  <c r="D112" i="2" a="1"/>
  <c r="D112" i="2" s="1"/>
  <c r="D113" i="2" a="1"/>
  <c r="D113" i="2" s="1"/>
  <c r="D114" i="2" a="1"/>
  <c r="D114" i="2" s="1"/>
  <c r="D115" i="2" a="1"/>
  <c r="D115" i="2" s="1"/>
  <c r="D116" i="2" a="1"/>
  <c r="D116" i="2" s="1"/>
  <c r="D117" i="2" a="1"/>
  <c r="D117" i="2" s="1"/>
  <c r="D118" i="2" a="1"/>
  <c r="D118" i="2" s="1"/>
  <c r="D119" i="2" a="1"/>
  <c r="D119" i="2" s="1"/>
  <c r="D120" i="2" a="1"/>
  <c r="D120" i="2" s="1"/>
  <c r="D121" i="2" a="1"/>
  <c r="D121" i="2" s="1"/>
  <c r="D122" i="2" a="1"/>
  <c r="D122" i="2" s="1"/>
  <c r="D123" i="2" a="1"/>
  <c r="D123" i="2" s="1"/>
  <c r="D124" i="2" a="1"/>
  <c r="D124" i="2" s="1"/>
  <c r="D125" i="2" a="1"/>
  <c r="D125" i="2" s="1"/>
  <c r="D126" i="2" a="1"/>
  <c r="D126" i="2" s="1"/>
  <c r="D127" i="2" a="1"/>
  <c r="D127" i="2" s="1"/>
  <c r="D128" i="2" a="1"/>
  <c r="D128" i="2" s="1"/>
  <c r="D129" i="2" a="1"/>
  <c r="D129" i="2" s="1"/>
  <c r="D130" i="2" a="1"/>
  <c r="D130" i="2" s="1"/>
  <c r="D131" i="2" a="1"/>
  <c r="D131" i="2" s="1"/>
  <c r="D132" i="2" a="1"/>
  <c r="D132" i="2" s="1"/>
  <c r="D133" i="2" a="1"/>
  <c r="D133" i="2" s="1"/>
  <c r="D134" i="2" a="1"/>
  <c r="D134" i="2" s="1"/>
  <c r="D135" i="2" a="1"/>
  <c r="D135" i="2" s="1"/>
  <c r="D136" i="2" a="1"/>
  <c r="D136" i="2" s="1"/>
  <c r="D137" i="2" a="1"/>
  <c r="D137" i="2" s="1"/>
  <c r="D138" i="2" a="1"/>
  <c r="D138" i="2" s="1"/>
  <c r="D139" i="2" a="1"/>
  <c r="D139" i="2" s="1"/>
  <c r="D140" i="2" a="1"/>
  <c r="D140" i="2" s="1"/>
  <c r="D141" i="2" a="1"/>
  <c r="D141" i="2" s="1"/>
  <c r="D142" i="2" a="1"/>
  <c r="D142" i="2" s="1"/>
  <c r="D143" i="2" a="1"/>
  <c r="D143" i="2" s="1"/>
  <c r="D144" i="2" a="1"/>
  <c r="D144" i="2" s="1"/>
  <c r="D145" i="2" a="1"/>
  <c r="D145" i="2" s="1"/>
  <c r="D146" i="2" a="1"/>
  <c r="D146" i="2" s="1"/>
  <c r="D147" i="2" a="1"/>
  <c r="D147" i="2" s="1"/>
  <c r="D148" i="2" a="1"/>
  <c r="D148" i="2" s="1"/>
  <c r="D149" i="2" a="1"/>
  <c r="D149" i="2" s="1"/>
  <c r="D150" i="2" a="1"/>
  <c r="D150" i="2" s="1"/>
  <c r="D151" i="2" a="1"/>
  <c r="D151" i="2" s="1"/>
  <c r="D152" i="2" a="1"/>
  <c r="D152" i="2" s="1"/>
  <c r="D153" i="2" a="1"/>
  <c r="D153" i="2" s="1"/>
  <c r="D154" i="2" a="1"/>
  <c r="D154" i="2" s="1"/>
  <c r="D155" i="2" a="1"/>
  <c r="D155" i="2" s="1"/>
  <c r="D156" i="2" a="1"/>
  <c r="D156" i="2" s="1"/>
  <c r="D157" i="2" a="1"/>
  <c r="D157" i="2" s="1"/>
  <c r="D158" i="2" a="1"/>
  <c r="D158" i="2" s="1"/>
  <c r="D159" i="2" a="1"/>
  <c r="D159" i="2" s="1"/>
  <c r="D160" i="2" a="1"/>
  <c r="D160" i="2" s="1"/>
  <c r="D161" i="2" a="1"/>
  <c r="D161" i="2" s="1"/>
  <c r="D162" i="2" a="1"/>
  <c r="D162" i="2" s="1"/>
  <c r="D163" i="2" a="1"/>
  <c r="D163" i="2" s="1"/>
  <c r="D164" i="2" a="1"/>
  <c r="D164" i="2" s="1"/>
  <c r="D165" i="2" a="1"/>
  <c r="D165" i="2" s="1"/>
  <c r="D166" i="2" a="1"/>
  <c r="D166" i="2" s="1"/>
  <c r="D167" i="2" a="1"/>
  <c r="D167" i="2" s="1"/>
  <c r="D168" i="2" a="1"/>
  <c r="D168" i="2" s="1"/>
  <c r="D169" i="2" a="1"/>
  <c r="D169" i="2" s="1"/>
  <c r="D170" i="2" a="1"/>
  <c r="D170" i="2" s="1"/>
  <c r="D171" i="2" a="1"/>
  <c r="D171" i="2" s="1"/>
  <c r="D172" i="2" a="1"/>
  <c r="D172" i="2" s="1"/>
  <c r="D173" i="2" a="1"/>
  <c r="D173" i="2" s="1"/>
  <c r="D174" i="2" a="1"/>
  <c r="D174" i="2" s="1"/>
  <c r="D175" i="2" a="1"/>
  <c r="D175" i="2" s="1"/>
  <c r="D176" i="2" a="1"/>
  <c r="D176" i="2" s="1"/>
  <c r="D177" i="2" a="1"/>
  <c r="D177" i="2" s="1"/>
  <c r="D178" i="2" a="1"/>
  <c r="D178" i="2" s="1"/>
  <c r="D179" i="2" a="1"/>
  <c r="D179" i="2" s="1"/>
  <c r="D180" i="2" a="1"/>
  <c r="D180" i="2" s="1"/>
  <c r="D181" i="2" a="1"/>
  <c r="D181" i="2" s="1"/>
  <c r="D182" i="2" a="1"/>
  <c r="D182" i="2" s="1"/>
  <c r="D183" i="2" a="1"/>
  <c r="D183" i="2" s="1"/>
  <c r="D184" i="2" a="1"/>
  <c r="D184" i="2" s="1"/>
  <c r="D185" i="2" a="1"/>
  <c r="D185" i="2" s="1"/>
  <c r="D186" i="2" a="1"/>
  <c r="D186" i="2" s="1"/>
  <c r="D187" i="2" a="1"/>
  <c r="D187" i="2" s="1"/>
  <c r="D188" i="2" a="1"/>
  <c r="D188" i="2" s="1"/>
  <c r="D189" i="2" a="1"/>
  <c r="D189" i="2" s="1"/>
  <c r="D190" i="2" a="1"/>
  <c r="D190" i="2" s="1"/>
  <c r="D191" i="2" a="1"/>
  <c r="D191" i="2" s="1"/>
  <c r="D192" i="2" a="1"/>
  <c r="D192" i="2" s="1"/>
  <c r="D193" i="2" a="1"/>
  <c r="D193" i="2" s="1"/>
  <c r="D194" i="2" a="1"/>
  <c r="D194" i="2" s="1"/>
  <c r="D195" i="2" a="1"/>
  <c r="D195" i="2" s="1"/>
  <c r="D196" i="2" a="1"/>
  <c r="D196" i="2" s="1"/>
  <c r="D197" i="2" a="1"/>
  <c r="D197" i="2" s="1"/>
  <c r="D198" i="2" a="1"/>
  <c r="D198" i="2" s="1"/>
  <c r="D199" i="2" a="1"/>
  <c r="D199" i="2" s="1"/>
  <c r="D200" i="2" a="1"/>
  <c r="D200" i="2" s="1"/>
  <c r="D201" i="2" a="1"/>
  <c r="D201" i="2" s="1"/>
  <c r="D202" i="2" a="1"/>
  <c r="D202" i="2" s="1"/>
  <c r="D203" i="2" a="1"/>
  <c r="D203" i="2" s="1"/>
  <c r="D204" i="2" a="1"/>
  <c r="D204" i="2" s="1"/>
  <c r="D205" i="2" a="1"/>
  <c r="D205" i="2" s="1"/>
  <c r="D206" i="2" a="1"/>
  <c r="D206" i="2" s="1"/>
  <c r="D207" i="2" a="1"/>
  <c r="D207" i="2" s="1"/>
  <c r="D208" i="2" a="1"/>
  <c r="D208" i="2" s="1"/>
  <c r="D209" i="2" a="1"/>
  <c r="D209" i="2" s="1"/>
  <c r="D210" i="2" a="1"/>
  <c r="D210" i="2" s="1"/>
  <c r="D211" i="2" a="1"/>
  <c r="D211" i="2" s="1"/>
  <c r="D212" i="2" a="1"/>
  <c r="D212" i="2" s="1"/>
  <c r="D213" i="2" a="1"/>
  <c r="D213" i="2" s="1"/>
  <c r="D214" i="2" a="1"/>
  <c r="D214" i="2" s="1"/>
  <c r="D215" i="2" a="1"/>
  <c r="D215" i="2" s="1"/>
  <c r="D216" i="2" a="1"/>
  <c r="D216" i="2" s="1"/>
  <c r="D217" i="2" a="1"/>
  <c r="D217" i="2" s="1"/>
  <c r="D218" i="2" a="1"/>
  <c r="D218" i="2" s="1"/>
  <c r="D219" i="2" a="1"/>
  <c r="D219" i="2" s="1"/>
  <c r="D220" i="2" a="1"/>
  <c r="D220" i="2" s="1"/>
  <c r="D221" i="2" a="1"/>
  <c r="D221" i="2" s="1"/>
  <c r="D222" i="2" a="1"/>
  <c r="D222" i="2" s="1"/>
  <c r="D223" i="2" a="1"/>
  <c r="D223" i="2" s="1"/>
  <c r="D224" i="2" a="1"/>
  <c r="D224" i="2" s="1"/>
  <c r="D225" i="2" a="1"/>
  <c r="D225" i="2" s="1"/>
  <c r="D226" i="2" a="1"/>
  <c r="D226" i="2" s="1"/>
  <c r="D227" i="2" a="1"/>
  <c r="D227" i="2" s="1"/>
  <c r="D228" i="2" a="1"/>
  <c r="D228" i="2" s="1"/>
  <c r="D229" i="2" a="1"/>
  <c r="D229" i="2" s="1"/>
  <c r="D230" i="2" a="1"/>
  <c r="D230" i="2" s="1"/>
  <c r="D231" i="2" a="1"/>
  <c r="D231" i="2" s="1"/>
  <c r="D232" i="2" a="1"/>
  <c r="D232" i="2" s="1"/>
  <c r="D233" i="2" a="1"/>
  <c r="D233" i="2" s="1"/>
  <c r="D234" i="2" a="1"/>
  <c r="D234" i="2" s="1"/>
  <c r="D235" i="2" a="1"/>
  <c r="D235" i="2" s="1"/>
  <c r="D236" i="2" a="1"/>
  <c r="D236" i="2" s="1"/>
  <c r="D237" i="2" a="1"/>
  <c r="D237" i="2" s="1"/>
  <c r="D238" i="2" a="1"/>
  <c r="D238" i="2" s="1"/>
  <c r="D239" i="2" a="1"/>
  <c r="D239" i="2" s="1"/>
  <c r="D240" i="2" a="1"/>
  <c r="D240" i="2" s="1"/>
  <c r="D241" i="2" a="1"/>
  <c r="D241" i="2" s="1"/>
  <c r="D242" i="2" a="1"/>
  <c r="D242" i="2" s="1"/>
  <c r="D243" i="2" a="1"/>
  <c r="D243" i="2" s="1"/>
  <c r="D244" i="2" a="1"/>
  <c r="D244" i="2" s="1"/>
  <c r="D245" i="2" a="1"/>
  <c r="D245" i="2" s="1"/>
  <c r="D246" i="2" a="1"/>
  <c r="D246" i="2" s="1"/>
  <c r="D247" i="2" a="1"/>
  <c r="D247" i="2" s="1"/>
  <c r="D248" i="2" a="1"/>
  <c r="D248" i="2" s="1"/>
  <c r="D249" i="2" a="1"/>
  <c r="D249" i="2" s="1"/>
  <c r="D250" i="2" a="1"/>
  <c r="D250" i="2" s="1"/>
  <c r="D251" i="2" a="1"/>
  <c r="D251" i="2" s="1"/>
  <c r="D252" i="2" a="1"/>
  <c r="D252" i="2" s="1"/>
  <c r="D253" i="2" a="1"/>
  <c r="D253" i="2" s="1"/>
  <c r="D254" i="2" a="1"/>
  <c r="D254" i="2" s="1"/>
  <c r="D255" i="2" a="1"/>
  <c r="D255" i="2" s="1"/>
  <c r="D256" i="2" a="1"/>
  <c r="D256" i="2" s="1"/>
  <c r="D257" i="2" a="1"/>
  <c r="D257" i="2" s="1"/>
  <c r="D258" i="2" a="1"/>
  <c r="D258" i="2" s="1"/>
  <c r="D259" i="2" a="1"/>
  <c r="D259" i="2" s="1"/>
  <c r="D260" i="2" a="1"/>
  <c r="D260" i="2" s="1"/>
  <c r="D261" i="2" a="1"/>
  <c r="D261" i="2" s="1"/>
  <c r="D262" i="2" a="1"/>
  <c r="D262" i="2" s="1"/>
  <c r="D263" i="2" a="1"/>
  <c r="D263" i="2" s="1"/>
  <c r="D264" i="2" a="1"/>
  <c r="D264" i="2" s="1"/>
  <c r="D265" i="2" a="1"/>
  <c r="D265" i="2" s="1"/>
  <c r="D266" i="2" a="1"/>
  <c r="D266" i="2" s="1"/>
  <c r="D267" i="2" a="1"/>
  <c r="D267" i="2" s="1"/>
  <c r="D268" i="2" a="1"/>
  <c r="D268" i="2" s="1"/>
  <c r="D269" i="2" a="1"/>
  <c r="D269" i="2" s="1"/>
  <c r="D270" i="2" a="1"/>
  <c r="D270" i="2" s="1"/>
  <c r="D271" i="2" a="1"/>
  <c r="D271" i="2" s="1"/>
  <c r="D272" i="2" a="1"/>
  <c r="D272" i="2" s="1"/>
  <c r="D273" i="2" a="1"/>
  <c r="D273" i="2" s="1"/>
  <c r="D274" i="2" a="1"/>
  <c r="D274" i="2" s="1"/>
  <c r="D275" i="2" a="1"/>
  <c r="D275" i="2" s="1"/>
  <c r="D276" i="2" a="1"/>
  <c r="D276" i="2" s="1"/>
  <c r="D277" i="2" a="1"/>
  <c r="D277" i="2" s="1"/>
  <c r="D278" i="2" a="1"/>
  <c r="D278" i="2" s="1"/>
  <c r="D279" i="2" a="1"/>
  <c r="D279" i="2" s="1"/>
  <c r="D280" i="2" a="1"/>
  <c r="D280" i="2" s="1"/>
  <c r="D281" i="2" a="1"/>
  <c r="D281" i="2" s="1"/>
  <c r="D282" i="2" a="1"/>
  <c r="D282" i="2" s="1"/>
  <c r="D283" i="2" a="1"/>
  <c r="D283" i="2" s="1"/>
  <c r="D284" i="2" a="1"/>
  <c r="D284" i="2" s="1"/>
  <c r="D285" i="2" a="1"/>
  <c r="D285" i="2" s="1"/>
  <c r="D286" i="2" a="1"/>
  <c r="D286" i="2" s="1"/>
  <c r="D287" i="2" a="1"/>
  <c r="D287" i="2" s="1"/>
  <c r="D288" i="2" a="1"/>
  <c r="D288" i="2" s="1"/>
  <c r="D289" i="2" a="1"/>
  <c r="D289" i="2" s="1"/>
  <c r="D290" i="2" a="1"/>
  <c r="D290" i="2" s="1"/>
  <c r="D291" i="2" a="1"/>
  <c r="D291" i="2" s="1"/>
  <c r="D292" i="2" a="1"/>
  <c r="D292" i="2" s="1"/>
  <c r="D293" i="2" a="1"/>
  <c r="D293" i="2" s="1"/>
  <c r="D294" i="2" a="1"/>
  <c r="D294" i="2" s="1"/>
  <c r="D295" i="2" a="1"/>
  <c r="D295" i="2" s="1"/>
  <c r="D296" i="2" a="1"/>
  <c r="D296" i="2" s="1"/>
  <c r="D297" i="2" a="1"/>
  <c r="D297" i="2" s="1"/>
  <c r="D298" i="2" a="1"/>
  <c r="D298" i="2" s="1"/>
  <c r="D299" i="2" a="1"/>
  <c r="D299" i="2" s="1"/>
  <c r="D300" i="2" a="1"/>
  <c r="D300" i="2" s="1"/>
  <c r="D301" i="2" a="1"/>
  <c r="D301" i="2" s="1"/>
  <c r="D302" i="2" a="1"/>
  <c r="D302" i="2" s="1"/>
  <c r="D303" i="2" a="1"/>
  <c r="D303" i="2" s="1"/>
  <c r="D304" i="2" a="1"/>
  <c r="D304" i="2" s="1"/>
  <c r="D305" i="2" a="1"/>
  <c r="D305" i="2" s="1"/>
  <c r="D306" i="2" a="1"/>
  <c r="D306" i="2" s="1"/>
  <c r="D307" i="2" a="1"/>
  <c r="D307" i="2" s="1"/>
  <c r="D308" i="2" a="1"/>
  <c r="D308" i="2" s="1"/>
  <c r="D309" i="2" a="1"/>
  <c r="D309" i="2" s="1"/>
  <c r="D310" i="2" a="1"/>
  <c r="D310" i="2" s="1"/>
  <c r="D311" i="2" a="1"/>
  <c r="D311" i="2" s="1"/>
  <c r="D312" i="2" a="1"/>
  <c r="D312" i="2" s="1"/>
  <c r="D313" i="2" a="1"/>
  <c r="D313" i="2" s="1"/>
  <c r="D314" i="2" a="1"/>
  <c r="D314" i="2" s="1"/>
  <c r="D315" i="2" a="1"/>
  <c r="D315" i="2" s="1"/>
  <c r="D316" i="2" a="1"/>
  <c r="D316" i="2" s="1"/>
  <c r="D317" i="2" a="1"/>
  <c r="D317" i="2" s="1"/>
  <c r="D318" i="2" a="1"/>
  <c r="D318" i="2" s="1"/>
  <c r="D319" i="2" a="1"/>
  <c r="D319" i="2" s="1"/>
  <c r="D320" i="2" a="1"/>
  <c r="D320" i="2" s="1"/>
  <c r="D321" i="2" a="1"/>
  <c r="D321" i="2" s="1"/>
  <c r="D322" i="2" a="1"/>
  <c r="D322" i="2" s="1"/>
  <c r="D323" i="2" a="1"/>
  <c r="D323" i="2" s="1"/>
  <c r="D324" i="2" a="1"/>
  <c r="D324" i="2" s="1"/>
  <c r="D325" i="2" a="1"/>
  <c r="D325" i="2" s="1"/>
  <c r="D326" i="2" a="1"/>
  <c r="D326" i="2" s="1"/>
  <c r="D327" i="2" a="1"/>
  <c r="D327" i="2" s="1"/>
  <c r="D328" i="2" a="1"/>
  <c r="D328" i="2" s="1"/>
  <c r="D329" i="2" a="1"/>
  <c r="D329" i="2" s="1"/>
  <c r="D330" i="2" a="1"/>
  <c r="D330" i="2" s="1"/>
  <c r="D331" i="2" a="1"/>
  <c r="D331" i="2" s="1"/>
  <c r="D332" i="2" a="1"/>
  <c r="D332" i="2" s="1"/>
  <c r="D333" i="2" a="1"/>
  <c r="D333" i="2" s="1"/>
  <c r="D334" i="2" a="1"/>
  <c r="D334" i="2" s="1"/>
  <c r="D335" i="2" a="1"/>
  <c r="D335" i="2" s="1"/>
  <c r="D336" i="2" a="1"/>
  <c r="D336" i="2" s="1"/>
  <c r="D337" i="2" a="1"/>
  <c r="D337" i="2" s="1"/>
  <c r="D338" i="2" a="1"/>
  <c r="D338" i="2" s="1"/>
  <c r="D339" i="2" a="1"/>
  <c r="D339" i="2" s="1"/>
  <c r="D340" i="2" a="1"/>
  <c r="D340" i="2" s="1"/>
  <c r="D341" i="2" a="1"/>
  <c r="D341" i="2" s="1"/>
  <c r="D342" i="2" a="1"/>
  <c r="D342" i="2" s="1"/>
  <c r="D343" i="2" a="1"/>
  <c r="D343" i="2" s="1"/>
  <c r="D344" i="2" a="1"/>
  <c r="D344" i="2" s="1"/>
  <c r="D345" i="2" a="1"/>
  <c r="D345" i="2" s="1"/>
  <c r="D346" i="2" a="1"/>
  <c r="D346" i="2" s="1"/>
  <c r="D347" i="2" a="1"/>
  <c r="D347" i="2" s="1"/>
  <c r="D348" i="2" a="1"/>
  <c r="D348" i="2" s="1"/>
  <c r="D349" i="2" a="1"/>
  <c r="D349" i="2" s="1"/>
  <c r="D350" i="2" a="1"/>
  <c r="D350" i="2" s="1"/>
  <c r="D351" i="2" a="1"/>
  <c r="D351" i="2" s="1"/>
  <c r="D352" i="2" a="1"/>
  <c r="D352" i="2" s="1"/>
  <c r="D353" i="2" a="1"/>
  <c r="D353" i="2" s="1"/>
  <c r="D354" i="2" a="1"/>
  <c r="D354" i="2" s="1"/>
  <c r="D355" i="2" a="1"/>
  <c r="D355" i="2" s="1"/>
  <c r="D356" i="2" a="1"/>
  <c r="D356" i="2" s="1"/>
  <c r="D357" i="2" a="1"/>
  <c r="D357" i="2" s="1"/>
  <c r="D358" i="2" a="1"/>
  <c r="D358" i="2" s="1"/>
  <c r="D359" i="2" a="1"/>
  <c r="D359" i="2" s="1"/>
  <c r="D360" i="2" a="1"/>
  <c r="D360" i="2" s="1"/>
  <c r="D361" i="2" a="1"/>
  <c r="D361" i="2" s="1"/>
  <c r="D362" i="2" a="1"/>
  <c r="D362" i="2" s="1"/>
  <c r="D363" i="2" a="1"/>
  <c r="D363" i="2" s="1"/>
  <c r="D364" i="2" a="1"/>
  <c r="D364" i="2" s="1"/>
  <c r="D365" i="2" a="1"/>
  <c r="D365" i="2" s="1"/>
  <c r="D366" i="2" a="1"/>
  <c r="D366" i="2" s="1"/>
  <c r="D367" i="2" a="1"/>
  <c r="D367" i="2" s="1"/>
  <c r="D368" i="2" a="1"/>
  <c r="D368" i="2" s="1"/>
  <c r="D369" i="2" a="1"/>
  <c r="D369" i="2" s="1"/>
  <c r="D370" i="2" a="1"/>
  <c r="D370" i="2" s="1"/>
  <c r="D371" i="2" a="1"/>
  <c r="D371" i="2" s="1"/>
  <c r="D372" i="2" a="1"/>
  <c r="D372" i="2" s="1"/>
  <c r="D373" i="2" a="1"/>
  <c r="D373" i="2" s="1"/>
  <c r="D374" i="2" a="1"/>
  <c r="D374" i="2" s="1"/>
  <c r="D375" i="2" a="1"/>
  <c r="D375" i="2" s="1"/>
  <c r="D376" i="2" a="1"/>
  <c r="D376" i="2" s="1"/>
  <c r="D377" i="2" a="1"/>
  <c r="D377" i="2" s="1"/>
  <c r="D378" i="2" a="1"/>
  <c r="D378" i="2" s="1"/>
  <c r="D379" i="2" a="1"/>
  <c r="D379" i="2" s="1"/>
  <c r="D380" i="2" a="1"/>
  <c r="D380" i="2" s="1"/>
  <c r="D381" i="2" a="1"/>
  <c r="D381" i="2" s="1"/>
  <c r="D382" i="2" a="1"/>
  <c r="D382" i="2" s="1"/>
  <c r="D383" i="2" a="1"/>
  <c r="D383" i="2" s="1"/>
  <c r="D384" i="2" a="1"/>
  <c r="D384" i="2" s="1"/>
  <c r="D385" i="2" a="1"/>
  <c r="D385" i="2" s="1"/>
  <c r="D386" i="2" a="1"/>
  <c r="D386" i="2" s="1"/>
  <c r="D387" i="2" a="1"/>
  <c r="D387" i="2" s="1"/>
  <c r="D388" i="2" a="1"/>
  <c r="D388" i="2" s="1"/>
  <c r="D389" i="2" a="1"/>
  <c r="D389" i="2" s="1"/>
  <c r="D390" i="2" a="1"/>
  <c r="D390" i="2" s="1"/>
  <c r="D391" i="2" a="1"/>
  <c r="D391" i="2" s="1"/>
  <c r="D392" i="2" a="1"/>
  <c r="D392" i="2" s="1"/>
  <c r="D393" i="2" a="1"/>
  <c r="D393" i="2" s="1"/>
  <c r="D394" i="2" a="1"/>
  <c r="D394" i="2" s="1"/>
  <c r="D395" i="2" a="1"/>
  <c r="D395" i="2" s="1"/>
  <c r="D396" i="2" a="1"/>
  <c r="D396" i="2" s="1"/>
  <c r="D397" i="2" a="1"/>
  <c r="D397" i="2" s="1"/>
  <c r="D398" i="2" a="1"/>
  <c r="D398" i="2" s="1"/>
  <c r="D399" i="2" a="1"/>
  <c r="D399" i="2" s="1"/>
  <c r="D400" i="2" a="1"/>
  <c r="D400" i="2" s="1"/>
  <c r="D401" i="2" a="1"/>
  <c r="D401" i="2" s="1"/>
  <c r="D402" i="2" a="1"/>
  <c r="D402" i="2" s="1"/>
  <c r="D403" i="2" a="1"/>
  <c r="D403" i="2" s="1"/>
  <c r="D404" i="2" a="1"/>
  <c r="D404" i="2" s="1"/>
  <c r="D405" i="2" a="1"/>
  <c r="D405" i="2" s="1"/>
  <c r="D406" i="2" a="1"/>
  <c r="D406" i="2" s="1"/>
  <c r="D407" i="2" a="1"/>
  <c r="D407" i="2" s="1"/>
  <c r="D408" i="2" a="1"/>
  <c r="D408" i="2" s="1"/>
  <c r="D409" i="2" a="1"/>
  <c r="D409" i="2" s="1"/>
  <c r="AG3" i="2" l="1"/>
  <c r="AG4" i="2"/>
  <c r="AG5" i="2"/>
  <c r="AG6" i="2"/>
  <c r="AG7" i="2"/>
  <c r="AG8" i="2"/>
  <c r="AG9" i="2"/>
  <c r="AG10" i="2"/>
  <c r="AG11" i="2"/>
  <c r="AG12" i="2"/>
  <c r="AG13" i="2"/>
  <c r="AG14" i="2"/>
  <c r="AG15" i="2"/>
  <c r="AG16" i="2"/>
  <c r="AG17" i="2"/>
  <c r="AG18" i="2"/>
  <c r="AG19" i="2"/>
  <c r="AG20" i="2"/>
  <c r="AG21" i="2"/>
  <c r="AG22" i="2"/>
  <c r="AG23" i="2"/>
  <c r="AG24" i="2"/>
  <c r="AG25" i="2"/>
  <c r="AG26" i="2"/>
  <c r="AG27" i="2"/>
  <c r="AG28" i="2"/>
  <c r="AG29" i="2"/>
  <c r="AG30" i="2"/>
  <c r="AG31" i="2"/>
  <c r="AG32" i="2"/>
  <c r="AG33" i="2"/>
  <c r="AG34" i="2"/>
  <c r="AG35" i="2"/>
  <c r="AG36" i="2"/>
  <c r="AG37" i="2"/>
  <c r="AG38" i="2"/>
  <c r="AG39" i="2"/>
  <c r="AG40" i="2"/>
  <c r="AG41" i="2"/>
  <c r="AG42" i="2"/>
  <c r="AG43" i="2"/>
  <c r="AG44" i="2"/>
  <c r="AG45" i="2"/>
  <c r="AG46" i="2"/>
  <c r="AG47" i="2"/>
  <c r="AG48" i="2"/>
  <c r="AG49" i="2"/>
  <c r="AG50" i="2"/>
  <c r="AG51" i="2"/>
  <c r="AG52" i="2"/>
  <c r="AG53" i="2"/>
  <c r="AG54" i="2"/>
  <c r="AG55" i="2"/>
  <c r="AG56" i="2"/>
  <c r="AG57" i="2"/>
  <c r="AG58" i="2"/>
  <c r="AG59" i="2"/>
  <c r="AG60" i="2"/>
  <c r="AG61" i="2"/>
  <c r="AG62" i="2"/>
  <c r="AG63" i="2"/>
  <c r="AG64" i="2"/>
  <c r="AG65" i="2"/>
  <c r="AG66" i="2"/>
  <c r="AG67" i="2"/>
  <c r="AG68" i="2"/>
  <c r="AG69" i="2"/>
  <c r="AG70" i="2"/>
  <c r="AG71" i="2"/>
  <c r="AG72" i="2"/>
  <c r="AG73" i="2"/>
  <c r="AG74" i="2"/>
  <c r="AG75" i="2"/>
  <c r="AG76" i="2"/>
  <c r="AG77" i="2"/>
  <c r="AG78" i="2"/>
  <c r="AG79" i="2"/>
  <c r="AG80" i="2"/>
  <c r="AG81" i="2"/>
  <c r="AG82" i="2"/>
  <c r="AG83" i="2"/>
  <c r="AG84" i="2"/>
  <c r="AG85" i="2"/>
  <c r="AG86" i="2"/>
  <c r="AG87" i="2"/>
  <c r="AG88" i="2"/>
  <c r="AG89" i="2"/>
  <c r="AG90" i="2"/>
  <c r="AG91" i="2"/>
  <c r="AG92" i="2"/>
  <c r="AG93" i="2"/>
  <c r="AG94" i="2"/>
  <c r="AG95" i="2"/>
  <c r="AG96" i="2"/>
  <c r="AG97" i="2"/>
  <c r="AG98" i="2"/>
  <c r="AG99" i="2"/>
  <c r="AG100" i="2"/>
  <c r="AG101" i="2"/>
  <c r="AG102" i="2"/>
  <c r="AG103" i="2"/>
  <c r="AG104" i="2"/>
  <c r="AG105" i="2"/>
  <c r="AG106" i="2"/>
  <c r="AG107" i="2"/>
  <c r="AG108" i="2"/>
  <c r="AG109" i="2"/>
  <c r="AG110" i="2"/>
  <c r="AG111" i="2"/>
  <c r="AG112" i="2"/>
  <c r="AG113" i="2"/>
  <c r="AG114" i="2"/>
  <c r="AG115" i="2"/>
  <c r="AG116" i="2"/>
  <c r="AG117" i="2"/>
  <c r="AG118" i="2"/>
  <c r="AG119" i="2"/>
  <c r="AG120" i="2"/>
  <c r="AG121" i="2"/>
  <c r="AG122" i="2"/>
  <c r="AG123" i="2"/>
  <c r="AG124" i="2"/>
  <c r="AG125" i="2"/>
  <c r="AG126" i="2"/>
  <c r="AG127" i="2"/>
  <c r="AG128" i="2"/>
  <c r="AG129" i="2"/>
  <c r="AG130" i="2"/>
  <c r="AG131" i="2"/>
  <c r="AG132" i="2"/>
  <c r="AG133" i="2"/>
  <c r="AG134" i="2"/>
  <c r="AG135" i="2"/>
  <c r="AG136" i="2"/>
  <c r="AG137" i="2"/>
  <c r="AG138" i="2"/>
  <c r="AG139" i="2"/>
  <c r="AG140" i="2"/>
  <c r="AG141" i="2"/>
  <c r="AG142" i="2"/>
  <c r="AG143" i="2"/>
  <c r="AG144" i="2"/>
  <c r="AG145" i="2"/>
  <c r="AG146" i="2"/>
  <c r="AG147" i="2"/>
  <c r="AG148" i="2"/>
  <c r="AG149" i="2"/>
  <c r="AG150" i="2"/>
  <c r="AG151" i="2"/>
  <c r="AG152" i="2"/>
  <c r="AG153" i="2"/>
  <c r="AG154" i="2"/>
  <c r="AG155" i="2"/>
  <c r="AG156" i="2"/>
  <c r="AG157" i="2"/>
  <c r="AG158" i="2"/>
  <c r="AG159" i="2"/>
  <c r="AG160" i="2"/>
  <c r="AG161" i="2"/>
  <c r="AG162" i="2"/>
  <c r="AG163" i="2"/>
  <c r="AG164" i="2"/>
  <c r="AG165" i="2"/>
  <c r="AG166" i="2"/>
  <c r="AG167" i="2"/>
  <c r="AG168" i="2"/>
  <c r="AG169" i="2"/>
  <c r="AG170" i="2"/>
  <c r="AG171" i="2"/>
  <c r="AG172" i="2"/>
  <c r="AG173" i="2"/>
  <c r="AG174" i="2"/>
  <c r="AG175" i="2"/>
  <c r="AG176" i="2"/>
  <c r="AG177" i="2"/>
  <c r="AG178" i="2"/>
  <c r="AG179" i="2"/>
  <c r="AG180" i="2"/>
  <c r="AG181" i="2"/>
  <c r="AG182" i="2"/>
  <c r="AG183" i="2"/>
  <c r="AG184" i="2"/>
  <c r="AG185" i="2"/>
  <c r="AG186" i="2"/>
  <c r="AG187" i="2"/>
  <c r="AG188" i="2"/>
  <c r="AG189" i="2"/>
  <c r="AG190" i="2"/>
  <c r="AG191" i="2"/>
  <c r="AG192" i="2"/>
  <c r="AG193" i="2"/>
  <c r="AG194" i="2"/>
  <c r="AG195" i="2"/>
  <c r="AG196" i="2"/>
  <c r="AG197" i="2"/>
  <c r="AG198" i="2"/>
  <c r="AG199" i="2"/>
  <c r="AG200" i="2"/>
  <c r="AG201" i="2"/>
  <c r="AG202" i="2"/>
  <c r="AG203" i="2"/>
  <c r="AG204" i="2"/>
  <c r="AG205" i="2"/>
  <c r="AG206" i="2"/>
  <c r="AG207" i="2"/>
  <c r="AG208" i="2"/>
  <c r="AG209" i="2"/>
  <c r="AG210" i="2"/>
  <c r="AG211" i="2"/>
  <c r="AG212" i="2"/>
  <c r="AG213" i="2"/>
  <c r="AG214" i="2"/>
  <c r="AG215" i="2"/>
  <c r="AG216" i="2"/>
  <c r="AG217" i="2"/>
  <c r="AG218" i="2"/>
  <c r="AG219" i="2"/>
  <c r="AG220" i="2"/>
  <c r="AG221" i="2"/>
  <c r="AG222" i="2"/>
  <c r="AG223" i="2"/>
  <c r="AG224" i="2"/>
  <c r="AG225" i="2"/>
  <c r="AG226" i="2"/>
  <c r="AG227" i="2"/>
  <c r="AG228" i="2"/>
  <c r="AG229" i="2"/>
  <c r="AG230" i="2"/>
  <c r="AG231" i="2"/>
  <c r="AG232" i="2"/>
  <c r="AG233"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3" i="2"/>
  <c r="AG264" i="2"/>
  <c r="AG265" i="2"/>
  <c r="AG266" i="2"/>
  <c r="AG267" i="2"/>
  <c r="AG268" i="2"/>
  <c r="AG269" i="2"/>
  <c r="AG270" i="2"/>
  <c r="AG271" i="2"/>
  <c r="AG272" i="2"/>
  <c r="AG273" i="2"/>
  <c r="AG274" i="2"/>
  <c r="AG275" i="2"/>
  <c r="AG276" i="2"/>
  <c r="AG277" i="2"/>
  <c r="AG278" i="2"/>
  <c r="AG279" i="2"/>
  <c r="AG280" i="2"/>
  <c r="AG281" i="2"/>
  <c r="AG282" i="2"/>
  <c r="AG283" i="2"/>
  <c r="AG284" i="2"/>
  <c r="AG285" i="2"/>
  <c r="AG286" i="2"/>
  <c r="AG287" i="2"/>
  <c r="AG288" i="2"/>
  <c r="AG289" i="2"/>
  <c r="AG290" i="2"/>
  <c r="AG291" i="2"/>
  <c r="AG292" i="2"/>
  <c r="AG293" i="2"/>
  <c r="AG294" i="2"/>
  <c r="AG295" i="2"/>
  <c r="AG296" i="2"/>
  <c r="AG297" i="2"/>
  <c r="AG298" i="2"/>
  <c r="AG299" i="2"/>
  <c r="AG300" i="2"/>
  <c r="AG301" i="2"/>
  <c r="AG302" i="2"/>
  <c r="AG303" i="2"/>
  <c r="AG304" i="2"/>
  <c r="AG305" i="2"/>
  <c r="AG306" i="2"/>
  <c r="AG307" i="2"/>
  <c r="AG308" i="2"/>
  <c r="AG309" i="2"/>
  <c r="AG310" i="2"/>
  <c r="AG311" i="2"/>
  <c r="AG312" i="2"/>
  <c r="AG313" i="2"/>
  <c r="AG314" i="2"/>
  <c r="AG315" i="2"/>
  <c r="AG316" i="2"/>
  <c r="AG317" i="2"/>
  <c r="AG318" i="2"/>
  <c r="AG319" i="2"/>
  <c r="AG320"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G351" i="2"/>
  <c r="AG352" i="2"/>
  <c r="AG353" i="2"/>
  <c r="AG354" i="2"/>
  <c r="AG355" i="2"/>
  <c r="AG356" i="2"/>
  <c r="AG357" i="2"/>
  <c r="AG358" i="2"/>
  <c r="AG359" i="2"/>
  <c r="AG360" i="2"/>
  <c r="AG361" i="2"/>
  <c r="AG362" i="2"/>
  <c r="AG363" i="2"/>
  <c r="AG364" i="2"/>
  <c r="AG365" i="2"/>
  <c r="AG366" i="2"/>
  <c r="AG367" i="2"/>
  <c r="AG368" i="2"/>
  <c r="AG369" i="2"/>
  <c r="AG370" i="2"/>
  <c r="AG371" i="2"/>
  <c r="AG372" i="2"/>
  <c r="AG373" i="2"/>
  <c r="AG374" i="2"/>
  <c r="AG375" i="2"/>
  <c r="AG376" i="2"/>
  <c r="AG377" i="2"/>
  <c r="AG378" i="2"/>
  <c r="AG379" i="2"/>
  <c r="AG380" i="2"/>
  <c r="AG381" i="2"/>
  <c r="AG382" i="2"/>
  <c r="AG383" i="2"/>
  <c r="AG384" i="2"/>
  <c r="AG385" i="2"/>
  <c r="AG386" i="2"/>
  <c r="AG387" i="2"/>
  <c r="AG388" i="2"/>
  <c r="AG389" i="2"/>
  <c r="AG390" i="2"/>
  <c r="AG391" i="2"/>
  <c r="AG392" i="2"/>
  <c r="AG393" i="2"/>
  <c r="AG394" i="2"/>
  <c r="AG395" i="2"/>
  <c r="AG396" i="2"/>
  <c r="AG397" i="2"/>
  <c r="AG398" i="2"/>
  <c r="AG399" i="2"/>
  <c r="AG400" i="2"/>
  <c r="AG401" i="2"/>
  <c r="AG402" i="2"/>
  <c r="AG403" i="2"/>
  <c r="AG404" i="2"/>
  <c r="AG405" i="2"/>
  <c r="AG406" i="2"/>
  <c r="AG407" i="2"/>
  <c r="AG408" i="2"/>
  <c r="AG409" i="2"/>
  <c r="AE3" i="2"/>
  <c r="AE4" i="2"/>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74" i="2"/>
  <c r="AE375" i="2"/>
  <c r="AE376" i="2"/>
  <c r="AE377" i="2"/>
  <c r="AE378" i="2"/>
  <c r="AE379" i="2"/>
  <c r="AE380" i="2"/>
  <c r="AE381" i="2"/>
  <c r="AE382" i="2"/>
  <c r="AE383" i="2"/>
  <c r="AE384" i="2"/>
  <c r="AE385" i="2"/>
  <c r="AE386" i="2"/>
  <c r="AE387" i="2"/>
  <c r="AE388" i="2"/>
  <c r="AE389" i="2"/>
  <c r="AE390" i="2"/>
  <c r="AE391" i="2"/>
  <c r="AE392" i="2"/>
  <c r="AE393" i="2"/>
  <c r="AE394" i="2"/>
  <c r="AE395" i="2"/>
  <c r="AE396" i="2"/>
  <c r="AE397" i="2"/>
  <c r="AE398" i="2"/>
  <c r="AE399" i="2"/>
  <c r="AE400" i="2"/>
  <c r="AE401" i="2"/>
  <c r="AE402" i="2"/>
  <c r="AE403" i="2"/>
  <c r="AE404" i="2"/>
  <c r="AE405" i="2"/>
  <c r="AE406" i="2"/>
  <c r="AE407" i="2"/>
  <c r="AE408" i="2"/>
  <c r="AE409"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354" i="2"/>
  <c r="AC355" i="2"/>
  <c r="AC356" i="2"/>
  <c r="AC357" i="2"/>
  <c r="AC358" i="2"/>
  <c r="AC359" i="2"/>
  <c r="AC360" i="2"/>
  <c r="AC361" i="2"/>
  <c r="AC362" i="2"/>
  <c r="AC363" i="2"/>
  <c r="AC364" i="2"/>
  <c r="AC365" i="2"/>
  <c r="AC366" i="2"/>
  <c r="AC367" i="2"/>
  <c r="AC368" i="2"/>
  <c r="AC369" i="2"/>
  <c r="AC370" i="2"/>
  <c r="AC371" i="2"/>
  <c r="AC372" i="2"/>
  <c r="AC373" i="2"/>
  <c r="AC374" i="2"/>
  <c r="AC375" i="2"/>
  <c r="AC376" i="2"/>
  <c r="AC377" i="2"/>
  <c r="AC378" i="2"/>
  <c r="AC379" i="2"/>
  <c r="AC380" i="2"/>
  <c r="AC381" i="2"/>
  <c r="AC382" i="2"/>
  <c r="AC383" i="2"/>
  <c r="AC384" i="2"/>
  <c r="AC385" i="2"/>
  <c r="AC386" i="2"/>
  <c r="AC387" i="2"/>
  <c r="AC388" i="2"/>
  <c r="AC389" i="2"/>
  <c r="AC390" i="2"/>
  <c r="AC391" i="2"/>
  <c r="AC392" i="2"/>
  <c r="AC393" i="2"/>
  <c r="AC394" i="2"/>
  <c r="AC395" i="2"/>
  <c r="AC396" i="2"/>
  <c r="AC397" i="2"/>
  <c r="AC398" i="2"/>
  <c r="AC399" i="2"/>
  <c r="AC400" i="2"/>
  <c r="AC401" i="2"/>
  <c r="AC402" i="2"/>
  <c r="AC403" i="2"/>
  <c r="AC404" i="2"/>
  <c r="AC405" i="2"/>
  <c r="AC406" i="2"/>
  <c r="AC407" i="2"/>
  <c r="AC408" i="2"/>
  <c r="AC409"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W333" i="2"/>
  <c r="Z333" i="2" s="1"/>
  <c r="W334" i="2"/>
  <c r="Z334" i="2" s="1"/>
  <c r="W335" i="2"/>
  <c r="Z335" i="2" s="1"/>
  <c r="W336" i="2"/>
  <c r="Z336" i="2" s="1"/>
  <c r="W337" i="2"/>
  <c r="Z337" i="2" s="1"/>
  <c r="W338" i="2"/>
  <c r="Z338" i="2" s="1"/>
  <c r="W339" i="2"/>
  <c r="Z339" i="2" s="1"/>
  <c r="W340" i="2"/>
  <c r="Z340" i="2" s="1"/>
  <c r="W341" i="2"/>
  <c r="Z341" i="2" s="1"/>
  <c r="W342" i="2"/>
  <c r="Z342" i="2" s="1"/>
  <c r="W343" i="2"/>
  <c r="Z343" i="2" s="1"/>
  <c r="W344" i="2"/>
  <c r="Z344" i="2" s="1"/>
  <c r="W345" i="2"/>
  <c r="Z345" i="2" s="1"/>
  <c r="W346" i="2"/>
  <c r="Z346" i="2" s="1"/>
  <c r="W347" i="2"/>
  <c r="Z347" i="2" s="1"/>
  <c r="W348" i="2"/>
  <c r="Z348" i="2" s="1"/>
  <c r="W349" i="2"/>
  <c r="Z349" i="2" s="1"/>
  <c r="W350" i="2"/>
  <c r="Z350" i="2" s="1"/>
  <c r="W351" i="2"/>
  <c r="Z351" i="2" s="1"/>
  <c r="W352" i="2"/>
  <c r="Z352" i="2" s="1"/>
  <c r="W353" i="2"/>
  <c r="Z353" i="2" s="1"/>
  <c r="W354" i="2"/>
  <c r="Z354" i="2" s="1"/>
  <c r="W355" i="2"/>
  <c r="Z355" i="2" s="1"/>
  <c r="W356" i="2"/>
  <c r="Z356" i="2" s="1"/>
  <c r="W357" i="2"/>
  <c r="Z357" i="2" s="1"/>
  <c r="W358" i="2"/>
  <c r="Z358" i="2" s="1"/>
  <c r="W359" i="2"/>
  <c r="Z359" i="2" s="1"/>
  <c r="W360" i="2"/>
  <c r="Z360" i="2" s="1"/>
  <c r="W361" i="2"/>
  <c r="Z361" i="2" s="1"/>
  <c r="W362" i="2"/>
  <c r="Z362" i="2" s="1"/>
  <c r="W363" i="2"/>
  <c r="Z363" i="2" s="1"/>
  <c r="W364" i="2"/>
  <c r="Z364" i="2" s="1"/>
  <c r="W365" i="2"/>
  <c r="Z365" i="2" s="1"/>
  <c r="W366" i="2"/>
  <c r="Z366" i="2" s="1"/>
  <c r="W367" i="2"/>
  <c r="Z367" i="2" s="1"/>
  <c r="W368" i="2"/>
  <c r="Z368" i="2" s="1"/>
  <c r="W369" i="2"/>
  <c r="Z369" i="2" s="1"/>
  <c r="W370" i="2"/>
  <c r="Z370" i="2" s="1"/>
  <c r="W371" i="2"/>
  <c r="Z371" i="2" s="1"/>
  <c r="W372" i="2"/>
  <c r="Z372" i="2" s="1"/>
  <c r="W373" i="2"/>
  <c r="Z373" i="2" s="1"/>
  <c r="W374" i="2"/>
  <c r="Z374" i="2" s="1"/>
  <c r="W375" i="2"/>
  <c r="Z375" i="2" s="1"/>
  <c r="W376" i="2"/>
  <c r="Z376" i="2" s="1"/>
  <c r="W377" i="2"/>
  <c r="Z377" i="2" s="1"/>
  <c r="W378" i="2"/>
  <c r="Z378" i="2" s="1"/>
  <c r="W379" i="2"/>
  <c r="Z379" i="2" s="1"/>
  <c r="W380" i="2"/>
  <c r="Z380" i="2" s="1"/>
  <c r="W381" i="2"/>
  <c r="Z381" i="2" s="1"/>
  <c r="W382" i="2"/>
  <c r="Z382" i="2" s="1"/>
  <c r="W383" i="2"/>
  <c r="Z383" i="2" s="1"/>
  <c r="W384" i="2"/>
  <c r="Z384" i="2" s="1"/>
  <c r="W385" i="2"/>
  <c r="Z385" i="2" s="1"/>
  <c r="W386" i="2"/>
  <c r="Z386" i="2" s="1"/>
  <c r="W387" i="2"/>
  <c r="Z387" i="2" s="1"/>
  <c r="W388" i="2"/>
  <c r="Z388" i="2" s="1"/>
  <c r="W389" i="2"/>
  <c r="Z389" i="2" s="1"/>
  <c r="W390" i="2"/>
  <c r="Z390" i="2" s="1"/>
  <c r="W391" i="2"/>
  <c r="Z391" i="2" s="1"/>
  <c r="W392" i="2"/>
  <c r="Z392" i="2" s="1"/>
  <c r="W393" i="2"/>
  <c r="Z393" i="2" s="1"/>
  <c r="W394" i="2"/>
  <c r="Z394" i="2" s="1"/>
  <c r="W395" i="2"/>
  <c r="Z395" i="2" s="1"/>
  <c r="W396" i="2"/>
  <c r="Z396" i="2" s="1"/>
  <c r="W397" i="2"/>
  <c r="Z397" i="2" s="1"/>
  <c r="W398" i="2"/>
  <c r="Z398" i="2" s="1"/>
  <c r="W399" i="2"/>
  <c r="Z399" i="2" s="1"/>
  <c r="W400" i="2"/>
  <c r="Z400" i="2" s="1"/>
  <c r="W401" i="2"/>
  <c r="Z401" i="2" s="1"/>
  <c r="W402" i="2"/>
  <c r="Z402" i="2" s="1"/>
  <c r="W403" i="2"/>
  <c r="Z403" i="2" s="1"/>
  <c r="W404" i="2"/>
  <c r="Z404" i="2" s="1"/>
  <c r="W405" i="2"/>
  <c r="Z405" i="2" s="1"/>
  <c r="W406" i="2"/>
  <c r="Z406" i="2" s="1"/>
  <c r="W407" i="2"/>
  <c r="Z407" i="2" s="1"/>
  <c r="W408" i="2"/>
  <c r="Z408" i="2" s="1"/>
  <c r="W409" i="2"/>
  <c r="Z409" i="2" s="1"/>
  <c r="W332" i="2" l="1"/>
  <c r="Z332" i="2" s="1"/>
  <c r="G332" i="2"/>
  <c r="L332" i="2"/>
  <c r="W319" i="2"/>
  <c r="Z319" i="2" s="1"/>
  <c r="G319" i="2"/>
  <c r="L319" i="2"/>
  <c r="G306" i="2"/>
  <c r="L306" i="2"/>
  <c r="W304" i="2"/>
  <c r="Z304" i="2" s="1"/>
  <c r="W303" i="2"/>
  <c r="Z303" i="2" s="1"/>
  <c r="W302" i="2"/>
  <c r="Z302" i="2" s="1"/>
  <c r="W301" i="2"/>
  <c r="Z301" i="2" s="1"/>
  <c r="W300" i="2"/>
  <c r="Z300" i="2" s="1"/>
  <c r="W299" i="2"/>
  <c r="Z299" i="2" s="1"/>
  <c r="W298" i="2"/>
  <c r="Z298" i="2" s="1"/>
  <c r="W297" i="2"/>
  <c r="Z297" i="2" s="1"/>
  <c r="W296" i="2"/>
  <c r="Z296" i="2" s="1"/>
  <c r="W295" i="2"/>
  <c r="Z295" i="2" s="1"/>
  <c r="W294" i="2"/>
  <c r="Z294" i="2" s="1"/>
  <c r="W293" i="2"/>
  <c r="Z293" i="2" s="1"/>
  <c r="W292" i="2"/>
  <c r="Z292" i="2" s="1"/>
  <c r="W291" i="2"/>
  <c r="Z291" i="2" s="1"/>
  <c r="W290" i="2"/>
  <c r="Z290" i="2" s="1"/>
  <c r="W289" i="2"/>
  <c r="Z289" i="2" s="1"/>
  <c r="W288" i="2"/>
  <c r="Z288" i="2" s="1"/>
  <c r="W287" i="2"/>
  <c r="Z287" i="2" s="1"/>
  <c r="W286" i="2"/>
  <c r="Z286" i="2" s="1"/>
  <c r="W285" i="2"/>
  <c r="Z285" i="2" s="1"/>
  <c r="W284" i="2"/>
  <c r="Z284" i="2" s="1"/>
  <c r="W283" i="2"/>
  <c r="Z283" i="2" s="1"/>
  <c r="W282" i="2"/>
  <c r="Z282" i="2" s="1"/>
  <c r="W281" i="2"/>
  <c r="Z281" i="2" s="1"/>
  <c r="W280" i="2"/>
  <c r="Z280" i="2" s="1"/>
  <c r="W279" i="2"/>
  <c r="Z279" i="2" s="1"/>
  <c r="W278" i="2"/>
  <c r="Z278" i="2" s="1"/>
  <c r="W277" i="2"/>
  <c r="Z277" i="2" s="1"/>
  <c r="W276" i="2"/>
  <c r="Z276" i="2" s="1"/>
  <c r="W275" i="2"/>
  <c r="Z275" i="2" s="1"/>
  <c r="W274" i="2"/>
  <c r="Z274" i="2" s="1"/>
  <c r="W273" i="2"/>
  <c r="Z273" i="2" s="1"/>
  <c r="W272" i="2"/>
  <c r="Z272" i="2" s="1"/>
  <c r="W271" i="2"/>
  <c r="Z271" i="2" s="1"/>
  <c r="W270" i="2"/>
  <c r="Z270" i="2" s="1"/>
  <c r="W269" i="2"/>
  <c r="Z269" i="2" s="1"/>
  <c r="W268" i="2"/>
  <c r="Z268" i="2" s="1"/>
  <c r="G280" i="2" l="1"/>
  <c r="L280" i="2"/>
  <c r="W265" i="2" l="1"/>
  <c r="Z265" i="2" s="1"/>
  <c r="W266" i="2"/>
  <c r="Z266" i="2" s="1"/>
  <c r="W267" i="2"/>
  <c r="Z267" i="2" s="1"/>
  <c r="W217" i="2" l="1"/>
  <c r="W218" i="2"/>
  <c r="Z218" i="2" s="1"/>
  <c r="W219" i="2"/>
  <c r="Z219" i="2" s="1"/>
  <c r="W220" i="2"/>
  <c r="Z220" i="2" s="1"/>
  <c r="W221" i="2"/>
  <c r="Z221" i="2" s="1"/>
  <c r="W222" i="2"/>
  <c r="Z222" i="2" s="1"/>
  <c r="W223" i="2"/>
  <c r="Z223" i="2" s="1"/>
  <c r="W224" i="2"/>
  <c r="Z224" i="2" s="1"/>
  <c r="W225" i="2"/>
  <c r="Z225" i="2" s="1"/>
  <c r="W226" i="2"/>
  <c r="Z226" i="2" s="1"/>
  <c r="W227" i="2"/>
  <c r="Z227" i="2" s="1"/>
  <c r="W228" i="2"/>
  <c r="Z228" i="2" s="1"/>
  <c r="Q321" i="2" l="1"/>
  <c r="Q322" i="2" s="1"/>
  <c r="Q323" i="2" s="1"/>
  <c r="Q324" i="2" s="1"/>
  <c r="Q325" i="2" s="1"/>
  <c r="Q326" i="2" s="1"/>
  <c r="Q327" i="2" s="1"/>
  <c r="Q328" i="2" s="1"/>
  <c r="Q329" i="2" s="1"/>
  <c r="Q330" i="2" s="1"/>
  <c r="Q331" i="2" s="1"/>
  <c r="Q332" i="2" s="1"/>
  <c r="Q308" i="2"/>
  <c r="Q309" i="2" s="1"/>
  <c r="Q310" i="2" s="1"/>
  <c r="Q311" i="2" s="1"/>
  <c r="Q312" i="2" s="1"/>
  <c r="Q313" i="2" s="1"/>
  <c r="Q314" i="2" s="1"/>
  <c r="Q315" i="2" s="1"/>
  <c r="Q316" i="2" s="1"/>
  <c r="Q317" i="2" s="1"/>
  <c r="Q318" i="2" s="1"/>
  <c r="Q319" i="2" s="1"/>
  <c r="G305" i="2" l="1"/>
  <c r="G307" i="2"/>
  <c r="G308" i="2"/>
  <c r="G309" i="2"/>
  <c r="G310" i="2"/>
  <c r="G311" i="2"/>
  <c r="G312" i="2"/>
  <c r="G313" i="2"/>
  <c r="G314" i="2"/>
  <c r="G315" i="2"/>
  <c r="G316" i="2"/>
  <c r="G317" i="2"/>
  <c r="G318" i="2"/>
  <c r="G320" i="2"/>
  <c r="G321" i="2"/>
  <c r="G322" i="2"/>
  <c r="G323" i="2"/>
  <c r="G324" i="2"/>
  <c r="G325" i="2"/>
  <c r="G326" i="2"/>
  <c r="G327" i="2"/>
  <c r="G328" i="2"/>
  <c r="G329" i="2"/>
  <c r="G330" i="2"/>
  <c r="G331" i="2"/>
  <c r="L305" i="2"/>
  <c r="L307" i="2"/>
  <c r="L308" i="2"/>
  <c r="L309" i="2"/>
  <c r="L310" i="2"/>
  <c r="L311" i="2"/>
  <c r="L312" i="2"/>
  <c r="L313" i="2"/>
  <c r="L314" i="2"/>
  <c r="L315" i="2"/>
  <c r="L316" i="2"/>
  <c r="L317" i="2"/>
  <c r="L318" i="2"/>
  <c r="L320" i="2"/>
  <c r="L321" i="2"/>
  <c r="L322" i="2"/>
  <c r="L323" i="2"/>
  <c r="L324" i="2"/>
  <c r="L325" i="2"/>
  <c r="L326" i="2"/>
  <c r="L327" i="2"/>
  <c r="L328" i="2"/>
  <c r="L329" i="2"/>
  <c r="L330" i="2"/>
  <c r="L331" i="2"/>
  <c r="W305" i="2"/>
  <c r="Z305" i="2" s="1"/>
  <c r="W306" i="2"/>
  <c r="Z306" i="2" s="1"/>
  <c r="W307" i="2"/>
  <c r="Z307" i="2" s="1"/>
  <c r="W308" i="2"/>
  <c r="Z308" i="2" s="1"/>
  <c r="W309" i="2"/>
  <c r="Z309" i="2" s="1"/>
  <c r="W310" i="2"/>
  <c r="Z310" i="2" s="1"/>
  <c r="W311" i="2"/>
  <c r="Z311" i="2" s="1"/>
  <c r="W312" i="2"/>
  <c r="Z312" i="2" s="1"/>
  <c r="W313" i="2"/>
  <c r="Z313" i="2" s="1"/>
  <c r="W314" i="2"/>
  <c r="Z314" i="2" s="1"/>
  <c r="W315" i="2"/>
  <c r="Z315" i="2" s="1"/>
  <c r="W316" i="2"/>
  <c r="Z316" i="2" s="1"/>
  <c r="W317" i="2"/>
  <c r="Z317" i="2" s="1"/>
  <c r="W318" i="2"/>
  <c r="Z318" i="2" s="1"/>
  <c r="W320" i="2"/>
  <c r="Z320" i="2" s="1"/>
  <c r="W321" i="2"/>
  <c r="Z321" i="2" s="1"/>
  <c r="W322" i="2"/>
  <c r="Z322" i="2" s="1"/>
  <c r="W323" i="2"/>
  <c r="Z323" i="2" s="1"/>
  <c r="W324" i="2"/>
  <c r="Z324" i="2" s="1"/>
  <c r="W325" i="2"/>
  <c r="Z325" i="2" s="1"/>
  <c r="W326" i="2"/>
  <c r="Z326" i="2" s="1"/>
  <c r="W327" i="2"/>
  <c r="Z327" i="2" s="1"/>
  <c r="W328" i="2"/>
  <c r="Z328" i="2" s="1"/>
  <c r="W329" i="2"/>
  <c r="Z329" i="2" s="1"/>
  <c r="W330" i="2"/>
  <c r="Z330" i="2" s="1"/>
  <c r="W331" i="2"/>
  <c r="Z331" i="2" s="1"/>
  <c r="G268" i="2" l="1"/>
  <c r="G269" i="2"/>
  <c r="G270" i="2"/>
  <c r="G277" i="2"/>
  <c r="L277" i="2"/>
  <c r="G278" i="2"/>
  <c r="L278" i="2"/>
  <c r="G279" i="2"/>
  <c r="L279" i="2"/>
  <c r="G281" i="2"/>
  <c r="L281" i="2"/>
  <c r="G282" i="2"/>
  <c r="L282" i="2"/>
  <c r="G283" i="2"/>
  <c r="L283" i="2"/>
  <c r="G284" i="2"/>
  <c r="L284" i="2"/>
  <c r="G285" i="2"/>
  <c r="L285" i="2"/>
  <c r="G286" i="2"/>
  <c r="L286" i="2"/>
  <c r="G287" i="2"/>
  <c r="L287" i="2"/>
  <c r="G288" i="2"/>
  <c r="L288" i="2"/>
  <c r="G289" i="2"/>
  <c r="L289" i="2"/>
  <c r="G290" i="2"/>
  <c r="L290" i="2"/>
  <c r="G291" i="2"/>
  <c r="L291" i="2"/>
  <c r="G292" i="2"/>
  <c r="L292" i="2"/>
  <c r="G293" i="2"/>
  <c r="L293" i="2"/>
  <c r="G294" i="2"/>
  <c r="L294" i="2"/>
  <c r="G295" i="2"/>
  <c r="L295" i="2"/>
  <c r="G296" i="2"/>
  <c r="L296" i="2"/>
  <c r="G297" i="2"/>
  <c r="L297" i="2"/>
  <c r="G298" i="2"/>
  <c r="L298" i="2"/>
  <c r="G299" i="2"/>
  <c r="L299" i="2"/>
  <c r="G300" i="2"/>
  <c r="L300" i="2"/>
  <c r="G301" i="2"/>
  <c r="L301" i="2"/>
  <c r="G302" i="2"/>
  <c r="L302" i="2"/>
  <c r="G303" i="2"/>
  <c r="L303" i="2"/>
  <c r="G304" i="2"/>
  <c r="L304" i="2"/>
  <c r="W229" i="2"/>
  <c r="W230" i="2"/>
  <c r="W231" i="2"/>
  <c r="W232" i="2"/>
  <c r="W233" i="2"/>
  <c r="W234" i="2"/>
  <c r="W235" i="2"/>
  <c r="W236" i="2"/>
  <c r="W237" i="2"/>
  <c r="W238" i="2"/>
  <c r="W239" i="2"/>
  <c r="W240" i="2"/>
  <c r="W241" i="2"/>
  <c r="G265" i="2"/>
  <c r="G266" i="2"/>
  <c r="G267" i="2"/>
  <c r="G217" i="2" l="1"/>
  <c r="G218" i="2"/>
  <c r="G219" i="2"/>
  <c r="G220" i="2"/>
  <c r="G221" i="2"/>
  <c r="G222" i="2"/>
  <c r="G223" i="2"/>
  <c r="G224" i="2"/>
  <c r="G225" i="2"/>
  <c r="G226" i="2"/>
  <c r="G227" i="2"/>
  <c r="G228" i="2"/>
  <c r="G229" i="2"/>
  <c r="G230" i="2"/>
  <c r="G231" i="2"/>
  <c r="G232" i="2"/>
  <c r="G233" i="2"/>
  <c r="G234" i="2"/>
  <c r="G235" i="2"/>
  <c r="G236" i="2"/>
  <c r="G237" i="2"/>
  <c r="G238" i="2"/>
  <c r="G239" i="2"/>
  <c r="G240" i="2"/>
  <c r="L217" i="2"/>
  <c r="L218" i="2"/>
  <c r="L219" i="2"/>
  <c r="L220" i="2"/>
  <c r="L221" i="2"/>
  <c r="L222" i="2"/>
  <c r="L223" i="2"/>
  <c r="L224" i="2"/>
  <c r="L225" i="2"/>
  <c r="L226" i="2"/>
  <c r="L227" i="2"/>
  <c r="L228" i="2"/>
  <c r="L229" i="2"/>
  <c r="L230" i="2"/>
  <c r="L231" i="2"/>
  <c r="L232" i="2"/>
  <c r="L233" i="2"/>
  <c r="L234" i="2"/>
  <c r="L235" i="2"/>
  <c r="L236" i="2"/>
  <c r="L237" i="2"/>
  <c r="L238" i="2"/>
  <c r="L239" i="2"/>
  <c r="L240" i="2"/>
  <c r="Z229" i="2"/>
  <c r="Z230" i="2"/>
  <c r="Z231" i="2"/>
  <c r="Z232" i="2"/>
  <c r="Z233" i="2"/>
  <c r="Z234" i="2"/>
  <c r="Z217" i="2" s="1"/>
  <c r="Z235" i="2"/>
  <c r="Z236" i="2"/>
  <c r="Z237" i="2"/>
  <c r="Z238" i="2"/>
  <c r="Z239" i="2"/>
  <c r="Z240" i="2"/>
  <c r="G241" i="2"/>
  <c r="G242" i="2"/>
  <c r="G243" i="2"/>
  <c r="G244" i="2"/>
  <c r="G245" i="2"/>
  <c r="G246" i="2"/>
  <c r="G247" i="2"/>
  <c r="G248" i="2"/>
  <c r="G249" i="2"/>
  <c r="G250" i="2"/>
  <c r="G251" i="2"/>
  <c r="G252" i="2"/>
  <c r="L241" i="2"/>
  <c r="L242" i="2"/>
  <c r="L243" i="2"/>
  <c r="L244" i="2"/>
  <c r="L245" i="2"/>
  <c r="L246" i="2"/>
  <c r="L247" i="2"/>
  <c r="L248" i="2"/>
  <c r="L249" i="2"/>
  <c r="L250" i="2"/>
  <c r="L251" i="2"/>
  <c r="L252" i="2"/>
  <c r="Z241" i="2"/>
  <c r="W242" i="2"/>
  <c r="Z242" i="2" s="1"/>
  <c r="W243" i="2"/>
  <c r="Z243" i="2" s="1"/>
  <c r="W244" i="2"/>
  <c r="Z244" i="2" s="1"/>
  <c r="W245" i="2"/>
  <c r="Z245" i="2" s="1"/>
  <c r="W246" i="2"/>
  <c r="Z246" i="2" s="1"/>
  <c r="W247" i="2"/>
  <c r="Z247" i="2" s="1"/>
  <c r="W248" i="2"/>
  <c r="Z248" i="2" s="1"/>
  <c r="W249" i="2"/>
  <c r="Z249" i="2" s="1"/>
  <c r="W250" i="2"/>
  <c r="Z250" i="2" s="1"/>
  <c r="W251" i="2"/>
  <c r="Z251" i="2" s="1"/>
  <c r="W252" i="2"/>
  <c r="Z252" i="2" s="1"/>
  <c r="G253" i="2"/>
  <c r="G254" i="2"/>
  <c r="G255" i="2"/>
  <c r="G256" i="2"/>
  <c r="G257" i="2"/>
  <c r="G258" i="2"/>
  <c r="G259" i="2"/>
  <c r="G260" i="2"/>
  <c r="G261" i="2"/>
  <c r="G262" i="2"/>
  <c r="G263" i="2"/>
  <c r="G264" i="2"/>
  <c r="L253" i="2"/>
  <c r="L254" i="2"/>
  <c r="L255" i="2"/>
  <c r="L256" i="2"/>
  <c r="L257" i="2"/>
  <c r="L258" i="2"/>
  <c r="L259" i="2"/>
  <c r="L260" i="2"/>
  <c r="L261" i="2"/>
  <c r="L262" i="2"/>
  <c r="L263" i="2"/>
  <c r="L264" i="2"/>
  <c r="W253" i="2"/>
  <c r="Z253" i="2" s="1"/>
  <c r="W254" i="2"/>
  <c r="Z254" i="2" s="1"/>
  <c r="W255" i="2"/>
  <c r="Z255" i="2" s="1"/>
  <c r="W256" i="2"/>
  <c r="Z256" i="2" s="1"/>
  <c r="W257" i="2"/>
  <c r="Z257" i="2" s="1"/>
  <c r="W258" i="2"/>
  <c r="Z258" i="2" s="1"/>
  <c r="W259" i="2"/>
  <c r="Z259" i="2" s="1"/>
  <c r="W260" i="2"/>
  <c r="Z260" i="2" s="1"/>
  <c r="W261" i="2"/>
  <c r="Z261" i="2" s="1"/>
  <c r="W262" i="2"/>
  <c r="Z262" i="2" s="1"/>
  <c r="W263" i="2"/>
  <c r="Z263" i="2" s="1"/>
  <c r="W264" i="2"/>
  <c r="Z264" i="2" s="1"/>
  <c r="G271" i="2"/>
  <c r="G272" i="2"/>
  <c r="G273" i="2"/>
  <c r="G274" i="2"/>
  <c r="G275" i="2"/>
  <c r="G276" i="2"/>
  <c r="L271" i="2"/>
  <c r="L272" i="2"/>
  <c r="L273" i="2"/>
  <c r="L274" i="2"/>
  <c r="L275" i="2"/>
  <c r="L276" i="2"/>
  <c r="L266" i="2"/>
  <c r="L267" i="2"/>
  <c r="L268" i="2"/>
  <c r="L269" i="2"/>
  <c r="L270" i="2"/>
  <c r="L265" i="2"/>
  <c r="D2" i="2" a="1"/>
  <c r="D2" i="2" s="1"/>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W2" i="2"/>
  <c r="Z2" i="2" s="1"/>
  <c r="W3" i="2"/>
  <c r="Z3" i="2" s="1"/>
  <c r="W4" i="2"/>
  <c r="Z4" i="2" s="1"/>
  <c r="W5" i="2"/>
  <c r="Z5" i="2" s="1"/>
  <c r="W6" i="2"/>
  <c r="Z6" i="2" s="1"/>
  <c r="W7" i="2"/>
  <c r="Z7" i="2" s="1"/>
  <c r="W8" i="2"/>
  <c r="Z8" i="2" s="1"/>
  <c r="W9" i="2"/>
  <c r="Z9" i="2" s="1"/>
  <c r="W10" i="2"/>
  <c r="Z10" i="2" s="1"/>
  <c r="W11" i="2"/>
  <c r="Z11" i="2" s="1"/>
  <c r="W12" i="2"/>
  <c r="Z12" i="2" s="1"/>
  <c r="W13" i="2"/>
  <c r="Z13" i="2" s="1"/>
  <c r="W14" i="2"/>
  <c r="Z14" i="2" s="1"/>
  <c r="W15" i="2"/>
  <c r="Z15" i="2" s="1"/>
  <c r="W16" i="2"/>
  <c r="Z16" i="2" s="1"/>
  <c r="W17" i="2"/>
  <c r="Z17" i="2" s="1"/>
  <c r="W18" i="2"/>
  <c r="Z18" i="2" s="1"/>
  <c r="W19" i="2"/>
  <c r="Z19" i="2" s="1"/>
  <c r="W20" i="2"/>
  <c r="Z20" i="2" s="1"/>
  <c r="W21" i="2"/>
  <c r="Z21" i="2" s="1"/>
  <c r="W22" i="2"/>
  <c r="Z22" i="2" s="1"/>
  <c r="W23" i="2"/>
  <c r="Z23" i="2" s="1"/>
  <c r="W24" i="2"/>
  <c r="Z24" i="2" s="1"/>
  <c r="W25" i="2"/>
  <c r="Z25" i="2" s="1"/>
  <c r="W26" i="2"/>
  <c r="Z26" i="2" s="1"/>
  <c r="W27" i="2"/>
  <c r="Z27" i="2" s="1"/>
  <c r="W28" i="2"/>
  <c r="Z28" i="2" s="1"/>
  <c r="W29" i="2"/>
  <c r="Z29" i="2" s="1"/>
  <c r="W30" i="2"/>
  <c r="Z30" i="2" s="1"/>
  <c r="W31" i="2"/>
  <c r="Z31" i="2" s="1"/>
  <c r="W32" i="2"/>
  <c r="Z32" i="2" s="1"/>
  <c r="W33" i="2"/>
  <c r="Z33" i="2" s="1"/>
  <c r="W34" i="2"/>
  <c r="Z34" i="2" s="1"/>
  <c r="W35" i="2"/>
  <c r="Z35" i="2" s="1"/>
  <c r="W36" i="2"/>
  <c r="Z36" i="2" s="1"/>
  <c r="W37" i="2"/>
  <c r="Z37" i="2" s="1"/>
  <c r="W38" i="2"/>
  <c r="Z38" i="2" s="1"/>
  <c r="W39" i="2"/>
  <c r="Z39" i="2" s="1"/>
  <c r="W40" i="2"/>
  <c r="Z40" i="2" s="1"/>
  <c r="W41" i="2"/>
  <c r="Z41" i="2" s="1"/>
  <c r="W42" i="2"/>
  <c r="Z42" i="2" s="1"/>
  <c r="W43" i="2"/>
  <c r="Z43" i="2" s="1"/>
  <c r="W44" i="2"/>
  <c r="Z44" i="2" s="1"/>
  <c r="W45" i="2"/>
  <c r="Z45" i="2" s="1"/>
  <c r="W46" i="2"/>
  <c r="Z46" i="2" s="1"/>
  <c r="W47" i="2"/>
  <c r="Z47" i="2" s="1"/>
  <c r="W48" i="2"/>
  <c r="Z48" i="2" s="1"/>
  <c r="W49" i="2"/>
  <c r="Z49" i="2" s="1"/>
  <c r="W50" i="2"/>
  <c r="Z50" i="2" s="1"/>
  <c r="W51" i="2"/>
  <c r="Z51" i="2" s="1"/>
  <c r="W52" i="2"/>
  <c r="Z52" i="2" s="1"/>
  <c r="W53" i="2"/>
  <c r="Z53" i="2" s="1"/>
  <c r="W54" i="2"/>
  <c r="Z54" i="2" s="1"/>
  <c r="W55" i="2"/>
  <c r="Z55" i="2" s="1"/>
  <c r="W56" i="2"/>
  <c r="Z56" i="2" s="1"/>
  <c r="W57" i="2"/>
  <c r="Z57" i="2" s="1"/>
  <c r="W58" i="2"/>
  <c r="Z58" i="2" s="1"/>
  <c r="W59" i="2"/>
  <c r="Z59" i="2" s="1"/>
  <c r="W60" i="2"/>
  <c r="Z60" i="2" s="1"/>
  <c r="W61" i="2"/>
  <c r="Z61" i="2" s="1"/>
  <c r="W62" i="2"/>
  <c r="Z62" i="2" s="1"/>
  <c r="W63" i="2"/>
  <c r="Z63" i="2" s="1"/>
  <c r="W64" i="2"/>
  <c r="Z64" i="2" s="1"/>
  <c r="W65" i="2"/>
  <c r="Z65" i="2" s="1"/>
  <c r="W66" i="2"/>
  <c r="Z66" i="2" s="1"/>
  <c r="W67" i="2"/>
  <c r="Z67" i="2" s="1"/>
  <c r="W68" i="2"/>
  <c r="Z68" i="2" s="1"/>
  <c r="W69" i="2"/>
  <c r="Z69" i="2" s="1"/>
  <c r="W70" i="2"/>
  <c r="Z70" i="2" s="1"/>
  <c r="W71" i="2"/>
  <c r="Z71" i="2" s="1"/>
  <c r="W72" i="2"/>
  <c r="Z72" i="2" s="1"/>
  <c r="W73" i="2"/>
  <c r="Z73" i="2" s="1"/>
  <c r="W74" i="2"/>
  <c r="Z74" i="2" s="1"/>
  <c r="W75" i="2"/>
  <c r="Z75" i="2" s="1"/>
  <c r="W76" i="2"/>
  <c r="Z76" i="2" s="1"/>
  <c r="W77" i="2"/>
  <c r="Z77" i="2" s="1"/>
  <c r="W78" i="2"/>
  <c r="Z78" i="2" s="1"/>
  <c r="W79" i="2"/>
  <c r="Z79" i="2" s="1"/>
  <c r="W80" i="2"/>
  <c r="Z80" i="2" s="1"/>
  <c r="W81" i="2"/>
  <c r="Z81" i="2" s="1"/>
  <c r="W82" i="2"/>
  <c r="Z82" i="2" s="1"/>
  <c r="W83" i="2"/>
  <c r="Z83" i="2" s="1"/>
  <c r="W84" i="2"/>
  <c r="Z84" i="2" s="1"/>
  <c r="W85" i="2"/>
  <c r="Z85" i="2" s="1"/>
  <c r="W86" i="2"/>
  <c r="Z86" i="2" s="1"/>
  <c r="W87" i="2"/>
  <c r="Z87" i="2" s="1"/>
  <c r="W88" i="2"/>
  <c r="Z88" i="2" s="1"/>
  <c r="W89" i="2"/>
  <c r="Z89" i="2" s="1"/>
  <c r="W90" i="2"/>
  <c r="Z90" i="2" s="1"/>
  <c r="W91" i="2"/>
  <c r="Z91" i="2" s="1"/>
  <c r="W92" i="2"/>
  <c r="Z92" i="2" s="1"/>
  <c r="W93" i="2"/>
  <c r="Z93" i="2" s="1"/>
  <c r="W94" i="2"/>
  <c r="Z94" i="2" s="1"/>
  <c r="W95" i="2"/>
  <c r="Z95" i="2" s="1"/>
  <c r="W96" i="2"/>
  <c r="Z96" i="2" s="1"/>
  <c r="W97" i="2"/>
  <c r="Z97" i="2" s="1"/>
  <c r="W98" i="2"/>
  <c r="Z98" i="2" s="1"/>
  <c r="W99" i="2"/>
  <c r="Z99" i="2" s="1"/>
  <c r="W100" i="2"/>
  <c r="Z100" i="2" s="1"/>
  <c r="W101" i="2"/>
  <c r="Z101" i="2" s="1"/>
  <c r="W102" i="2"/>
  <c r="Z102" i="2" s="1"/>
  <c r="W103" i="2"/>
  <c r="Z103" i="2" s="1"/>
  <c r="W104" i="2"/>
  <c r="Z104" i="2" s="1"/>
  <c r="W105" i="2"/>
  <c r="Z105" i="2" s="1"/>
  <c r="W106" i="2"/>
  <c r="Z106" i="2" s="1"/>
  <c r="W107" i="2"/>
  <c r="Z107" i="2" s="1"/>
  <c r="W108" i="2"/>
  <c r="Z108" i="2" s="1"/>
  <c r="W109" i="2"/>
  <c r="Z109" i="2" s="1"/>
  <c r="W110" i="2"/>
  <c r="Z110" i="2" s="1"/>
  <c r="W111" i="2"/>
  <c r="Z111" i="2" s="1"/>
  <c r="W112" i="2"/>
  <c r="Z112" i="2" s="1"/>
  <c r="W113" i="2"/>
  <c r="Z113" i="2" s="1"/>
  <c r="W114" i="2"/>
  <c r="Z114" i="2" s="1"/>
  <c r="W115" i="2"/>
  <c r="Z115" i="2" s="1"/>
  <c r="W116" i="2"/>
  <c r="Z116" i="2" s="1"/>
  <c r="W117" i="2"/>
  <c r="Z117" i="2" s="1"/>
  <c r="W118" i="2"/>
  <c r="Z118" i="2" s="1"/>
  <c r="W119" i="2"/>
  <c r="Z119" i="2" s="1"/>
  <c r="W120" i="2"/>
  <c r="Z120" i="2" s="1"/>
  <c r="W121" i="2"/>
  <c r="Z121" i="2" s="1"/>
  <c r="W122" i="2"/>
  <c r="Z122" i="2" s="1"/>
  <c r="W123" i="2"/>
  <c r="Z123" i="2" s="1"/>
  <c r="W124" i="2"/>
  <c r="Z124" i="2" s="1"/>
  <c r="W125" i="2"/>
  <c r="Z125" i="2" s="1"/>
  <c r="W126" i="2"/>
  <c r="Z126" i="2" s="1"/>
  <c r="W127" i="2"/>
  <c r="Z127" i="2" s="1"/>
  <c r="W128" i="2"/>
  <c r="Z128" i="2" s="1"/>
  <c r="W129" i="2"/>
  <c r="Z129" i="2" s="1"/>
  <c r="W130" i="2"/>
  <c r="Z130" i="2" s="1"/>
  <c r="W131" i="2"/>
  <c r="Z131" i="2" s="1"/>
  <c r="W132" i="2"/>
  <c r="Z132" i="2" s="1"/>
  <c r="W133" i="2"/>
  <c r="Z133" i="2" s="1"/>
  <c r="W134" i="2"/>
  <c r="Z134" i="2" s="1"/>
  <c r="W135" i="2"/>
  <c r="Z135" i="2" s="1"/>
  <c r="W136" i="2"/>
  <c r="Z136" i="2" s="1"/>
  <c r="W137" i="2"/>
  <c r="Z137" i="2" s="1"/>
  <c r="W138" i="2"/>
  <c r="Z138" i="2" s="1"/>
  <c r="W139" i="2"/>
  <c r="Z139" i="2" s="1"/>
  <c r="W140" i="2"/>
  <c r="Z140" i="2" s="1"/>
  <c r="W141" i="2"/>
  <c r="Z141" i="2" s="1"/>
  <c r="W142" i="2"/>
  <c r="Z142" i="2" s="1"/>
  <c r="W143" i="2"/>
  <c r="Z143" i="2" s="1"/>
  <c r="W144" i="2"/>
  <c r="Z144" i="2" s="1"/>
  <c r="W145" i="2"/>
  <c r="Z145" i="2" s="1"/>
  <c r="W146" i="2"/>
  <c r="Z146" i="2" s="1"/>
  <c r="W147" i="2"/>
  <c r="Z147" i="2" s="1"/>
  <c r="W148" i="2"/>
  <c r="Z148" i="2" s="1"/>
  <c r="W149" i="2"/>
  <c r="Z149" i="2" s="1"/>
  <c r="W150" i="2"/>
  <c r="Z150" i="2" s="1"/>
  <c r="W151" i="2"/>
  <c r="Z151" i="2" s="1"/>
  <c r="W152" i="2"/>
  <c r="Z152" i="2" s="1"/>
  <c r="W153" i="2"/>
  <c r="Z153" i="2" s="1"/>
  <c r="W154" i="2"/>
  <c r="Z154" i="2" s="1"/>
  <c r="W155" i="2"/>
  <c r="Z155" i="2" s="1"/>
  <c r="W156" i="2"/>
  <c r="Z156" i="2" s="1"/>
  <c r="W157" i="2"/>
  <c r="Z157" i="2" s="1"/>
  <c r="W158" i="2"/>
  <c r="Z158" i="2" s="1"/>
  <c r="W159" i="2"/>
  <c r="Z159" i="2" s="1"/>
  <c r="W160" i="2"/>
  <c r="Z160" i="2" s="1"/>
  <c r="W161" i="2"/>
  <c r="Z161" i="2" s="1"/>
  <c r="W162" i="2"/>
  <c r="Z162" i="2" s="1"/>
  <c r="W163" i="2"/>
  <c r="Z163" i="2" s="1"/>
  <c r="W164" i="2"/>
  <c r="Z164" i="2" s="1"/>
  <c r="W165" i="2"/>
  <c r="Z165" i="2" s="1"/>
  <c r="W166" i="2"/>
  <c r="Z166" i="2" s="1"/>
  <c r="W167" i="2"/>
  <c r="Z167" i="2" s="1"/>
  <c r="W168" i="2"/>
  <c r="Z168" i="2" s="1"/>
  <c r="W169" i="2"/>
  <c r="Z169" i="2" s="1"/>
  <c r="W170" i="2"/>
  <c r="Z170" i="2" s="1"/>
  <c r="W171" i="2"/>
  <c r="Z171" i="2" s="1"/>
  <c r="W172" i="2"/>
  <c r="Z172" i="2" s="1"/>
  <c r="W173" i="2"/>
  <c r="Z173" i="2" s="1"/>
  <c r="W174" i="2"/>
  <c r="Z174" i="2" s="1"/>
  <c r="W175" i="2"/>
  <c r="Z175" i="2" s="1"/>
  <c r="W176" i="2"/>
  <c r="Z176" i="2" s="1"/>
  <c r="W177" i="2"/>
  <c r="Z177" i="2" s="1"/>
  <c r="W178" i="2"/>
  <c r="Z178" i="2" s="1"/>
  <c r="W179" i="2"/>
  <c r="Z179" i="2" s="1"/>
  <c r="W180" i="2"/>
  <c r="Z180" i="2" s="1"/>
  <c r="W181" i="2"/>
  <c r="Z181" i="2" s="1"/>
  <c r="W182" i="2"/>
  <c r="Z182" i="2" s="1"/>
  <c r="W183" i="2"/>
  <c r="Z183" i="2" s="1"/>
  <c r="W184" i="2"/>
  <c r="Z184" i="2" s="1"/>
  <c r="W185" i="2"/>
  <c r="Z185" i="2" s="1"/>
  <c r="W186" i="2"/>
  <c r="Z186" i="2" s="1"/>
  <c r="W187" i="2"/>
  <c r="Z187" i="2" s="1"/>
  <c r="W188" i="2"/>
  <c r="Z188" i="2" s="1"/>
  <c r="W189" i="2"/>
  <c r="Z189" i="2" s="1"/>
  <c r="W190" i="2"/>
  <c r="Z190" i="2" s="1"/>
  <c r="W191" i="2"/>
  <c r="Z191" i="2" s="1"/>
  <c r="W192" i="2"/>
  <c r="Z192" i="2" s="1"/>
  <c r="W193" i="2"/>
  <c r="Z193" i="2" s="1"/>
  <c r="W194" i="2"/>
  <c r="Z194" i="2" s="1"/>
  <c r="W195" i="2"/>
  <c r="Z195" i="2" s="1"/>
  <c r="W196" i="2"/>
  <c r="Z196" i="2" s="1"/>
  <c r="W197" i="2"/>
  <c r="Z197" i="2" s="1"/>
  <c r="W198" i="2"/>
  <c r="Z198" i="2" s="1"/>
  <c r="W199" i="2"/>
  <c r="Z199" i="2" s="1"/>
  <c r="W200" i="2"/>
  <c r="Z200" i="2" s="1"/>
  <c r="W201" i="2"/>
  <c r="Z201" i="2" s="1"/>
  <c r="W202" i="2"/>
  <c r="Z202" i="2" s="1"/>
  <c r="W203" i="2"/>
  <c r="Z203" i="2" s="1"/>
  <c r="W204" i="2"/>
  <c r="Z204" i="2" s="1"/>
  <c r="W205" i="2"/>
  <c r="Z205" i="2" s="1"/>
  <c r="W206" i="2"/>
  <c r="Z206" i="2" s="1"/>
  <c r="W207" i="2"/>
  <c r="Z207" i="2" s="1"/>
  <c r="W208" i="2"/>
  <c r="Z208" i="2" s="1"/>
  <c r="W209" i="2"/>
  <c r="Z209" i="2" s="1"/>
  <c r="W210" i="2"/>
  <c r="Z210" i="2" s="1"/>
  <c r="W211" i="2"/>
  <c r="Z211" i="2" s="1"/>
  <c r="W212" i="2"/>
  <c r="Z212" i="2" s="1"/>
  <c r="W213" i="2"/>
  <c r="Z213" i="2" s="1"/>
  <c r="W214" i="2"/>
  <c r="Z214" i="2" s="1"/>
  <c r="W215" i="2"/>
  <c r="Z215" i="2" s="1"/>
  <c r="W216" i="2"/>
  <c r="Z216" i="2" s="1"/>
  <c r="K24" i="1" l="1"/>
  <c r="G183" i="2"/>
  <c r="G182" i="2"/>
  <c r="G181" i="2"/>
  <c r="G180" i="2"/>
  <c r="G179" i="2"/>
  <c r="G178" i="2"/>
  <c r="G177" i="2"/>
  <c r="G208" i="2" l="1"/>
  <c r="G207" i="2"/>
  <c r="G206" i="2" l="1"/>
  <c r="G205" i="2"/>
  <c r="G204" i="2"/>
  <c r="G203" i="2"/>
  <c r="G202" i="2"/>
  <c r="AB113" i="2" l="1"/>
  <c r="AB114" i="2"/>
  <c r="AB115" i="2"/>
  <c r="AB116" i="2"/>
  <c r="AB117" i="2"/>
  <c r="AB118" i="2"/>
  <c r="AB119" i="2"/>
  <c r="AB120" i="2"/>
  <c r="AB112" i="2"/>
  <c r="G210" i="2"/>
  <c r="G209" i="2"/>
  <c r="G201"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84" i="2"/>
  <c r="G185" i="2"/>
  <c r="G186" i="2"/>
  <c r="G187" i="2"/>
  <c r="G188" i="2"/>
  <c r="G189" i="2"/>
  <c r="G190" i="2"/>
  <c r="G191" i="2"/>
  <c r="G192" i="2"/>
  <c r="G193" i="2"/>
  <c r="G194" i="2"/>
  <c r="G195" i="2"/>
  <c r="G196" i="2"/>
  <c r="G197" i="2"/>
  <c r="G198" i="2"/>
  <c r="G199" i="2"/>
  <c r="G200" i="2"/>
  <c r="C2" i="4" l="1"/>
  <c r="C3" i="4"/>
  <c r="C4" i="4"/>
  <c r="C5" i="4"/>
  <c r="C6" i="4"/>
  <c r="C7" i="4"/>
  <c r="C8" i="4"/>
  <c r="C9" i="4"/>
  <c r="C10" i="4"/>
  <c r="C11" i="4"/>
  <c r="C12" i="4"/>
  <c r="C13" i="4"/>
  <c r="C14" i="4"/>
  <c r="C15" i="4"/>
  <c r="C16" i="4"/>
  <c r="C17" i="4"/>
  <c r="C18" i="4"/>
  <c r="C19" i="4"/>
  <c r="C20" i="4"/>
  <c r="C21" i="4"/>
  <c r="C22" i="4"/>
  <c r="C23" i="4"/>
  <c r="C24" i="4"/>
  <c r="C25" i="4"/>
  <c r="AG2" i="2"/>
  <c r="AE2" i="2"/>
  <c r="AC2" i="2"/>
  <c r="K47" i="1" l="1"/>
  <c r="K46" i="1"/>
  <c r="K38" i="1"/>
  <c r="K37" i="1"/>
  <c r="K36" i="1"/>
  <c r="K35" i="1"/>
  <c r="K34" i="1"/>
  <c r="K33" i="1"/>
  <c r="K32" i="1"/>
  <c r="K31" i="1"/>
  <c r="K30" i="1"/>
  <c r="K29" i="1"/>
  <c r="K28" i="1"/>
  <c r="K27" i="1"/>
  <c r="K26" i="1"/>
  <c r="K25" i="1"/>
  <c r="O23" i="1"/>
  <c r="O22" i="1"/>
  <c r="O21" i="1"/>
  <c r="O20" i="1"/>
  <c r="O11" i="1"/>
  <c r="O9" i="1"/>
  <c r="O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ortensa adhamidhi</author>
    <author>tc={9CE29B79-647B-4455-8205-7E260AE49384}</author>
    <author>tc={A317E1F5-26C4-4D3C-A1C2-E2D2E7543E99}</author>
    <author>tc={BCDA1680-759B-4837-A03C-C921901FF8C5}</author>
    <author>tc={25574992-F8BD-41D6-B153-0D241502EAC3}</author>
  </authors>
  <commentList>
    <comment ref="D1" authorId="0" shapeId="0" xr:uid="{2189C025-E2AB-4822-BAAD-EF2E310042A6}">
      <text>
        <r>
          <rPr>
            <b/>
            <sz val="9"/>
            <color indexed="81"/>
            <rFont val="Tahoma"/>
            <family val="2"/>
          </rPr>
          <t>ortensa adhamidhi:</t>
        </r>
        <r>
          <rPr>
            <sz val="9"/>
            <color indexed="81"/>
            <rFont val="Tahoma"/>
            <family val="2"/>
          </rPr>
          <t xml:space="preserve">
This is a formula used on the PowerBI file to create connections between both tables. It is automatic and no changes are needed
</t>
        </r>
      </text>
    </comment>
    <comment ref="P69" authorId="1" shapeId="0" xr:uid="{9CE29B79-647B-4455-8205-7E260AE49384}">
      <text>
        <t>[Threaded comment]
Your version of Excel allows you to read this threaded comment; however, any edits to it will get removed if the file is opened in a newer version of Excel. Learn more: https://go.microsoft.com/fwlink/?linkid=870924
Comment:
    To confirm if date is correct as the detail on the PP is 3-01-25</t>
      </text>
    </comment>
    <comment ref="D294" authorId="2" shapeId="0" xr:uid="{A317E1F5-26C4-4D3C-A1C2-E2D2E7543E99}">
      <text>
        <t>[Threaded comment]
Your version of Excel allows you to read this threaded comment; however, any edits to it will get removed if the file is opened in a newer version of Excel. Learn more: https://go.microsoft.com/fwlink/?linkid=870924
Comment:
    MJ12</t>
      </text>
    </comment>
    <comment ref="D307" authorId="3" shapeId="0" xr:uid="{BCDA1680-759B-4837-A03C-C921901FF8C5}">
      <text>
        <t>[Threaded comment]
Your version of Excel allows you to read this threaded comment; however, any edits to it will get removed if the file is opened in a newer version of Excel. Learn more: https://go.microsoft.com/fwlink/?linkid=870924
Comment:
    MJ13</t>
      </text>
    </comment>
    <comment ref="D319" authorId="4" shapeId="0" xr:uid="{25574992-F8BD-41D6-B153-0D241502EAC3}">
      <text>
        <t>[Threaded comment]
Your version of Excel allows you to read this threaded comment; however, any edits to it will get removed if the file is opened in a newer version of Excel. Learn more: https://go.microsoft.com/fwlink/?linkid=870924
Comment:
    MJ14</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Rheydel Monge Reorizo</author>
  </authors>
  <commentList>
    <comment ref="E7" authorId="0" shapeId="0" xr:uid="{4B6915E9-05F9-40B9-857C-C21DBDF4A0D1}">
      <text>
        <r>
          <rPr>
            <b/>
            <sz val="9"/>
            <color indexed="81"/>
            <rFont val="Tahoma"/>
            <family val="2"/>
          </rPr>
          <t>Rheydel Monge Reorizo:</t>
        </r>
        <r>
          <rPr>
            <sz val="9"/>
            <color indexed="81"/>
            <rFont val="Tahoma"/>
            <family val="2"/>
          </rPr>
          <t xml:space="preserve">
 To check again as there is no option for </t>
        </r>
        <r>
          <rPr>
            <b/>
            <sz val="9"/>
            <color indexed="81"/>
            <rFont val="Tahoma"/>
            <family val="2"/>
          </rPr>
          <t>P14</t>
        </r>
        <r>
          <rPr>
            <sz val="9"/>
            <color indexed="81"/>
            <rFont val="Tahoma"/>
            <family val="2"/>
          </rPr>
          <t xml:space="preserve"> in the website. Instead on numeric no. 14 only is available. Refer to ss</t>
        </r>
      </text>
    </comment>
    <comment ref="E13" authorId="0" shapeId="0" xr:uid="{20188ED4-3F6C-4F1C-965A-0BE737A9CCB1}">
      <text>
        <r>
          <rPr>
            <b/>
            <sz val="9"/>
            <color indexed="81"/>
            <rFont val="Tahoma"/>
            <family val="2"/>
          </rPr>
          <t>Rheydel Monge Reorizo:</t>
        </r>
        <r>
          <rPr>
            <sz val="9"/>
            <color indexed="81"/>
            <rFont val="Tahoma"/>
            <family val="2"/>
          </rPr>
          <t xml:space="preserve">
To revisit as the english translation in excel is vague</t>
        </r>
      </text>
    </comment>
    <comment ref="E16" authorId="0" shapeId="0" xr:uid="{F4858223-69B6-4115-BF82-260664D6FE85}">
      <text>
        <r>
          <rPr>
            <b/>
            <sz val="9"/>
            <color indexed="81"/>
            <rFont val="Tahoma"/>
            <family val="2"/>
          </rPr>
          <t>Rheydel Monge Reorizo:</t>
        </r>
        <r>
          <rPr>
            <sz val="9"/>
            <color indexed="81"/>
            <rFont val="Tahoma"/>
            <family val="2"/>
          </rPr>
          <t xml:space="preserve">
To revisit as the english translation in excel is vague</t>
        </r>
      </text>
    </comment>
    <comment ref="E17" authorId="0" shapeId="0" xr:uid="{4A0681B4-62E5-4831-A14F-BB8CC8CB72C0}">
      <text>
        <r>
          <rPr>
            <b/>
            <sz val="9"/>
            <color indexed="81"/>
            <rFont val="Tahoma"/>
            <family val="2"/>
          </rPr>
          <t>Rheydel Monge Reorizo:</t>
        </r>
        <r>
          <rPr>
            <sz val="9"/>
            <color indexed="81"/>
            <rFont val="Tahoma"/>
            <family val="2"/>
          </rPr>
          <t xml:space="preserve">
To revisit as the english translation in excel is vague</t>
        </r>
      </text>
    </comment>
    <comment ref="E20" authorId="0" shapeId="0" xr:uid="{70E5D58D-9505-44CA-A8A1-C658DB23A9DB}">
      <text>
        <r>
          <rPr>
            <b/>
            <sz val="9"/>
            <color indexed="81"/>
            <rFont val="Tahoma"/>
            <family val="2"/>
          </rPr>
          <t>Rheydel Monge Reorizo:</t>
        </r>
        <r>
          <rPr>
            <sz val="9"/>
            <color indexed="81"/>
            <rFont val="Tahoma"/>
            <family val="2"/>
          </rPr>
          <t xml:space="preserve">
to check is supplied information is correct. Refer top attached ss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<sst xmlns="http://schemas.openxmlformats.org/spreadsheetml/2006/main" count="10297" uniqueCount="986">
  <si>
    <t>Project ID</t>
  </si>
  <si>
    <t>District</t>
  </si>
  <si>
    <t>Sector</t>
  </si>
  <si>
    <t>Plot</t>
  </si>
  <si>
    <t>Region</t>
  </si>
  <si>
    <t>Facility Type Primary</t>
  </si>
  <si>
    <t>Built-up Area</t>
  </si>
  <si>
    <t>Capacity</t>
  </si>
  <si>
    <t>Abu Dhabi</t>
  </si>
  <si>
    <t>P1</t>
  </si>
  <si>
    <t>Type of Construction</t>
  </si>
  <si>
    <t>P2</t>
  </si>
  <si>
    <t>P3</t>
  </si>
  <si>
    <t>Design Consultant</t>
  </si>
  <si>
    <t>Supervision Consultant</t>
  </si>
  <si>
    <t>Contractor</t>
  </si>
  <si>
    <t>S.No.</t>
  </si>
  <si>
    <t>Project Stage</t>
  </si>
  <si>
    <t>Operation</t>
  </si>
  <si>
    <t>Construction</t>
  </si>
  <si>
    <t>Design</t>
  </si>
  <si>
    <t>New</t>
  </si>
  <si>
    <t>Retrofit</t>
  </si>
  <si>
    <t>MJ-01</t>
  </si>
  <si>
    <t>MJ-02</t>
  </si>
  <si>
    <t>MJ-03</t>
  </si>
  <si>
    <t>Longitude</t>
  </si>
  <si>
    <t>Latitude</t>
  </si>
  <si>
    <t>Commencement Date</t>
  </si>
  <si>
    <t>Project Name</t>
  </si>
  <si>
    <t>Time Elapsed</t>
  </si>
  <si>
    <t>Time Remaining</t>
  </si>
  <si>
    <t>Total Duration</t>
  </si>
  <si>
    <t>Key Achievements</t>
  </si>
  <si>
    <t>Key Decisions</t>
  </si>
  <si>
    <t>Plan %</t>
  </si>
  <si>
    <t>Actual %</t>
  </si>
  <si>
    <t>Variance %</t>
  </si>
  <si>
    <t>Milestones</t>
  </si>
  <si>
    <t>Planned Date</t>
  </si>
  <si>
    <t>Actual Date</t>
  </si>
  <si>
    <t>Forecast  Date</t>
  </si>
  <si>
    <t>Data Date</t>
  </si>
  <si>
    <t>Reporting Week</t>
  </si>
  <si>
    <t>Construction Contract Amount</t>
  </si>
  <si>
    <t>Cumulative Variations</t>
  </si>
  <si>
    <t>Final Contract Value</t>
  </si>
  <si>
    <t>Supervision Contract amount</t>
  </si>
  <si>
    <t>Authority Cost</t>
  </si>
  <si>
    <t>Total Poject Cost</t>
  </si>
  <si>
    <t>Construction Permit</t>
  </si>
  <si>
    <t>Site Mobilization</t>
  </si>
  <si>
    <t>Risks &amp; Challenges</t>
  </si>
  <si>
    <t>Mitigation Measures</t>
  </si>
  <si>
    <t>4 Week Look Ahead Activities</t>
  </si>
  <si>
    <t>Image 1</t>
  </si>
  <si>
    <t>Image 2</t>
  </si>
  <si>
    <t>Image 3</t>
  </si>
  <si>
    <t>Certified till Date</t>
  </si>
  <si>
    <t>Completion Date</t>
  </si>
  <si>
    <t>18 Projects</t>
  </si>
  <si>
    <t>Procurement Route</t>
  </si>
  <si>
    <t>Al Bateen-Majlis-P1</t>
  </si>
  <si>
    <t>Al Bateen</t>
  </si>
  <si>
    <t>W25</t>
  </si>
  <si>
    <t>Majlis</t>
  </si>
  <si>
    <t>Leodaly</t>
  </si>
  <si>
    <t>Silvercoast</t>
  </si>
  <si>
    <t>Design Bid Build</t>
  </si>
  <si>
    <t>Al Shahama-Majlis-P547</t>
  </si>
  <si>
    <t>Al Shahama</t>
  </si>
  <si>
    <t>Old Shahama</t>
  </si>
  <si>
    <t>P547</t>
  </si>
  <si>
    <t>Altorath</t>
  </si>
  <si>
    <t>Yas Projects</t>
  </si>
  <si>
    <t>Zayed City-Majlis-P17</t>
  </si>
  <si>
    <t>Zayed City</t>
  </si>
  <si>
    <t>MZ8</t>
  </si>
  <si>
    <t>P17</t>
  </si>
  <si>
    <t>APG</t>
  </si>
  <si>
    <t>Kharafi</t>
  </si>
  <si>
    <t>MJ-04</t>
  </si>
  <si>
    <t>Mohamed Bin Zayed City -Majlis-P19</t>
  </si>
  <si>
    <t xml:space="preserve">Mohamed Bin Zayed City </t>
  </si>
  <si>
    <t>Z15</t>
  </si>
  <si>
    <t>P19</t>
  </si>
  <si>
    <t>MJ-05</t>
  </si>
  <si>
    <t>Khalifa City-Majlis-P2</t>
  </si>
  <si>
    <t>Khalifa City</t>
  </si>
  <si>
    <t>SW_06</t>
  </si>
  <si>
    <t>MJ-06</t>
  </si>
  <si>
    <t>Mohamed Bin Zayed City-Majlis-P9</t>
  </si>
  <si>
    <t>Mohamed Bin Zayed City</t>
  </si>
  <si>
    <t>Z30</t>
  </si>
  <si>
    <t>P9</t>
  </si>
  <si>
    <t>MJ-07</t>
  </si>
  <si>
    <t>Baniyas-Majlis-P13</t>
  </si>
  <si>
    <t>Baniyas</t>
  </si>
  <si>
    <t>EB11-03</t>
  </si>
  <si>
    <t>P13</t>
  </si>
  <si>
    <t>MJ-08</t>
  </si>
  <si>
    <t>Madinat Al Riyad-Majlis-P3</t>
  </si>
  <si>
    <t>Madinat Al Riyad</t>
  </si>
  <si>
    <t>RD133</t>
  </si>
  <si>
    <t>GBH</t>
  </si>
  <si>
    <t>MJ-09</t>
  </si>
  <si>
    <t>Al Shamkhah-Majlis-P6</t>
  </si>
  <si>
    <t>Al Shamkhah</t>
  </si>
  <si>
    <t>SH29</t>
  </si>
  <si>
    <t>P6</t>
  </si>
  <si>
    <t>MJ-10</t>
  </si>
  <si>
    <t>Mohamed Bin Zayed City-Majlis-P2</t>
  </si>
  <si>
    <t>ME5</t>
  </si>
  <si>
    <t>MJ-11</t>
  </si>
  <si>
    <t>Madinat Al Riyad-Majlis-P162</t>
  </si>
  <si>
    <t>RD25</t>
  </si>
  <si>
    <t>P162</t>
  </si>
  <si>
    <t>MJ-12</t>
  </si>
  <si>
    <t>Al Samhah-Majlis-P206</t>
  </si>
  <si>
    <t>Al Samhah</t>
  </si>
  <si>
    <t>Al Samha East</t>
  </si>
  <si>
    <t>P206</t>
  </si>
  <si>
    <t>MJ-13</t>
  </si>
  <si>
    <t>Al Shawamekh-Majlis-P15</t>
  </si>
  <si>
    <t>Al Shawamekh</t>
  </si>
  <si>
    <t>SHM13</t>
  </si>
  <si>
    <t>P15</t>
  </si>
  <si>
    <t>MJ-14</t>
  </si>
  <si>
    <t>Al Tiwayya-Majlis-13</t>
  </si>
  <si>
    <t>Al Ain</t>
  </si>
  <si>
    <t>Al Tiwayya</t>
  </si>
  <si>
    <t>MAADHI</t>
  </si>
  <si>
    <t>Capital</t>
  </si>
  <si>
    <t>China National</t>
  </si>
  <si>
    <t>MJ-15</t>
  </si>
  <si>
    <t>Al Hili-Majlis-10</t>
  </si>
  <si>
    <t>Al Hili</t>
  </si>
  <si>
    <t>Al Nayfa</t>
  </si>
  <si>
    <t>MJ-16</t>
  </si>
  <si>
    <t>Al Hili-Majlis-2</t>
  </si>
  <si>
    <t>Umm Al Mader</t>
  </si>
  <si>
    <t>CP-01</t>
  </si>
  <si>
    <t>Al Danah-Car Park-P24</t>
  </si>
  <si>
    <t>Al Danah</t>
  </si>
  <si>
    <t>E3 - Hamdan</t>
  </si>
  <si>
    <t>P24</t>
  </si>
  <si>
    <t>Car Park</t>
  </si>
  <si>
    <t>Tangram</t>
  </si>
  <si>
    <t>Trojan</t>
  </si>
  <si>
    <t>CP-02</t>
  </si>
  <si>
    <t>Al Danah-Car Park-P6</t>
  </si>
  <si>
    <t>E5 - Corniche</t>
  </si>
  <si>
    <t>CP-03</t>
  </si>
  <si>
    <t>Al Danah-Car Park-P7</t>
  </si>
  <si>
    <t>E6</t>
  </si>
  <si>
    <t>P7</t>
  </si>
  <si>
    <t>CP-04</t>
  </si>
  <si>
    <t>Al Danah-Car Park-P5</t>
  </si>
  <si>
    <t>P5</t>
  </si>
  <si>
    <t>CP-05</t>
  </si>
  <si>
    <t>Al Danah-Car Park-P22</t>
  </si>
  <si>
    <t>E11</t>
  </si>
  <si>
    <t>P22</t>
  </si>
  <si>
    <t>CP-06</t>
  </si>
  <si>
    <t>Al Danah-Car Park-P8</t>
  </si>
  <si>
    <t>E8</t>
  </si>
  <si>
    <t>P8</t>
  </si>
  <si>
    <t>Feasibility</t>
  </si>
  <si>
    <t>CP-10</t>
  </si>
  <si>
    <t>Al Zahiyah-Car Park-TMP7</t>
  </si>
  <si>
    <t>Al Zahiyah</t>
  </si>
  <si>
    <t>E16_01</t>
  </si>
  <si>
    <t>TMP7</t>
  </si>
  <si>
    <t>Design &amp; Build</t>
  </si>
  <si>
    <t>CP-11</t>
  </si>
  <si>
    <t>E9_02</t>
  </si>
  <si>
    <t>MU-01</t>
  </si>
  <si>
    <t>Al Danah-Vertical Farm-P47</t>
  </si>
  <si>
    <t>E18_03</t>
  </si>
  <si>
    <t>P47</t>
  </si>
  <si>
    <t>Vertical Farm</t>
  </si>
  <si>
    <t>Tebodin</t>
  </si>
  <si>
    <t>MU-02</t>
  </si>
  <si>
    <t>Al Nahyan-Vertical Farm-P59</t>
  </si>
  <si>
    <t>Al Nahyan</t>
  </si>
  <si>
    <t>E25</t>
  </si>
  <si>
    <t>P59</t>
  </si>
  <si>
    <t>Asteco</t>
  </si>
  <si>
    <t>MU-03</t>
  </si>
  <si>
    <t>Al Danah-Vertical Farm-P132</t>
  </si>
  <si>
    <t>E4_01</t>
  </si>
  <si>
    <t>P132</t>
  </si>
  <si>
    <t>MU-04</t>
  </si>
  <si>
    <t>Al Maqam-Vertical Farm-46</t>
  </si>
  <si>
    <t>Al Maqam</t>
  </si>
  <si>
    <t>MU-05</t>
  </si>
  <si>
    <t>Al Fou'ah-Vertical Farm-10</t>
  </si>
  <si>
    <t>Al Fou'ah</t>
  </si>
  <si>
    <t>Al Raqiyah</t>
  </si>
  <si>
    <t>MU-06</t>
  </si>
  <si>
    <t>Zakhir-Vertical Farm-2</t>
  </si>
  <si>
    <t>Zakhir</t>
  </si>
  <si>
    <t>Umm Al-Qatta</t>
  </si>
  <si>
    <t>MU-07</t>
  </si>
  <si>
    <t>Mohamed Bin Zayed City-Vertical Farm-G1</t>
  </si>
  <si>
    <t>ME9</t>
  </si>
  <si>
    <t>G1</t>
  </si>
  <si>
    <t>MU-08</t>
  </si>
  <si>
    <t>Bani Yas-Vertical Farm-P28</t>
  </si>
  <si>
    <t>Bani Yas</t>
  </si>
  <si>
    <t>WB2_01</t>
  </si>
  <si>
    <t>P28</t>
  </si>
  <si>
    <t>MU-09</t>
  </si>
  <si>
    <t>Shakhbout City-Vertical Farm-P10</t>
  </si>
  <si>
    <t>Shakhbout City</t>
  </si>
  <si>
    <t>MSH11</t>
  </si>
  <si>
    <t>P10</t>
  </si>
  <si>
    <t>MU-10</t>
  </si>
  <si>
    <t>Al Shamkha-Vertical Farm-P15</t>
  </si>
  <si>
    <t>Al Shamkha</t>
  </si>
  <si>
    <t>SH3</t>
  </si>
  <si>
    <t>MU-11</t>
  </si>
  <si>
    <t>Dhanna City-Vertical Farm-P1252</t>
  </si>
  <si>
    <t>Al Dhafrah</t>
  </si>
  <si>
    <t>Dhanna City</t>
  </si>
  <si>
    <t>Dannah City</t>
  </si>
  <si>
    <t>P1252</t>
  </si>
  <si>
    <t>MU-12</t>
  </si>
  <si>
    <t>Madinat Zayed-Vertical Farm-P6</t>
  </si>
  <si>
    <t>Madinat Zayed</t>
  </si>
  <si>
    <t>MZW17</t>
  </si>
  <si>
    <t>MU-13</t>
  </si>
  <si>
    <t>Al Mirfa-Vertical Farm-P229</t>
  </si>
  <si>
    <t>Al Mirfa</t>
  </si>
  <si>
    <t>MR5</t>
  </si>
  <si>
    <t>P229</t>
  </si>
  <si>
    <t>SC-01</t>
  </si>
  <si>
    <t>Baniyas-School-P77</t>
  </si>
  <si>
    <t>Al Shawamekh School</t>
  </si>
  <si>
    <t>P77</t>
  </si>
  <si>
    <t>School</t>
  </si>
  <si>
    <t>Geo</t>
  </si>
  <si>
    <t>L&amp;T</t>
  </si>
  <si>
    <t>SC-02</t>
  </si>
  <si>
    <t>Al Shahama-School-P17</t>
  </si>
  <si>
    <t>Al Reef School</t>
  </si>
  <si>
    <t>SC-03</t>
  </si>
  <si>
    <t>Al Sarouj-School-P2</t>
  </si>
  <si>
    <t>Al Sarouj</t>
  </si>
  <si>
    <t>Atika School</t>
  </si>
  <si>
    <t>SC-04</t>
  </si>
  <si>
    <t>Al Sarouj-School-P16</t>
  </si>
  <si>
    <t>Al Salasel School</t>
  </si>
  <si>
    <t>P16</t>
  </si>
  <si>
    <t>SC-05</t>
  </si>
  <si>
    <t>Al Sila-School-P43</t>
  </si>
  <si>
    <t>Al Sila</t>
  </si>
  <si>
    <t>Al Areej School</t>
  </si>
  <si>
    <t>P43</t>
  </si>
  <si>
    <t>SC-06</t>
  </si>
  <si>
    <t>Madinat Zayed-School-P105</t>
  </si>
  <si>
    <t>HCT School</t>
  </si>
  <si>
    <t>P105</t>
  </si>
  <si>
    <t>SC-07</t>
  </si>
  <si>
    <t>Madinat Zayed-School-P38</t>
  </si>
  <si>
    <t>Hamdaniya School</t>
  </si>
  <si>
    <t>P38</t>
  </si>
  <si>
    <t>MJ-17</t>
  </si>
  <si>
    <t>Saadiyat Island-Majlis-Aldar</t>
  </si>
  <si>
    <t>Saadiyat Island</t>
  </si>
  <si>
    <t>Saadiyat Lagoons</t>
  </si>
  <si>
    <t>Aldar</t>
  </si>
  <si>
    <t>MJ-18</t>
  </si>
  <si>
    <t>Balghaiylam-Majlis-Aldar</t>
  </si>
  <si>
    <t>Balghaiylam</t>
  </si>
  <si>
    <t>Shoring Drilling &amp; Casting</t>
  </si>
  <si>
    <t>Piling Drilling &amp; Casting</t>
  </si>
  <si>
    <t>Excavation</t>
  </si>
  <si>
    <t>Substructure</t>
  </si>
  <si>
    <t>Superstructure</t>
  </si>
  <si>
    <t>MEP &amp; Finishes</t>
  </si>
  <si>
    <t>Authorities NOCs/BCC</t>
  </si>
  <si>
    <t>External Works</t>
  </si>
  <si>
    <t>Testing &amp; Commissioning</t>
  </si>
  <si>
    <t>Substantial Completion</t>
  </si>
  <si>
    <t>Notice to Commence</t>
  </si>
  <si>
    <t>• Relocation of existing services two (2) ADDC cables with feeder pillar.
• Limited man power resources.
• Appointment of MEP subcontractor.
• Shelter special Equipment and Long Lead Items (Purchasing and Delivery).
• Delay in  submissions of and insurances and grantees.
• NOCs for fencing permit.(ADDC rejection)</t>
  </si>
  <si>
    <t>Building Permit</t>
  </si>
  <si>
    <t>• Hiring and Deploy the capable site staff .
• Engineering works for long lead items. Expected completion date  31/10/2024-Ongoing
• Expedite the submission of major subcontractor and supplier.
• Review and decision for the special shelter equipment (Under technical review by Engineer)</t>
  </si>
  <si>
    <t>MEP</t>
  </si>
  <si>
    <t>Power On</t>
  </si>
  <si>
    <t>Interior Finishes</t>
  </si>
  <si>
    <t>Demarcation</t>
  </si>
  <si>
    <t>Signboard Installation</t>
  </si>
  <si>
    <t>Fencing Installation</t>
  </si>
  <si>
    <t>• To minimize impact due to the MEP Agency finalization delay, the contractor proactively engaged an external agency for shop drawing preparation and initiated procurement.
• School Construction is ongoing while awaiting final cost agreement with the employer.</t>
  </si>
  <si>
    <t>Project Finish Date</t>
  </si>
  <si>
    <t xml:space="preserve">• Building Permits issued on 21/05/2024.
• Completion of site fencing and signboard installation 23/07/2024.
• Shoring Design approval 23/07/2024.
</t>
  </si>
  <si>
    <t>Shoring and Piling Completion</t>
  </si>
  <si>
    <t xml:space="preserve">• Building Permit issued on 23/07/2024
• Contractor issued PO to the Sub-Contractor for Fencing and Signboard on 21/08/2024.
</t>
  </si>
  <si>
    <t>Design Phase</t>
  </si>
  <si>
    <t>Structural Completion</t>
  </si>
  <si>
    <t>Completion</t>
  </si>
  <si>
    <t>Actual ID</t>
  </si>
  <si>
    <t>Al Danah-Car Park-P8-E09_02</t>
  </si>
  <si>
    <t>Formula 1</t>
  </si>
  <si>
    <t>Formula 2</t>
  </si>
  <si>
    <t>Formula 3</t>
  </si>
  <si>
    <t>• Sign board &amp; Fencing Installation completion
• Contractor Site Office Installation in progress .
• Demarcation done by ADM for Al Shamkhah
• Received Building Permits &amp; Approved ADM Drawings</t>
  </si>
  <si>
    <t xml:space="preserve">The contractor has submitted the Project Baseline (BL), and it is currently under review by AIC. </t>
  </si>
  <si>
    <t>• Shoring guide wall Completed.
• Secant piles in progress.
• AWQAF approved Mosque Design.
• ADDC accepted protection of existing FH/ water pipeline.</t>
  </si>
  <si>
    <t xml:space="preserve">• Optimized pile design rev.1, released to the Contractor.
• Instruct Contractor for tech. &amp; commercial of PS for shelter special sys. &amp; PS diversion of existing utilities at Plot P1.
• Mosque design assigned to APG.
</t>
  </si>
  <si>
    <t>• Shoring guide wall in progress.
• Shoring pilling in progress.
• Site office utilities connection in progress.
• Welfare facilities in progress.</t>
  </si>
  <si>
    <t xml:space="preserve">• Optimized pile design rev.1, released to the Contractor.
• Instruct Contractor for tech. &amp; commercial of PS for shelter special sys.
</t>
  </si>
  <si>
    <t xml:space="preserve">• Relocation Services ongoing. 
• Project Signboard Completed.
• Site office Mobilization Completed .
• Guide Wall Excavation and Casting Completed.
• Casting 147 of 167 Hard Piles .
• Casting 157 of 167 of Soft piles. 
• Casted 4 of 301 of Main piles 
• Dewatering Installation  total 7 nos  pipes 
</t>
  </si>
  <si>
    <r>
      <t xml:space="preserve">As the recommendation from project's Engineer, Engineer have identified the need for an additional construction team by the contractor . 
</t>
    </r>
    <r>
      <rPr>
        <sz val="11"/>
        <color rgb="FFFF0000"/>
        <rFont val="Calibri"/>
        <family val="2"/>
        <scheme val="minor"/>
      </rPr>
      <t>*For COD 08.08.24 Engineer raised critical issue regarding the recent submission by contractor which is unacceptable readjusting  of the planned percentage to minimize the variance between PL and ACT. , which significantly deviates from the agreed-upon terms and basic roles in the project BL that is why the progress % not mentioned .</t>
    </r>
  </si>
  <si>
    <t xml:space="preserve">As the recommendation from project's Engineer, Engineer have identified the need for an additional construction team by the contractor . </t>
  </si>
  <si>
    <t xml:space="preserve">• Building Permits issued on 21/05/2024.
• Shoring Approval 16/07/2024. 
• Completion of site fencing and installation of signboard 24/07/2024.
• Delivery of Site offices.
</t>
  </si>
  <si>
    <t xml:space="preserve">Commencement Date 15/05/2024
</t>
  </si>
  <si>
    <t>Commencement Date instruction 15/05/2024</t>
  </si>
  <si>
    <t xml:space="preserve">Commencement Date 16/07/2024
</t>
  </si>
  <si>
    <t>Contractor issued PO to the Sub-Contractor for Fencing and Signboard on 21/07/2024.</t>
  </si>
  <si>
    <t xml:space="preserve">Building Permit issued on 23/07/2024
Contractor issued PO to the Sub-Contractor for Fencing and Signboard on 21/07/2024.
</t>
  </si>
  <si>
    <r>
      <rPr>
        <b/>
        <sz val="11"/>
        <color theme="1"/>
        <rFont val="Calibri"/>
        <family val="2"/>
        <scheme val="minor"/>
      </rPr>
      <t>Annex Building</t>
    </r>
    <r>
      <rPr>
        <sz val="11"/>
        <color theme="1"/>
        <rFont val="Calibri"/>
        <family val="2"/>
        <scheme val="minor"/>
      </rPr>
      <t xml:space="preserve">
RCC Wall Shutter fixing Upto FF Level in progress – 80% Completed; Concrete 70% completed
</t>
    </r>
    <r>
      <rPr>
        <b/>
        <sz val="11"/>
        <color theme="1"/>
        <rFont val="Calibri"/>
        <family val="2"/>
        <scheme val="minor"/>
      </rPr>
      <t xml:space="preserve">School Building
</t>
    </r>
    <r>
      <rPr>
        <sz val="11"/>
        <color theme="1"/>
        <rFont val="Calibri"/>
        <family val="2"/>
        <scheme val="minor"/>
      </rPr>
      <t xml:space="preserve">GF - RCC Wall Rebar fixing 85% Completed
</t>
    </r>
  </si>
  <si>
    <t>To minimize impact due to the MEP Agency finalization delay, the contractor proactively engaged an external agency for shop drawing preparation and initiated procurement.
School Construction is ongoing while awaiting final cost agreement with the employer.</t>
  </si>
  <si>
    <r>
      <rPr>
        <b/>
        <sz val="11"/>
        <color theme="1"/>
        <rFont val="Calibri"/>
        <family val="2"/>
        <scheme val="minor"/>
      </rPr>
      <t>Annex Building</t>
    </r>
    <r>
      <rPr>
        <sz val="11"/>
        <color theme="1"/>
        <rFont val="Calibri"/>
        <family val="2"/>
        <scheme val="minor"/>
      </rPr>
      <t xml:space="preserve">
• Backfilling Upto Plinth Level 90% completed; 
</t>
    </r>
    <r>
      <rPr>
        <b/>
        <sz val="11"/>
        <color theme="1"/>
        <rFont val="Calibri"/>
        <family val="2"/>
        <scheme val="minor"/>
      </rPr>
      <t>School Building</t>
    </r>
    <r>
      <rPr>
        <sz val="11"/>
        <color theme="1"/>
        <rFont val="Calibri"/>
        <family val="2"/>
        <scheme val="minor"/>
      </rPr>
      <t xml:space="preserve">
• Foundation Work 100% completed; RCC Plinth Wall Concrete pouring 20% Completed
</t>
    </r>
  </si>
  <si>
    <r>
      <rPr>
        <b/>
        <sz val="11"/>
        <color theme="1"/>
        <rFont val="Calibri"/>
        <family val="2"/>
        <scheme val="minor"/>
      </rPr>
      <t>Annex Building</t>
    </r>
    <r>
      <rPr>
        <sz val="11"/>
        <color theme="1"/>
        <rFont val="Calibri"/>
        <family val="2"/>
        <scheme val="minor"/>
      </rPr>
      <t xml:space="preserve">
• Backfilling 70% completed; GF RCC wall works to progress
</t>
    </r>
    <r>
      <rPr>
        <b/>
        <sz val="11"/>
        <color theme="1"/>
        <rFont val="Calibri"/>
        <family val="2"/>
        <scheme val="minor"/>
      </rPr>
      <t>School Building</t>
    </r>
    <r>
      <rPr>
        <sz val="11"/>
        <color theme="1"/>
        <rFont val="Calibri"/>
        <family val="2"/>
        <scheme val="minor"/>
      </rPr>
      <t xml:space="preserve">
• Substructure – Foundation Concrete 95% completed; RCC Wall (upto Plinth) 68% done</t>
    </r>
  </si>
  <si>
    <r>
      <rPr>
        <b/>
        <sz val="11"/>
        <color theme="1"/>
        <rFont val="Calibri"/>
        <family val="2"/>
        <scheme val="minor"/>
      </rPr>
      <t>Annex Building</t>
    </r>
    <r>
      <rPr>
        <sz val="11"/>
        <color theme="1"/>
        <rFont val="Calibri"/>
        <family val="2"/>
        <scheme val="minor"/>
      </rPr>
      <t xml:space="preserve">
• Superstructure – Ground Floor RCC Wall Concrete 20% Completed; Rebar Fixing 70% done 
</t>
    </r>
    <r>
      <rPr>
        <b/>
        <sz val="11"/>
        <color theme="1"/>
        <rFont val="Calibri"/>
        <family val="2"/>
        <scheme val="minor"/>
      </rPr>
      <t>School Building</t>
    </r>
    <r>
      <rPr>
        <sz val="11"/>
        <color theme="1"/>
        <rFont val="Calibri"/>
        <family val="2"/>
        <scheme val="minor"/>
      </rPr>
      <t xml:space="preserve">
• RCC Wall Concrete Upto Plinth 83% completed
</t>
    </r>
  </si>
  <si>
    <r>
      <rPr>
        <b/>
        <sz val="11"/>
        <color theme="1"/>
        <rFont val="Calibri"/>
        <family val="2"/>
        <scheme val="minor"/>
      </rPr>
      <t>Annex Building</t>
    </r>
    <r>
      <rPr>
        <sz val="11"/>
        <color theme="1"/>
        <rFont val="Calibri"/>
        <family val="2"/>
        <scheme val="minor"/>
      </rPr>
      <t xml:space="preserve">
• Superstructure – GF RCC Wall Rebar Fixing 92% Completed; 
</t>
    </r>
    <r>
      <rPr>
        <b/>
        <sz val="11"/>
        <color theme="1"/>
        <rFont val="Calibri"/>
        <family val="2"/>
        <scheme val="minor"/>
      </rPr>
      <t>School Building</t>
    </r>
    <r>
      <rPr>
        <sz val="11"/>
        <color theme="1"/>
        <rFont val="Calibri"/>
        <family val="2"/>
        <scheme val="minor"/>
      </rPr>
      <t xml:space="preserve">
• Substructure –RCC Wall Upto Plinth 30% Done
</t>
    </r>
  </si>
  <si>
    <r>
      <rPr>
        <b/>
        <sz val="11"/>
        <color theme="1"/>
        <rFont val="Calibri"/>
        <family val="2"/>
        <scheme val="minor"/>
      </rPr>
      <t>Annex Building</t>
    </r>
    <r>
      <rPr>
        <sz val="11"/>
        <color theme="1"/>
        <rFont val="Calibri"/>
        <family val="2"/>
        <scheme val="minor"/>
      </rPr>
      <t xml:space="preserve">
• GF RCC Wall – Rebar fixing 64%  Completed; Wall Concrete 13% Completed
</t>
    </r>
    <r>
      <rPr>
        <b/>
        <sz val="11"/>
        <color theme="1"/>
        <rFont val="Calibri"/>
        <family val="2"/>
        <scheme val="minor"/>
      </rPr>
      <t>School Building</t>
    </r>
    <r>
      <rPr>
        <sz val="11"/>
        <color theme="1"/>
        <rFont val="Calibri"/>
        <family val="2"/>
        <scheme val="minor"/>
      </rPr>
      <t xml:space="preserve">
• Substructure – GF RCC Wall Rebar Fixing – 32% completed</t>
    </r>
  </si>
  <si>
    <r>
      <rPr>
        <b/>
        <sz val="11"/>
        <color theme="1"/>
        <rFont val="Calibri"/>
        <family val="2"/>
        <scheme val="minor"/>
      </rPr>
      <t>Annex Building</t>
    </r>
    <r>
      <rPr>
        <sz val="11"/>
        <color theme="1"/>
        <rFont val="Calibri"/>
        <family val="2"/>
        <scheme val="minor"/>
      </rPr>
      <t xml:space="preserve">
• GF - RCC Wall Rebar Fixing 51% completed
</t>
    </r>
    <r>
      <rPr>
        <b/>
        <sz val="11"/>
        <color theme="1"/>
        <rFont val="Calibri"/>
        <family val="2"/>
        <scheme val="minor"/>
      </rPr>
      <t>School Building</t>
    </r>
    <r>
      <rPr>
        <sz val="11"/>
        <color theme="1"/>
        <rFont val="Calibri"/>
        <family val="2"/>
        <scheme val="minor"/>
      </rPr>
      <t xml:space="preserve">
• RCC Plinth Wall  - 30% Completed
• GF – RCC Wall Rebar Fixing – 14% Completed</t>
    </r>
  </si>
  <si>
    <t xml:space="preserve"> Establishment Site Office Mobilization</t>
  </si>
  <si>
    <t xml:space="preserve">Substructure- Earth work up to Raft Foundation </t>
  </si>
  <si>
    <t>Substructure-Basement Level</t>
  </si>
  <si>
    <t>Superstructure-Majlis</t>
  </si>
  <si>
    <t>Under Ground Facilities T&amp;C</t>
  </si>
  <si>
    <t xml:space="preserve">Majlis Testing &amp; Commissioning </t>
  </si>
  <si>
    <t xml:space="preserve">Majlis – Power </t>
  </si>
  <si>
    <t>Building  Permit</t>
  </si>
  <si>
    <t>Handing Over</t>
  </si>
  <si>
    <t>Fencing  &amp; Signboard Fabrication</t>
  </si>
  <si>
    <t>Site offices Fabrication</t>
  </si>
  <si>
    <t>Site offices Installation</t>
  </si>
  <si>
    <t>BCC Inspection</t>
  </si>
  <si>
    <t>BCC Issuance</t>
  </si>
  <si>
    <t>The delay in issuing the IFC Drawings for Shamkha and Madinat Al Riyad to the contractor may affect the engineering submission / approval progress .</t>
  </si>
  <si>
    <t>Although the IFC drawing is not yet available, AIC is supporting the contractor proactively to start  the engineering and procurement phases.”</t>
  </si>
  <si>
    <t>•PQ for Shoring, Piling, Dewatering, Waterproofing and Anti termite
•Material Submittal for Concrete, Rebar and Anti termite .
•Commence Site Office Activities for the Client and Engineer</t>
  </si>
  <si>
    <t xml:space="preserve">•Risks / Challenges
•Delay permeant piling start, due to new optimized pile submission, dated 06 Aug.2024.
•Secant pile productivity rate less than planned.
•Delay appoint MEP &amp; specialist for shelter special system due to improper submission, affecting builder works &amp; long lead items.
•Appoint specialist for diversion of existing fire hydrant at Plot P1 (Mosque), to avoid delay in building permit issuance.
•ADM approval for shelter design (if any)
</t>
  </si>
  <si>
    <t xml:space="preserve">•Mitigation Measures
•Expedite technical &amp; shop drawings submission.
•Notice lack of progress issued to MAK.
•Workshop meetings held with MAK to expedite re-submission.
•Expedite bidders' proposals re-submission.
•Sevene to initiate a time schedule for ADM review.
</t>
  </si>
  <si>
    <t>•Secant pile in progress.
•BL resubmission.
•Engineering submissions.</t>
  </si>
  <si>
    <t xml:space="preserve">• Risks / Challenges
• Delay permeant piling start, due to new optimized pile submission, dated 06 Aug.2024.
• Secant pile productivity rate less than planned.
• Delay appoint MEP &amp; specialist for shelter special system due to improper submission, affecting builder works &amp; long lead items.
• ADM approval for shelter design (if any)
</t>
  </si>
  <si>
    <t>• Mitigation Measures
• Expedite technical &amp; shop drawings submission.
• Notice lack of progress issued to MAK.
• Workshop meetings held with MAK to expedite re-submission.
• sevene to initiate a time schedule for ADM review.</t>
  </si>
  <si>
    <t xml:space="preserve">• Shoring Guide wall completion.
• Secant pile in progress.
• BL resubmission.
• Engineering submissions.
</t>
  </si>
  <si>
    <t>Delivery of Long Lead Items ( Chillers &amp; Generator &amp; Air handling Unit )
• Special items date of installation CBRN 
• completion of  Excavation , pile head breaking ,Pile integrity test Start of Reinforcement for raft .
• Contractor anticipation found inaccurate  , and require Contractor action to increase the required  resources to achieve anticipated productivity as committed during progress meeting that held  .(as Contractor advised that excavation work will be completed within 12 • • working days from the date of progress meeting dated10th of July 2024 which is obviously  will not able to attended ).</t>
  </si>
  <si>
    <t xml:space="preserve">• Contractor to submit the submit the recovery program to mitigate the delays to achieve the original planned completion date. </t>
  </si>
  <si>
    <t>• Completion of Excavate Soil Till Raft Foundation
• Completion of Disposal of Excavated Materials
• Completion of Site Cleaning and Preparation 
• Completion of Pile Head Breaking .
• Completion of Raft  PCC works .
• Completion of Steel Reinforcement for Raft Foundation Fabrication and Delivery .
• Start of TRM &amp; Dynamic test 
• Completion of Pile Integrity Test</t>
  </si>
  <si>
    <t>• Delay commencement of MBZ project due to NOC’s for Utility Relocation.
• The affection plan without conditions on 29thMay 2024.
• Delay of NOCs for MCC, Strom Water ,and Etisalat.  
• The project will require night shift operations. This adjustment is essential to meet our deadlines .
• Contractor anticipation to enable work night shift (24 days ) is totally not applicable at this site  due to the nature of the required activities that will not be allowed at such sensitive area , and Contractor should increase the resources to enable compensate the above mentioned restriction .
• Working adjacent to the sensitive building/area , and anticipated restriction sensitive</t>
  </si>
  <si>
    <t xml:space="preserve">• Contractor to submit the recovery plan to mitigate the delays
• Senior management support required to expedite NOC approvals and authority support.  </t>
  </si>
  <si>
    <t>• Relocation  Services.
• Mobilization (Site offices ).
• Complete the Shoring Piles.
• Complete the Guide wall Activities.
• Start Main Piles.</t>
  </si>
  <si>
    <t>• Approved contractor to re-route the existing services-started the process to obtain Work order from ADDC.(ongoing)
• Submission of MEP subcontractor to Engineer for approval.
• Technical workshop with specialist to finalize all required clarifications.
• Hiring and Deploy the capable site staff .
• Engineering works for long lead items. Expected completion date  31/10/2024-Ongoing
• Expedite the submission of major subcontractor and supplier.
• Review and decision for the special shelter equipment (Under technical review by Engineer)</t>
  </si>
  <si>
    <t>• Complete site mobilization and establishment  of site facilities
• Re-route the existing services-commence the execution of re-routing.(PS)
• Finalized the selection of shelter special equipment.
• Procurement of MEP subcontractor.</t>
  </si>
  <si>
    <t>• Delay in establishment of site offices.
• Limited man power resources.
• Appointment of MEP subcontractor.
• Shelter special Equipment and Long Lead Items (Purchasing and Delivery).
• NOCs for fencing permit.
• Finalize the authorities approval for the Mosque</t>
  </si>
  <si>
    <t>• Complete site mobilization and establishment  of site facilities.(ongoing)
• Finalized the selection of shelter special equipment.(ongoing)
• Procurement of MEP subcontractor.
• Guide Beam and secant Piles for shoring works(ongoing)
• Commence the shoring works.</t>
  </si>
  <si>
    <t>Delay of Building permit.</t>
  </si>
  <si>
    <t>• Lab completed Topographic and Geophysical survey.
• ADM approval to proceed with Geotechnical survey and soil investigation report.
• Contractor to obtain approval from A lDar for logistic and mobilization plans.
• Contractor to deliver the signboard and fencing material to the site.
• Hiring sufficient and qualified staff.
• Procurement for  major subcontractor.
• Procurement of long lead items.</t>
  </si>
  <si>
    <t>• Completion of geotechnical report.
• Finalize structural design and complete Building Permit process.
• Fencing and sign board.
• Finalize the contractor submission for variation (additional majlis)
• Engineering works.</t>
  </si>
  <si>
    <t xml:space="preserve">• Engaging with the authorities regarding the adjacent plot 5 cm impact.
• Submit construction NOC to explore the crossing cables if any.
• YAS is to submit the Advance Payment guarantee, Bonds and insurances.
• Resources availability 
• Legal and Regulatory 
• Delays in engineering /procurement and subs 
• Safety risk
• Delays in Sign board and fence installation </t>
  </si>
  <si>
    <t xml:space="preserve">• Follow up to obtain the required construction NOCs approval.
• Finalize staff deployment 
• Evaluate and appoint the shoring subcontractor
• Submission of Engineering log /procurement log especially the  long lead items. 
• Ensure Adherence to safety plan and codes and international standards.
• Asses Shelter Special systems suppliers for recommendation and appointment 
• submission of Baseline program in accordance with the contract.
</t>
  </si>
  <si>
    <t xml:space="preserve">• submission the baseline program along with construction methodology target date(12/08/2024)
• Revise the Project HSE plan summation the and construction environment management plan target date(12/08/2024)
• submission the Advance Payment guarantee, Bonds and insurances target date(15/08/2024)
• submission the Pre-Qualifications of shoring Sub-Contractors target date  (12/08/2024)
• submission the Pre-Qualifications of Piles  Sub-Contractors target date  (20/08/2024)
• Contract agreement target date(25/08/2024)
• Contract deliverables target date(31/08/2024)
</t>
  </si>
  <si>
    <t xml:space="preserve">• Engaging with the authorities regarding the adjacent plot 5 cm impact to explore the crossing cables if any.
• Submission  the Advance Payment guarantee, Performance Bond and insurance polices 
• Resources availability 
• Safety risk
• Shoring Subcontractor appointment 
• Shelter Special systems appointment 
• Base line Programme </t>
  </si>
  <si>
    <t>• Follow up to obtain the required construction NOCs approval.
• Finalize staff deployment 
• Evaluate and appoint the shoring subcontractor
• Submission of Engineering log /procurement log especially the  long lead items. 
• Ensure Adherence to safety plan and codes and international standards.
• Asses Shelter Special systems suppliers for recommendation and appointment 
• submission of Baseline program in accordance with the contract.</t>
  </si>
  <si>
    <t>• submission the baseline program along with construction methodology target date(12/08/2024)
• Revise the Project HSE plan summation the and construction environment management plan.  target date(12/08/2024)
• submission the Advance Payment guarantee, Bonds and insurances target date(15/08/2024)
• submission the Pre-Qualifications of shoring Sub-Contractors target date  (12/08/2024)
• submission the Pre-Qualifications of Piles  Sub-Contractors target date  (20/08/2024)
• Contract agreement target date(25/08/2024)
• Contract deliverables target date(31/08/2024)</t>
  </si>
  <si>
    <t xml:space="preserve">• Risks / Challenges
• Engaging with the authorities regarding the adjacent plot 5 cm impact. to explore the crossing cables if any.
• Submission  the Advance Payment guarantee, Performance Bond and insurance polices 
• Resources availability 
• Safety risk
• Shoring Subcontractor appointment 
• Shelter Special systems appointment 
• Base line Programme </t>
  </si>
  <si>
    <t xml:space="preserve">• submission the baseline program along with construction methodology target date(12/08/2024)
• Revise the Project HSE plan summation the and construction environment management plan. target date(12/08/2024)
• submission the Advance Payment guarantee, Bonds and insurances target date(15/08/2024)
• submission the Pre-Qualifications of shoring Sub-Contractors target date  (12/08/2024)
• submission the Pre-Qualifications of Piles  Sub-Contractors target date  (20/08/2024)
• Contract agreement target date(25/08/2024)
• Contract deliverables target date(31/08/2024)
</t>
  </si>
  <si>
    <t xml:space="preserve">• Risks / Challenges
• Bill No.4 – MEP Final Rate Agreement required – 19-Aug-24 (Delaying the MEP Agency mobilization at site, Engineering &amp; Procurement process)
• Approval for Remaining Cost plus &amp; Re-measurable Items required – 19-Aug-24 (Hampering the Annex &amp; School building progress) 
• MEP Long lead items – Materials submittals &amp; Approvals delaying due to Agency not mobilized (Impacted in the critical path)
• Addition in Scope (Internal wall + External RCC Wall at School) &amp; changes in construction methodology hindering the progress
</t>
  </si>
  <si>
    <t xml:space="preserve">• Expedite final rate agreement between parties and accelerate procurement of critical materials.
• Obtain timely approvals and expedite procurement of critical materials; Consider expediting procurement processes.
• Expedite MEP agency onboarding to initiate material submittals and approvals for long-lead items, and assess the potential benefits of local procurement.
• Reassess project scope to identify resource and timeline requirements; Develop a revised project schedule incorporating the new scope and methodology
</t>
  </si>
  <si>
    <t>Annex Building – 
• Superstructure works – Wall Rebar, Shutter &amp; Concrete pouring  up to 1st FL level
Shelter Block – 
• Substructure – Waterproofing &amp; Backfilling works
Superstructure -  RCC wall to progress GF &amp; 1FL
Surface Preparation &amp; Application of CFRP
Roof Slab Strengthening works to progress</t>
  </si>
  <si>
    <t>• Approval for Remaining Cost plus &amp; Re-measurable Items required – 19-Aug-24 (Hampering the Annex &amp; School building progress) 
• MEP Long lead items – Materials submittals &amp; Approvals</t>
  </si>
  <si>
    <t>• Obtain timely approvals and expedite procurement of critical materials; Consider expediting procurement processes.
• MEP Agency Onboard required at the earliest to initiate the Material submittals/ Approval for Long lead items and order placement</t>
  </si>
  <si>
    <r>
      <rPr>
        <b/>
        <sz val="11"/>
        <color theme="1"/>
        <rFont val="Calibri"/>
        <family val="2"/>
        <scheme val="minor"/>
      </rPr>
      <t xml:space="preserve">Annex Building </t>
    </r>
    <r>
      <rPr>
        <sz val="11"/>
        <color theme="1"/>
        <rFont val="Calibri"/>
        <family val="2"/>
        <scheme val="minor"/>
      </rPr>
      <t xml:space="preserve">
• Backfilling Complete &amp; Grade slab works to progress
• GF RCC wall works to progress
</t>
    </r>
    <r>
      <rPr>
        <b/>
        <sz val="11"/>
        <color theme="1"/>
        <rFont val="Calibri"/>
        <family val="2"/>
        <scheme val="minor"/>
      </rPr>
      <t xml:space="preserve">Shelter Block </t>
    </r>
    <r>
      <rPr>
        <sz val="11"/>
        <color theme="1"/>
        <rFont val="Calibri"/>
        <family val="2"/>
        <scheme val="minor"/>
      </rPr>
      <t xml:space="preserve">
• Substructure –RCC Wall upto Plinth to progress
• RCC Wall Rebar Fixing to progress at GF &amp; FF Level
• Surface Preparation for CRFP works</t>
    </r>
  </si>
  <si>
    <t>• Bill No.4 – MEP Final Rate Agreement required – 19-Aug-24 (Delaying the MEP Agency mobilization at site, Engineering &amp; Procurement process)
• Approval for Remaining Cost plus &amp; Re-measurable Items required – 19-Aug-24 (Hampering the Annex &amp; School building progress) 
• MEP Long lead items – Materials submittals &amp; Approvals delaying due to Agency not mobilized (Impacted in the critical path)
• Addition in Scope (Internal wall + External RCC Wall at School) &amp; changes in construction methodology hindering the progress</t>
  </si>
  <si>
    <r>
      <rPr>
        <b/>
        <sz val="11"/>
        <color theme="1"/>
        <rFont val="Calibri"/>
        <family val="2"/>
        <scheme val="minor"/>
      </rPr>
      <t xml:space="preserve">Annex Building </t>
    </r>
    <r>
      <rPr>
        <sz val="11"/>
        <color theme="1"/>
        <rFont val="Calibri"/>
        <family val="2"/>
        <scheme val="minor"/>
      </rPr>
      <t xml:space="preserve">
• Substructure works to complete
• Superstructure – RCC Wall works to progress
</t>
    </r>
    <r>
      <rPr>
        <b/>
        <sz val="11"/>
        <color theme="1"/>
        <rFont val="Calibri"/>
        <family val="2"/>
        <scheme val="minor"/>
      </rPr>
      <t>Shelter Block</t>
    </r>
    <r>
      <rPr>
        <sz val="11"/>
        <color theme="1"/>
        <rFont val="Calibri"/>
        <family val="2"/>
        <scheme val="minor"/>
      </rPr>
      <t xml:space="preserve">
• Substructure – Anchoring to completed
• Substructure – Foundation Cast &amp; Existing Structure Strengthening works to progress
• GF – Rebar Fixing for Wall to progress
• Surface Preparation for CRFP works
</t>
    </r>
  </si>
  <si>
    <t xml:space="preserve">Annex Building 
Substructure – Grade Slab &amp; Beam Works to progress
Superstructure works – RCC wall up to FF level to progress
Shelter Block 
Substructure –works to complete
Superstructure – RCC Wall work to progress upto 1FL Level
Surface Preparation for CRFP works to progress
Expedite final rate agreement between parties and accelerate procurement of critical materials.
• Obtain timely approvals and expedite procurement of critical materials; Consider expediting procurement processes.
• Expedite MEP agency onboarding to initiate material submittals and approvals for long-lead items, and assess the potential benefits of local procurement.
• Reassess project scope to identify resource and timeline requirements; Develop a revised project schedule incorporating the new scope and methodology
</t>
  </si>
  <si>
    <t xml:space="preserve">• Bill No.4 – MEP Final Rate Agreement required – 19-Aug-24 (Delaying the MEP Agency mobilization at site, Engineering &amp; Procurement process)
• Approval for Remaining Cost plus &amp; Re-measurable Items required – 19-Aug-24 (Hampering the Annex &amp; School building progress) 
• MEP Long lead items – Materials submittals &amp; Approvals delaying due to Agency not mobilized (Impacted in the critical path)
• Addition in Scope (Internal wall + External RCC Wall at School) &amp; changes in construction methodology hindering the progress
</t>
  </si>
  <si>
    <r>
      <rPr>
        <b/>
        <sz val="11"/>
        <color theme="1"/>
        <rFont val="Calibri"/>
        <family val="2"/>
        <scheme val="minor"/>
      </rPr>
      <t xml:space="preserve">Annex Building </t>
    </r>
    <r>
      <rPr>
        <sz val="11"/>
        <color theme="1"/>
        <rFont val="Calibri"/>
        <family val="2"/>
        <scheme val="minor"/>
      </rPr>
      <t xml:space="preserve">
• Substructure – Grade Slab &amp; Beam Works to progress
• Superstructure works – RCC wall up to FF level to progress</t>
    </r>
    <r>
      <rPr>
        <b/>
        <sz val="11"/>
        <color theme="1"/>
        <rFont val="Calibri"/>
        <family val="2"/>
        <scheme val="minor"/>
      </rPr>
      <t xml:space="preserve">
Shelter Block 
</t>
    </r>
    <r>
      <rPr>
        <sz val="11"/>
        <color theme="1"/>
        <rFont val="Calibri"/>
        <family val="2"/>
        <scheme val="minor"/>
      </rPr>
      <t xml:space="preserve">
• Substructure –works to complete
• Superstructure – RCC Wall work to progress upto 1FL Level
• Surface Preparation for CRFP works to progress
</t>
    </r>
  </si>
  <si>
    <r>
      <rPr>
        <b/>
        <sz val="11"/>
        <color theme="1"/>
        <rFont val="Calibri"/>
        <family val="2"/>
        <scheme val="minor"/>
      </rPr>
      <t xml:space="preserve">Annex Building </t>
    </r>
    <r>
      <rPr>
        <sz val="11"/>
        <color theme="1"/>
        <rFont val="Calibri"/>
        <family val="2"/>
        <scheme val="minor"/>
      </rPr>
      <t xml:space="preserve">
• Substructure – Grade Slab Works to progress
• Superstructure works – RCC Wall works upto FF Level
</t>
    </r>
    <r>
      <rPr>
        <b/>
        <sz val="11"/>
        <color theme="1"/>
        <rFont val="Calibri"/>
        <family val="2"/>
        <scheme val="minor"/>
      </rPr>
      <t>Shelter Block</t>
    </r>
    <r>
      <rPr>
        <sz val="11"/>
        <color theme="1"/>
        <rFont val="Calibri"/>
        <family val="2"/>
        <scheme val="minor"/>
      </rPr>
      <t xml:space="preserve">
– 
• Substructure – Foundation Cast &amp; Existing Structure Strengthening works to progress
• Superstructure - GF &amp; FF Wall to progress
• Surface Preparation for CRFP works
</t>
    </r>
  </si>
  <si>
    <r>
      <rPr>
        <b/>
        <sz val="11"/>
        <color theme="1"/>
        <rFont val="Calibri"/>
        <family val="2"/>
        <scheme val="minor"/>
      </rPr>
      <t xml:space="preserve">Annex Building </t>
    </r>
    <r>
      <rPr>
        <sz val="11"/>
        <color theme="1"/>
        <rFont val="Calibri"/>
        <family val="2"/>
        <scheme val="minor"/>
      </rPr>
      <t xml:space="preserve">
• Superstructure works – RCC Wall works upto FF Level
</t>
    </r>
    <r>
      <rPr>
        <b/>
        <sz val="11"/>
        <color theme="1"/>
        <rFont val="Calibri"/>
        <family val="2"/>
        <scheme val="minor"/>
      </rPr>
      <t>Shelter Block</t>
    </r>
    <r>
      <rPr>
        <sz val="11"/>
        <color theme="1"/>
        <rFont val="Calibri"/>
        <family val="2"/>
        <scheme val="minor"/>
      </rPr>
      <t xml:space="preserve">
• Substructure – Foundation works to complete
GF – RCC Wall works upto 1FL Level to progress
Surface Preparation for CRFP works
</t>
    </r>
  </si>
  <si>
    <r>
      <rPr>
        <b/>
        <sz val="11"/>
        <color theme="1"/>
        <rFont val="Calibri"/>
        <family val="2"/>
        <scheme val="minor"/>
      </rPr>
      <t xml:space="preserve">Annex Building </t>
    </r>
    <r>
      <rPr>
        <sz val="11"/>
        <color theme="1"/>
        <rFont val="Calibri"/>
        <family val="2"/>
        <scheme val="minor"/>
      </rPr>
      <t xml:space="preserve">
• Substructure – Grade Slab Works
• Superstructure works – RCC Wall works upto 1FL Level
</t>
    </r>
    <r>
      <rPr>
        <b/>
        <sz val="11"/>
        <color theme="1"/>
        <rFont val="Calibri"/>
        <family val="2"/>
        <scheme val="minor"/>
      </rPr>
      <t>Shelter Block</t>
    </r>
    <r>
      <rPr>
        <sz val="11"/>
        <color theme="1"/>
        <rFont val="Calibri"/>
        <family val="2"/>
        <scheme val="minor"/>
      </rPr>
      <t xml:space="preserve">
• Substructure –Foundation Cast &amp; Existing Structure Strengthening works to progress
• RCC Plinth Wall &amp; GF Wall Works to progress
• Surface Preparation for CRFP works
</t>
    </r>
  </si>
  <si>
    <t>https://drive.google.com/file/d/1N4Zo1nyoTRwV-8yeADEdYoewjbxnID-Z/view</t>
  </si>
  <si>
    <t>https://drive.google.com/file/d/1u7fyxEhz5ZBdqEUOis7aQ3eZaoNHO5t6/view</t>
  </si>
  <si>
    <t>https://drive.google.com/file/d/1p2iUJtng5C_UXPw0fI_hg5oznXFeBhpI/view</t>
  </si>
  <si>
    <t>https://drive.google.com/file/d/1fD7AWmASsFIlXlxUeMDyf0RwmeJ-UJ8T/view</t>
  </si>
  <si>
    <t>https://drive.google.com/file/d/1Ri-YAEWJjvz1PE2D5W_tY9aB0o-kD3Cx/view</t>
  </si>
  <si>
    <t>https://drive.google.com/file/d/17kFHEbF-AEDFcJjjgAoxnDoBUieKKDg3/view</t>
  </si>
  <si>
    <t>https://drive.google.com/file/d/1xNwrwZ-kLTM_YhVN0HOVWrlrlMM1DCgm/view</t>
  </si>
  <si>
    <t>https://drive.google.com/file/d/1ubpEtvc1oWuPQhwTMdh21fiJQLJ6YQjL/view</t>
  </si>
  <si>
    <t>https://drive.google.com/file/d/16BMdQPUP_243M9ZY1BsJCcqCz75Uhylv/view</t>
  </si>
  <si>
    <t>https://drive.google.com/file/d/1PN5QKrWfuLNLtg-y5ctP3wPnqv2s1Rlm/view</t>
  </si>
  <si>
    <t>https://drive.google.com/file/d/1Xv5IhBhdmlrvaY32k_gxD4v2dwCxj2S0/view</t>
  </si>
  <si>
    <t>https://drive.google.com/file/d/1cGFZl0t3lci1ilX5gjjOKnRFdDklY_8G/view</t>
  </si>
  <si>
    <t>https://drive.google.com/file/d/19ZTyE2xeT2sZ01YGBhW0hDNK1zkOgzov/view</t>
  </si>
  <si>
    <t>https://drive.google.com/file/d/1Jq87qjyP8CX6GzfZ6UTJqN8h3tUDVJ4L/view</t>
  </si>
  <si>
    <t>https://drive.google.com/file/d/11ckN00HUeGC8mZ4NTbuNo3XBAKRafCzJ/view</t>
  </si>
  <si>
    <t>https://drive.google.com/file/d/1XRwotDLG4Wn7ltT3YhUdshMCpqVktKT8/view</t>
  </si>
  <si>
    <t>https://drive.google.com/file/d/1m0sCGqTc1t6OyfiPeptI64GQWmQuBkv8/view?usp=drive_link</t>
  </si>
  <si>
    <t>https://drive.google.com/file/d/1davhSxDuZNhi5xMvx1qc6yUbp9a-alvk/view?usp=drive_link</t>
  </si>
  <si>
    <t>https://drive.google.com/file/d/1dOSANF0t0AMhLvT5qlmKuF_szpDrFIOV/view</t>
  </si>
  <si>
    <t>https://drive.google.com/file/d/1UQjOfPn-C05A2ksrxMwMtksI2P0xlIz8/view</t>
  </si>
  <si>
    <t>https://drive.google.com/file/d/1OnwdPVGGVlXHeDo0NSoyMOqv2DdSXlPD/view</t>
  </si>
  <si>
    <t>https://drive.google.com/file/d/1Xx52lP-CL3Mjgh7XgJuGe8OZtl_A0Kie/view</t>
  </si>
  <si>
    <t>https://drive.google.com/file/d/1TL9IrzKlPKxuk1hHUSBJEQg3OHu9BPMb/view</t>
  </si>
  <si>
    <t>https://drive.google.com/file/d/1mjk5nvW4b1WflrBJK-EEPQRX1KlRm6e2/view</t>
  </si>
  <si>
    <t>https://drive.google.com/file/d/1aotzsm6c1YRrRltmEBM3La85GahLY-Sa/view</t>
  </si>
  <si>
    <t>https://drive.google.com/file/d/16ZFwzklgzbqlTBk2PblSupsG8QWIVKhr/view</t>
  </si>
  <si>
    <t>https://drive.google.com/file/d/14_e23Fks39g6eB6scWs8oJVkvBf-w1QV/view</t>
  </si>
  <si>
    <t>https://drive.google.com/file/d/1erAewuQjYKuSzO2J7M_BGEAM7u-DEnI2/view</t>
  </si>
  <si>
    <t>https://drive.google.com/file/d/1c3FBPHHZ7t7n-uvjJkQ1bEwKAXm0RkFQ/view</t>
  </si>
  <si>
    <t>https://drive.google.com/file/d/1iggJgkxEIi33_uzKlp_ENRo47YLn90I8/view</t>
  </si>
  <si>
    <t>https://drive.google.com/file/d/1vEe16r7h-ux1rA7AxiyngNZw8Z8sHH4F/view?usp=drive_link</t>
  </si>
  <si>
    <t>https://drive.google.com/file/d/1Id-FrFKnEcbWhvWSxpJ-s5C1Sd5GUsBE/view?usp=drive_link</t>
  </si>
  <si>
    <t>https://drive.google.com/file/d/13aoD-D4xVjW7Mpl0_JTNMreYR8d1A9sn/view?usp=drive_link</t>
  </si>
  <si>
    <t>https://drive.google.com/file/d/1auczJq74YC7zQtmuh6xlGQH7tRkhMdYG/view?usp=drive_link</t>
  </si>
  <si>
    <t>https://drive.google.com/file/d/1hhxNGrt1RWUdQCNORiATApfV6dbwQHYv/view?usp=drive_link</t>
  </si>
  <si>
    <t>https://drive.google.com/file/d/1C5uHqCyjwEZRMq4L3oZrkNQH8lBZAZfP/view?usp=drive_link</t>
  </si>
  <si>
    <t>https://drive.google.com/file/d/11xxU2ddfwE6cm1UuPtNg46qi4NQOhg8k/view?usp=drive_link</t>
  </si>
  <si>
    <t>https://drive.google.com/file/d/1MXyFNwT7lana1d7a1lX-bhotozLGMclA/view?usp=drive_link</t>
  </si>
  <si>
    <t>https://drive.google.com/file/d/1H0oJ6vgdqHw6dKdkzkTd3-KkxRDPqWbg/view?usp=drive_link</t>
  </si>
  <si>
    <t>https://drive.google.com/file/d/1WyM62m91MyOYiYchDit1EWaKO2dnqPzx/view?usp=drive_link</t>
  </si>
  <si>
    <t>https://drive.google.com/file/d/1hp_omkqqkYn1e8mTswZtyA2acgQaNMuO/view?usp=drive_link</t>
  </si>
  <si>
    <t>https://drive.google.com/file/d/1S7XMV5_8waurveisDWugvibu1mQY1cgy/view?usp=drive_link</t>
  </si>
  <si>
    <t>https://drive.google.com/file/d/1txs_xJtZSRV3s1r41GM6nzBz3ZapFemu/view?usp=drive_link</t>
  </si>
  <si>
    <t>https://drive.google.com/file/d/1sHpvQ8oEquSNbOS5urjlkBz79EG_gVnn/view?usp=drive_link</t>
  </si>
  <si>
    <t>https://drive.google.com/file/d/1f-lGcQWt6ANBmjBjmKSpaSIRJHeZxffC/view?usp=drive_link</t>
  </si>
  <si>
    <t>https://drive.google.com/file/d/14L_MyL0E1NhkfD2UE0lu92Vn4JYniGzV/view?usp=drive_link</t>
  </si>
  <si>
    <t>https://drive.google.com/file/d/1ev6SB5Xmz8kTZkmVUzuxOMvRBzuRZDZn/view?usp=drive_link</t>
  </si>
  <si>
    <t>https://drive.google.com/file/d/16qjAofdO5jTUaZwIB_r0x5yIDWAJWjtC/view?usp=drive_link</t>
  </si>
  <si>
    <t>https://drive.google.com/file/d/1dScaMwmgQ5YIvqUOVMiDsOPUqR2RbhFd/view?usp=drive_link</t>
  </si>
  <si>
    <t>https://drive.google.com/file/d/111CWUZAruPmvLjxfjEfGmVJyVABOAn6H/view?usp=drive_link</t>
  </si>
  <si>
    <t>https://drive.google.com/file/d/1V_6F8E7F44jsBtYi6gGMFlkhGRPoCKfO/view?usp=drive_link</t>
  </si>
  <si>
    <t>Al Jimi</t>
  </si>
  <si>
    <t>Administrative  Center</t>
  </si>
  <si>
    <t>5_10_11_27_</t>
  </si>
  <si>
    <t>FALAJ HAZZA'</t>
  </si>
  <si>
    <t xml:space="preserve">	AL OWAINAH</t>
  </si>
  <si>
    <t>25_4_19_7_</t>
  </si>
  <si>
    <t>AL DHAHRAH</t>
  </si>
  <si>
    <t>AL MALALEEH</t>
  </si>
  <si>
    <t>85_1_2_48_</t>
  </si>
  <si>
    <t>East 26_01</t>
  </si>
  <si>
    <t>SE26_01_C22</t>
  </si>
  <si>
    <t>Shakbout City</t>
  </si>
  <si>
    <t>MSH31_P2</t>
  </si>
  <si>
    <t>Al Falah</t>
  </si>
  <si>
    <t>FA5</t>
  </si>
  <si>
    <t>P14</t>
  </si>
  <si>
    <t>FA3</t>
  </si>
  <si>
    <t>C2</t>
  </si>
  <si>
    <t>AL SHAHAMAH NEW</t>
  </si>
  <si>
    <t xml:space="preserve">	AL BAHYAH</t>
  </si>
  <si>
    <t>AL BAHYAH</t>
  </si>
  <si>
    <t>AL BAHYAH NEW</t>
  </si>
  <si>
    <t xml:space="preserve">	C16a</t>
  </si>
  <si>
    <t xml:space="preserve">	AL RAHBAH</t>
  </si>
  <si>
    <t>RAHBAH_C</t>
  </si>
  <si>
    <t>Al Samha</t>
  </si>
  <si>
    <t>RAHBAH_N</t>
  </si>
  <si>
    <t>C1</t>
  </si>
  <si>
    <t xml:space="preserve">Al Ain </t>
  </si>
  <si>
    <t>Hili</t>
  </si>
  <si>
    <t>UGDAT AL HUSOON</t>
  </si>
  <si>
    <t>2-2-21-3</t>
  </si>
  <si>
    <t>AL SAROUJ</t>
  </si>
  <si>
    <t xml:space="preserve">	HAI AL WADI</t>
  </si>
  <si>
    <t>19_6_14_8_</t>
  </si>
  <si>
    <t>AL NOUD</t>
  </si>
  <si>
    <t xml:space="preserve">	WADI AL AIN 3</t>
  </si>
  <si>
    <t>22_3_9_39_</t>
  </si>
  <si>
    <t xml:space="preserve">	AL DHAHIR</t>
  </si>
  <si>
    <t xml:space="preserve">	DHAHER 5</t>
  </si>
  <si>
    <t>81_5_4_22_</t>
  </si>
  <si>
    <t xml:space="preserve">	DHAHER 3</t>
  </si>
  <si>
    <t xml:space="preserve">	AL AAMERAH</t>
  </si>
  <si>
    <t xml:space="preserve">	HAZZA AL BOUSH - WEST</t>
  </si>
  <si>
    <t>65_3_10_4_</t>
  </si>
  <si>
    <t>RIMAH</t>
  </si>
  <si>
    <t xml:space="preserve">	AL KHOWRAH 1</t>
  </si>
  <si>
    <t>71_1_17_65_</t>
  </si>
  <si>
    <t xml:space="preserve">	AL MARFA</t>
  </si>
  <si>
    <t>Al Dhafra Region</t>
  </si>
  <si>
    <t>MR8_P207</t>
  </si>
  <si>
    <t>Stakeholder</t>
  </si>
  <si>
    <t>Al Nahdah</t>
  </si>
  <si>
    <t>Al Wathabh North</t>
  </si>
  <si>
    <t>Al Rahbah</t>
  </si>
  <si>
    <t>Al Rahbah H</t>
  </si>
  <si>
    <t>P4</t>
  </si>
  <si>
    <t>Al Marfa</t>
  </si>
  <si>
    <t>MR1</t>
  </si>
  <si>
    <t>P92</t>
  </si>
  <si>
    <t> 23.83584</t>
  </si>
  <si>
    <t>GHAYATHI</t>
  </si>
  <si>
    <t>P1020</t>
  </si>
  <si>
    <t>Liwa</t>
  </si>
  <si>
    <t>AL LEEF</t>
  </si>
  <si>
    <t>P170</t>
  </si>
  <si>
    <t>ADEK</t>
  </si>
  <si>
    <t>DOH</t>
  </si>
  <si>
    <t>DMT</t>
  </si>
  <si>
    <t>NP-01</t>
  </si>
  <si>
    <t>NP-02</t>
  </si>
  <si>
    <t>NP-03</t>
  </si>
  <si>
    <t>NP-06</t>
  </si>
  <si>
    <t>NP-07</t>
  </si>
  <si>
    <t>NP-08</t>
  </si>
  <si>
    <t>NP-09</t>
  </si>
  <si>
    <t>NP-10</t>
  </si>
  <si>
    <t>NP-11</t>
  </si>
  <si>
    <t>NP-12</t>
  </si>
  <si>
    <t>NP-13</t>
  </si>
  <si>
    <t>NP-14</t>
  </si>
  <si>
    <t>NP-15</t>
  </si>
  <si>
    <t>NP-16</t>
  </si>
  <si>
    <t>NP-17</t>
  </si>
  <si>
    <t>NP-18</t>
  </si>
  <si>
    <t>NP-19</t>
  </si>
  <si>
    <t>NP-20</t>
  </si>
  <si>
    <t>NP-21</t>
  </si>
  <si>
    <t>NP-22</t>
  </si>
  <si>
    <t>NP-23</t>
  </si>
  <si>
    <t>NP-24</t>
  </si>
  <si>
    <t>NP-25</t>
  </si>
  <si>
    <t>NP-26</t>
  </si>
  <si>
    <t xml:space="preserve">• Contractor mobilization activities commenced
</t>
  </si>
  <si>
    <t xml:space="preserve">• Building permit is to be obtained
</t>
  </si>
  <si>
    <t xml:space="preserve">• Contractor commenced mobilization activities
</t>
  </si>
  <si>
    <t xml:space="preserve">• Building permit approval to be obtained
</t>
  </si>
  <si>
    <t>• Contractor commenced mobilization activities</t>
  </si>
  <si>
    <t>• Building permit approval to be obtained</t>
  </si>
  <si>
    <t>• Timely mobilization of key construction staffs and supervision staffs</t>
  </si>
  <si>
    <t>-</t>
  </si>
  <si>
    <t>• Onboarding key resources
• Submission of baseline plan</t>
  </si>
  <si>
    <t>Site Offices Fabrication</t>
  </si>
  <si>
    <t>Site Offices Installation</t>
  </si>
  <si>
    <t>• Timely mobilization of key construction staffs and supervision staffs
• Removal of existing cars in the parking</t>
  </si>
  <si>
    <t>Mobilization</t>
  </si>
  <si>
    <t>https://drive.google.com/file/d/1L2I73RPdpxaKO9zAt2EjFURAX7DFTPZb/view?usp=drive_link</t>
  </si>
  <si>
    <t>https://drive.google.com/file/d/1BVjBBAXT_96iPy3fp-6ru_uP2gFFD9k5/view?usp=drive_link</t>
  </si>
  <si>
    <t>https://drive.google.com/file/d/15hAdSmxMNgF49PWXzt3FyV7tP6RC-DYV/view?usp=drive_link</t>
  </si>
  <si>
    <t>https://drive.google.com/file/d/1jy1jKqvPQlXEx88sgsCJn4_Xn9TzTh0g/view?usp=drive_link</t>
  </si>
  <si>
    <t>https://drive.google.com/file/d/1G0X3ugNeHwTLERFskdq8bubMXXLFcuaw/view?usp=drive_link</t>
  </si>
  <si>
    <t>https://drive.google.com/file/d/1AGpx0fGJvSUChgQhDonCGIknvfhb1EPL/view?usp=drive_link</t>
  </si>
  <si>
    <t>https://drive.google.com/file/d/18JXX9Xdz8u3muQ6ah955dHbx8Mt116y0/view?usp=drive_link</t>
  </si>
  <si>
    <t>https://drive.google.com/file/d/1QTt3cnFrYx2jRA1mwDh2HaskxQ_KA9bI/view?usp=drive_link</t>
  </si>
  <si>
    <t>https://drive.google.com/file/d/1A9cK8swFtcvt3i5pczRoUvEUjnHeKzVL/view?usp=drive_link</t>
  </si>
  <si>
    <t>https://drive.google.com/file/d/1jHGj7XAWagahBHNCKtHr5H5tDQk0bs8B/view?usp=drive_link</t>
  </si>
  <si>
    <t>https://drive.google.com/file/d/1haY8RHl6xd4zLp2freVwagnUjWns8HvA/view?usp=drive_link</t>
  </si>
  <si>
    <t>https://drive.google.com/file/d/1hTpfTQ2NSH26bsU3KzVg6m_V5Q-Tluu1/view?usp=drive_link</t>
  </si>
  <si>
    <t>https://drive.google.com/file/d/1DniouUoUJ3x7ZuVALbXjnO8pXKv0CDN4/view?usp=drive_link</t>
  </si>
  <si>
    <t>https://drive.google.com/file/d/1Erl7NeY9yDz7jaHgoz9oWN5EzWXacAUi/view?usp=drive_link</t>
  </si>
  <si>
    <t>https://drive.google.com/file/d/1c_Dwx1T-XSZFsCAQtJWlrkzPzGdVQlbf/view?usp=drive_link</t>
  </si>
  <si>
    <t>https://drive.google.com/file/d/1L3X2HGJwAc7DPG7ILmixFmOZqHkRaHZL/view?usp=drive_link</t>
  </si>
  <si>
    <t>Supervision Certified Amount</t>
  </si>
  <si>
    <t>• Design Completed
• Tender process commenced</t>
  </si>
  <si>
    <t>• Task order with Aldar to be signed</t>
  </si>
  <si>
    <t>Design Completed</t>
  </si>
  <si>
    <t>Tender Process Completion</t>
  </si>
  <si>
    <t>https://drive.google.com/file/d/1lU4EjoZZIUOHuZTzDR1G531j3Yac1TYp/view?usp=drive_link</t>
  </si>
  <si>
    <t>https://drive.google.com/file/d/1IC8FNC3yghFwIETCJNRQUyEvRizMiEGs/view?usp=drive_link</t>
  </si>
  <si>
    <t>https://drive.google.com/file/d/15rDYnSbQ1MxyeaE4lqym4hP9lG005zY8/view?usp=drive_link</t>
  </si>
  <si>
    <t>https://drive.google.com/file/d/1EZXBLH_WJCOWieaYP8wVUSZc7iwtUfUh/view?usp=drive_link</t>
  </si>
  <si>
    <t>Commencement</t>
  </si>
  <si>
    <t>• Timely award of contract by Aldar</t>
  </si>
  <si>
    <t>• Follow up with Aldar to award the contract.</t>
  </si>
  <si>
    <t>• Award of Contract
• Notice to commence
• Mobilization</t>
  </si>
  <si>
    <t>https://drive.google.com/file/d/1bWjnhn8h7JZ3cQnvkpaYRTXauIEl9hqN/view?usp=drive_link</t>
  </si>
  <si>
    <t>https://drive.google.com/file/d/1qAqvXcdebOv4XD9YIwOc1UDjezQgT9A7/view?usp=drive_link</t>
  </si>
  <si>
    <t>https://drive.google.com/file/d/1fHz1NxkdI260HU_cA-zOMox6gaTachXD/view?usp=drive_link</t>
  </si>
  <si>
    <t>https://drive.google.com/file/d/1fYpQ5poYHYgUA8baZjhriBM5Ln-hQTID/view?usp=drive_link</t>
  </si>
  <si>
    <t>• Project Completed
• Maintenance ongoing</t>
  </si>
  <si>
    <t>Maintenance Ongoing</t>
  </si>
  <si>
    <t>https://drive.google.com/file/d/1QelJzgWu58DSQ-OdyKkGNNTLKOGM973S/view?usp=drive_link</t>
  </si>
  <si>
    <t>https://drive.google.com/file/d/1X6lkb4s2fJhZdoOzi9qO6PCLirHtWBfg/view?usp=drive_link</t>
  </si>
  <si>
    <t>https://drive.google.com/file/d/1nPYXb0bT3AaVcs_PIgKdMHAkz4HUPldb/view?usp=drive_link</t>
  </si>
  <si>
    <t>• Detection systems has manufacturer issues that needs to be fixed.</t>
  </si>
  <si>
    <t>• Blast/Gastight Doors has minor leaks
• Detection systems are very sensitive leading to faulse alarms</t>
  </si>
  <si>
    <t xml:space="preserve">• Carried out pressure testing and identified the doors with leakage and informed contractor to fix it.  
• Meeting conducted with Environics to fix the issues. </t>
  </si>
  <si>
    <t>• CCTV and other ICT related elements to be standardized as instructed by CPC</t>
  </si>
  <si>
    <t xml:space="preserve">Substructure- Earth work </t>
  </si>
  <si>
    <t>• Pile value engineering to be finalized</t>
  </si>
  <si>
    <t>Design Coompletion</t>
  </si>
  <si>
    <t>Construction Completion</t>
  </si>
  <si>
    <t>Design Completion</t>
  </si>
  <si>
    <t>https://drive.google.com/file/d/17qq6Tadw8QG-EBTE_YugsSCYtfMTbldO/view?usp=drive_link</t>
  </si>
  <si>
    <t>https://drive.google.com/file/d/12yh1qsat5zorZubk7_I1WnTJ-HCui9bu/view?usp=drive_link</t>
  </si>
  <si>
    <t>https://drive.google.com/file/d/1pHA_6MlFurP9b4-tt7h0DMzqGV0-Tlzo/view?usp=drive_link</t>
  </si>
  <si>
    <t>https://drive.google.com/file/d/1_yC-HE54yXARQXJOTnV7FW3AhPsBP3Sf/view?usp=drive_link</t>
  </si>
  <si>
    <t>https://drive.google.com/file/d/1_wgBYwiOTkIPVCE6-tw2TMSEmlcsp4t0/view?usp=drive_link</t>
  </si>
  <si>
    <t>https://drive.google.com/file/d/198ZgTwMgLui1F5kC8xfZILjv0PrDjFb9/view?usp=drive_link</t>
  </si>
  <si>
    <t>• Timely award of contract 
• Removal of existing cars in the parking
• Building permits approvals</t>
  </si>
  <si>
    <t>• Completion of tender process
• Award of contract
• Issuing commencement notice
• Building permits &amp; construciton permits</t>
  </si>
  <si>
    <t>• Conducting regular interviews and referring candidates for faster selection.
• Coordination with ITC and Mawaqif to remove the cars promptly</t>
  </si>
  <si>
    <t>Tender</t>
  </si>
  <si>
    <t xml:space="preserve">
1-Excavation till Rfat Foundation Completed .
2-Pile head trimming on progress .
3-Pile Head Treatment ongoing .
4-Integrity test piles ongoing .                                                                                                 5-Leveling and compaction ongoing. 
6. Raft PCC ongoing.
7-Disposal of Excavated Soil ongoing .
8-Gunting works ongoing . 
9- Waterproofing ongoing
9- Dynamic test ongoing.                                                                                           10-TRM test ongoing .</t>
  </si>
  <si>
    <t xml:space="preserve">Substation Relocation. 
Shoring system from Secant to Continuous.
Reduce the number of Piles static load test form 8Piles to 5piles .
Pile Test from Sonic to TRM .
</t>
  </si>
  <si>
    <t xml:space="preserve">1-Notice to Commence ( Contractual Milestone )                                               </t>
  </si>
  <si>
    <t>1-Lifting Works ( Unsafe  Lifting  / Rigging )  Lack of  3rd party Inspection/ Riggers/  and the   damaged rigging  tackles .                                                                                                                     2-Poor Compliance (  Using of Fall Arrest  Equipment  at  heights) 
3-Delivery of Long Lead Items ( Chillers &amp; Generator &amp; Air handling Unit )
4-Delays in response regarding to blast steel doors necessary enquiries/tests /reports /simulations,……..compliance with engineer enquiries as stated via Material submission rev. 04 that that required to be attended to avoid delays in manufacturing processing 
5-Contractor anticipation /repeated failed commitments  found inaccurate/to be enhanced   , and require Contractor action to increase the required  resources to achieve anticipated productivity as committed .</t>
  </si>
  <si>
    <t xml:space="preserve">1-Apply the mandatory   requirement   for  lifting  equipment as the construction  sector - OSHAD 34,.0  Safe lifting and  lifting  accessories.  SF , increase  inspection procedure, Implement the  control  for  contractor and  subcontractor.				
2-Allocate  sufficient   nos of  Fall arrest  Equipment, Training and  Awareness , Induction , Monitoring and  apply the  Risk Assessment -  refer to  OSHAD SF no. 23   W&amp; H . 				
3-Contractor is requested to keep follow up with supplier /specialist to enable received the goods on time , and without affecting the planned delivery schedule 				
4-After several reminders to the Contractor , contractor advised during last progress meeting that the door specialist attended to provide the necessary certificates /tests as well , and will be issued to Engineer formally for review , and further action 				
5-Contractor is requested to secure all the necessary resources that should meet /cover all remaining SOW after study the productivities rate  of each equipment /machines to enable provide the accurate dates of mitigation that should be attended  upon enquired by Engineer /client </t>
  </si>
  <si>
    <t xml:space="preserve">*Completion of Excavate Soil Till Raft Foundation
*Completion of Disposal of Excavated Materials
*Completion of Site Cleaning and Preparation 
*Completion of Pile Head Breaking .
*Completion of Raft  PCC works .
*Completion of Steel Reinforcement for Raft Foundation Fabrication and Delivery .
* Completion TRM &amp; Dynamic test 
*Completion of Pile Integrity Test
*Completion the Screed and Raft R.FT                                                             *Completion of Raft  Steel works . * Start of Starter bar for columns and walls </t>
  </si>
  <si>
    <t>https://drive.google.com/file/d/1HbIMSG327H4IroIIbzG-UoNFRHW9d4tq/view?usp=drive_link</t>
  </si>
  <si>
    <t>https://drive.google.com/file/d/1j2tLIzNNUoZkZ243oPB10Uwaw2b3_A58/view?usp=drive_link</t>
  </si>
  <si>
    <t>2-Substructure- Earth work up to Raft Foundation       (next Monitiring Milestone)</t>
  </si>
  <si>
    <t xml:space="preserve">3-Superstructure-Basment </t>
  </si>
  <si>
    <t>4-Superstructure-Majlis</t>
  </si>
  <si>
    <t xml:space="preserve">5- Majlis - Power </t>
  </si>
  <si>
    <t xml:space="preserve">6- Project Finsh date ( Contractual Milestone )              </t>
  </si>
  <si>
    <t>*Completion of Excavate Soil Till Raft Foundation
*Completion of Disposal of Excavated Materials
*Completion of Site Cleaning and Preparation 
*Completion of Pile Head Breaking .
*Completion of Raft  PCC works .
*Completion of Steel Reinforcement for Raft Foundation Fabrication and Delivery .
* Completion TRM &amp; Dynamic test 
*Completion of Pile Integrity Test
*Start the Screed and Raft R.FT</t>
  </si>
  <si>
    <t xml:space="preserve">1-Lifting Works ( Unsafe  Lifting  / Rigging )  Lack of  3rd party Inspection/ Riggers/  and the   damaged rigging  tackles		
2-Inadequate Handling and  Storage of  Compress  Gases		
3-Delay in work commencement of MBZ project due to delays in response from Contractor end regarding to NOC’s / Utility Relocation.		
4-Delays un issuance of Clear affection plan without conditions on 29thMay 2024.		
5-Delay in issuance of  NOCs for MCC, Strom Water ,and Etisalat		
6-The project will require night shift operations. This adjustment is essential to meet project deadlines		
7-Contractor anticipation to enable work night shift (24 days ) is still not applicable at this site  due to the nature of the required activities that will not be allowed at such sensitive area , and Contractor should increase the resources to enable compensate the above mentioned restriction .		
8-Working adjacent to the sensitive building/area , and anticipated restriction regarding to adjacent sensitive building /area		
9-Subcontractor continuance  breakdown of equipment	</t>
  </si>
  <si>
    <t xml:space="preserve">1-Apply the mandatory   requirement   for  lifting  equipment as the construction  sector - OSHAD 34,.0  Safe lifting and  lifting  accessories.  SF , increase  inspection procedure, Implement the  control  for  contractor and  subcontractor.				
2-Apply the  COSHH  assessment,  Allocate  resources  for  Compress  gases requirements , Implement  the  Risk  Assessment  				
3-Required Noc,s already obtained , and Contractor corrective action is required to allocate additional resources to overcome /compensate the occurred delays 				
4-After Client support Clear affection plsn issued without any restriction 				
5-Storm water  removed from site properties , and other services already relocated /removed 				
6-Due to the natur of the MBZ Area noght shify is not possible , however Contractor can compensate the same by allocating additional resources /equipment 				
7-Contractor notified by the same , and instructed to focus to increase the required resources to expedite the progress 				
8-Contractor currently liasing with Authorities to enable have special permit from ADM /levant Authorities to increase working time as possible 				
9-Contractor conduct several meetings with Piling subcontractor to secure /replace all existing equipment that are in bad condition to be replaced by other equipment that can continue piing work without stoppage that currently continuance breakdown /in bad condition </t>
  </si>
  <si>
    <t xml:space="preserve">Relocation  Services.
-Complete the Main Piles.
-Complete the Guide wall and shoring pile head breaking.
-Start of Capping Beams  and Struts activities </t>
  </si>
  <si>
    <t xml:space="preserve">
1-Excavation till Rfat Foundation Completed .
2-Pile head trimming on progress .
3-Pile Head Treatment ongoing .
4-Integrity test piles ongoing .                                                                                                 5-Leveling and compaction ongoing. 
6. Raft PCC ongoing.
7-Disposal of Excavated Soil ongoing .
8-Gunting works ongoing . 
9- Waterproofing ongoing
9- Dynamic test ongoing.</t>
  </si>
  <si>
    <t xml:space="preserve">Substation Relocation. 
Shoring system from Secant to Continuous.
Piles static load test form 8Piles to 5piles .
Pile Test from Sonic to TRM .
</t>
  </si>
  <si>
    <t xml:space="preserve">*Piles Shoring Completed                                                                                                    *Breaking of Shoring Head piles ongoing.
-Breaking of Guide wall on going .
-Casted of Main Piles on going 
-Dewatering Installation  (8 nos  pipes).
 -Relocation Services ongoing. </t>
  </si>
  <si>
    <t>https://drive.google.com/file/d/1LSdEMIAx0nOnLCMaT-0CJD9nxONTEfbb/view?usp=drive_link</t>
  </si>
  <si>
    <t>https://drive.google.com/file/d/1-uqOeguQnsVTKjN4CUm_DKAjRsf3GvNl/view?usp=drive_link</t>
  </si>
  <si>
    <t>https://drive.google.com/file/d/1DE97kviXT-3hj-mPkqohYwgjer1eZUEt/view?usp=drive_link</t>
  </si>
  <si>
    <t>https://drive.google.com/file/d/1eSxlhhtsJOyik_7Sfm5xJHDz0O_y42HO/view?usp=drive_link</t>
  </si>
  <si>
    <t>https://drive.google.com/file/d/1mdyrvDZwnHDAJR9GoBxTgVEGuoFOKVP7/view?usp=drive_link</t>
  </si>
  <si>
    <t xml:space="preserve">*Piles Shoring Completed                                                                                                    *Breaking of Shoring Head piles ongoing.
-Breaking of Guide wall on going .
-Casted of Main Piles on going 
-Dewatering Installation  ongoing
 -Relocation Services ongoing. </t>
  </si>
  <si>
    <t xml:space="preserve">*Piles Shoring Completed                                                                                                    *Breaking of Shoring Head piles ongoing.
-Breaking of Guide wall on going .
-Casted of Main Piles on going 
-Dewatering Installation  onging
 -Relocation Services ongoing. </t>
  </si>
  <si>
    <t>https://drive.google.com/file/d/1d7EUl2nVrW2pVWhjsLWPCnuUAtvGF_0w/view?usp=drive_link</t>
  </si>
  <si>
    <t>https://drive.google.com/file/d/1Mz-UnKO6rFVDA_Sts8kV4Nb6AFgcY8xZ/view?usp=drive_link</t>
  </si>
  <si>
    <t>https://drive.google.com/file/d/1ISoQA3fZJl3c0SFy1tNoIXbnwnuAAjGb/view?usp=drive_link</t>
  </si>
  <si>
    <t xml:space="preserve">Contractor Site Office Works In Progress.	
Temporary Power, Water, Sanitation For Contractor Site Office In Progress.			
Consultant Site Office Furniture Selected By Engineer &amp; LPO in Process. </t>
  </si>
  <si>
    <t>*IFC drawings will be issued by next week all buildings.
*The contractor has submitted the Project Baseline (BL), Revise &amp;Resubmit</t>
  </si>
  <si>
    <t xml:space="preserve">						
Contractor Site Office Works In Progress.	
Temporary Power, Water, Sanitation For Contractor Site Office In Progress.			
Consultant Site Office Furniture Selected By Engineer &amp; LPO in Process. </t>
  </si>
  <si>
    <t xml:space="preserve">Fencing Installation Completed on 20 Aug 24.
Soil Investagation Testing Lab completed on 27 Aug 24.						
Drinking Water Area for Labors completed on 29 Aug 24. 									
M/s Emirates Steel Rebar Supplier Prequalification approved on 27 Aug 24.						
Prequalification for Anti termite of M/s Terminex Pest Control Services Submitted on 30 Aug 24 
 </t>
  </si>
  <si>
    <t xml:space="preserve">Fencing Installation Completed on 20 Aug 24.
Soil Investagation Testing Lab completed on 27 Aug 24.						
Drinking Water Area for Labors completed on 29 Aug 24. 									
M/s Emirates Steel Rebar Supplier Prequalification approved on 27 Aug 24.						
Prequalification for Anti termite of M/s Terminex Pest Control Services Submitted on 30 Aug 24 </t>
  </si>
  <si>
    <t>Fencing Installation Completed on 20 Aug 24.
Soil Investagation Testing Lab completed on 27 Aug 24.						
Drinking Water Area for Labors completed on 29 Aug 24. 									
M/s Emirates Steel Rebar Supplier Prequalification approved on 27 Aug 24.						
Prequalification for Anti termite of M/s Terminex Pest Control Services Submitted on 30 Aug 24</t>
  </si>
  <si>
    <t xml:space="preserve">Project Commencement
</t>
  </si>
  <si>
    <t>Issuance of IFC drawings to Contractor. Under Process expected early approval.</t>
  </si>
  <si>
    <t>•PQ for  Dewatering, Waterproofing 
•Material Submittal for Cement(SRC &amp; OPC),Polythene Sheet 1000 Guage, Concrete Cover Blocks, Concrete Solid Blocks,Hollow Blocks &amp; Thermal Blocks 
•Shop drawings calculation &amp; submission for shoring works – by Specialist(14 days from receipt of IFC drawings)
•Concrete Mix Design Submittal for SRC(C65) &amp; Substructure(C65)
•Concrete Mix Design Submittal for Gunite</t>
  </si>
  <si>
    <t>Construction Permit &amp; NOC</t>
  </si>
  <si>
    <t>Site Moblization</t>
  </si>
  <si>
    <t>Engineering Works</t>
  </si>
  <si>
    <t>Construction of Shelter</t>
  </si>
  <si>
    <t>Construction of Majlis</t>
  </si>
  <si>
    <t>Construction of Pump Room</t>
  </si>
  <si>
    <t>Construction of Substation</t>
  </si>
  <si>
    <t>Authorities Approvals</t>
  </si>
  <si>
    <t>Shelter Construction</t>
  </si>
  <si>
    <t>Mosque Constuction</t>
  </si>
  <si>
    <t>Majlis Construction</t>
  </si>
  <si>
    <t>Ablution Construction</t>
  </si>
  <si>
    <t>Imam House Construction</t>
  </si>
  <si>
    <t>Pump Room Construction</t>
  </si>
  <si>
    <t>Sub Station Construction</t>
  </si>
  <si>
    <t>https://drive.google.com/file/d/1l032NhkgI8VXW1YdwE6IVXJ95axS_1_N/view?usp=drive_link</t>
  </si>
  <si>
    <t>https://drive.google.com/file/d/1iRpGkfGlUpy_9sZc0sYjyX4pKKrv-yKh/view?usp=drive_link</t>
  </si>
  <si>
    <t>https://drive.google.com/file/d/1XZELMJDN7oiWnhqZnzMAEUGGr7oqakya/view?usp=drive_link</t>
  </si>
  <si>
    <t>https://drive.google.com/file/d/1CGnDxWakVhMcyf3ArpxC0Xg8NB2NJ04m/view?usp=drive_link</t>
  </si>
  <si>
    <t>https://drive.google.com/file/d/1hmXY9RLSychgJTsAJz7iOoJsrTTIp1VT/view?usp=drive_link</t>
  </si>
  <si>
    <t>https://drive.google.com/file/d/1E_lw9TkbspjWKBlfCTRgy2po44C1TCJP/view?usp=drive_link</t>
  </si>
  <si>
    <t>• Shoring guide wall Completed.
• Secant piles Completed.
• AWQAF approved Mosque Design.
• ADDC accepted protection of existing FH/ water pipeline.</t>
  </si>
  <si>
    <t>• Optimized pile design rev.1, released to the Contractor.
• Instruct Contractor for tech. &amp; commercial of PS for shelter special sys. &amp; PS diversion of existing utilities at Plot P1.
• Mosque design assigned to APG.</t>
  </si>
  <si>
    <t>• Shoring guide Completed
• Shoring pilling in progress.
• Site office utilities connection in progress.
• Welfare facilities in progress</t>
  </si>
  <si>
    <t>• Optimized pile design rev.1, released to the Contractor.
• Instruct Contractor for tech. &amp; commercial of PS for shelter special sys.</t>
  </si>
  <si>
    <t>• Permeant piling start, in line with new optimized pile design Note that as per baseline rev 02 the piles for raft will start on 28-Sep-2024
• Appoint specialist for shelter special system due to improper submission, affecting builder works &amp; long lead items.
• Appoint specialist for diversion of existing fire hydrant at Plot P1 (Mosque), to avoid delay in building permit issuance.
• ADM approval for shelter design (if any)</t>
  </si>
  <si>
    <t>• Expedite MAK revised submission.
• Workshop meetings held with MAK &amp; bidders to expedite bidders proposals re-submission.
• sevene review &amp; endorsement.
• ADM review started on 04 Sep.2024 &amp; in process for structural package.</t>
  </si>
  <si>
    <t>• Casting of Capping Beam
• Starting of Raft piles</t>
  </si>
  <si>
    <t>• Permeant piling start, in line with new optimized pile design Note that as per baseline rev 02 the piles for raft will start on 28-Sep-2024
• Appoint specialist for shelter special system due to improper submission, affecting builder works &amp; long lead items.
• ADM approval for shelter design (if any)</t>
  </si>
  <si>
    <t>• Expedite MAK revised submission.
• Workshop meetings held with MAK &amp; bidders to expedite bidders proposals re-submission
• ADM review started on 04 Sep.2024 &amp; in process for structural package.</t>
  </si>
  <si>
    <t>• Casting of Secant Piles
• Casting of Capping beam
• Starting of Raft Piles.</t>
  </si>
  <si>
    <t>https://drive.google.com/file/d/1zxbs_azC4N6-X3OZD0Sz6VP6Xjewm9-8/view</t>
  </si>
  <si>
    <t>https://drive.google.com/file/d/1tQyDFiR7dq4GijMcq4Q92uVh9nI1y4mw/view</t>
  </si>
  <si>
    <t>https://drive.google.com/file/d/1KD8Xfrs6ZPDDeNsgaKv-b1oJyOORtcmH/view</t>
  </si>
  <si>
    <t>https://drive.google.com/file/d/1_9wvDD0xzarupnO-MkGQjPWkgNEleRMr/view</t>
  </si>
  <si>
    <t>https://drive.google.com/file/d/1rhCvHfKmw2WQRnaHsokOte7r7Nl3uIJy/view</t>
  </si>
  <si>
    <t>https://drive.google.com/file/d/1XM56ViSsm-28H781ilJpgfRH-h3HxQCr/view</t>
  </si>
  <si>
    <t>• Building Permit issued on 23/07/2024
• Contractor issued PO to the Sub-Contractor for Fencing and Signboard on 21/07/2024</t>
  </si>
  <si>
    <t>• Engaging with the authorities regarding the adjacent plot 5 cm impact.
   to explore the crossing cables if any.
• Submission  the Advance Payment guarantee, Performance Bond
• Resources availability 
• Safety risk
•Shoring /Piling work Subcontractor appointment 
• Shelter Special systems subcontractor appointment 
• MEP Subcontractor appointment
•Contract documents &amp; IFC submission</t>
  </si>
  <si>
    <t>• Follow up to obtain the required construction NOCs approval.
• Expedite submission of  acontract deliverables 
• Finalize staff deployment and resources 
• Comply with saftey plan 
• Evaluate and appoint the shoring subcontractor
• Evaluate and appoint the shoring subcontractor
• Evaluate and appoint the shoring subcontractor
• Finalize contract documents and issue the IFC drawings.</t>
  </si>
  <si>
    <t>• Mobilizing the team for shoring works</t>
  </si>
  <si>
    <t>https://drive.google.com/file/d/1TkkF924YYfv_46cDxUoc3DW_cdMcch42/view</t>
  </si>
  <si>
    <t>https://drive.google.com/file/d/12FCTiQHROItKTuE1paH0D-F5NmHrtpx8/view</t>
  </si>
  <si>
    <t>https://drive.google.com/file/d/1y-Ocgzn3Ss07_HRVm38HZw507xBX9Q3K/view</t>
  </si>
  <si>
    <t>https://drive.google.com/file/d/1YYboHNgsShFzYyBHMkUoSzib7zJkM_P6/view</t>
  </si>
  <si>
    <t>https://drive.google.com/file/d/1jRWn6nkUc6PyzKFIrav2bztHDn61jQYs/view</t>
  </si>
  <si>
    <t>https://drive.google.com/file/d/1iBr6b26MBv3-qs2HfZPBv-_SZMciRoSv/view</t>
  </si>
  <si>
    <t>https://drive.google.com/file/d/1q4cCVCNG__x2eJpAiRLTqR7FTiIzCqW_/view</t>
  </si>
  <si>
    <t>https://drive.google.com/file/d/1sNkCfgGH2JR4MdY6bX8EU8QPo1fhVgeJ/view</t>
  </si>
  <si>
    <t>https://drive.google.com/file/d/1pVsRJ1dyo2hYWyHHI4kWWKMR6i84lDfX/view?usp=sharing</t>
  </si>
  <si>
    <t xml:space="preserve">• Annex Building - GF Rebar fixing – 26% Completed; Concrete 5% Completed
• School Building - RCC Plinth Wall Concrete pouring 90% Completed; GF Rebar Fixing 42% completed
</t>
  </si>
  <si>
    <t xml:space="preserve">• To minimize impact due to the MEP Agency finalization delay, the contractor proactively engaged an external agency for shop drawing preparation and initiated procurement.
• School Construction is ongoing while awaiting final cost agreement with the employer.
</t>
  </si>
  <si>
    <t xml:space="preserve">• Annex Building - RCC Wall Concrete Upto FF Level  – 100% Completed; 1FF Slab - Staging &amp; Shutter fixing in progress
• School Building - GF - RCC Wall Rebar fixing 99% Completed, FF - Rebar Fixing 70% completed
</t>
  </si>
  <si>
    <t xml:space="preserve">• Annex Building - Superstructure – Ground Floor Rebar work 95% Completed
• School Building - RCC Wall Concrete Upto Plinth 98% completed, GF Rebar work 20% completed
• School Building - GF Wall Rebar Fixing – 18% completed
</t>
  </si>
  <si>
    <t xml:space="preserve">• Annex Building - Backfilling 90% completed; GF RCC wall Rebar &amp; Shutter fabrication ongoing
• School Building - Plinth wall 95% completed; GF RCC Wall Rebar Fixing 20% done
</t>
  </si>
  <si>
    <t xml:space="preserve">• Annex Building - GF - RCC Wall Concrete 85% completed; Wall Concrete 65% Completed
• School Building - RCC Plinth Wall  - 98% Completed, GF Wall Rebar Fixing 20% completed
</t>
  </si>
  <si>
    <t xml:space="preserve">• Annex Building - Superstructure – GF RCC Wall Concrete Cast 90 % Completed
• School Building - Substructure –Plinth Wall Concrete 94% completed
• School Building - GF RCC Wall Rebar Fixing – 35% completed.
</t>
  </si>
  <si>
    <t xml:space="preserve">• Annex Building - GF RCC Wall – Rebar fixing 92% Completed.
• School Building - Superstructure – GF RCC Wall Rebar Fixing – 60% completed; FF Wall Rebar Fixing 12% completed
</t>
  </si>
  <si>
    <t>•Bill No.4 – MEP Final Rate Agreement required – 09-Sep-24 (hindering the mobilization of the MEP agency, impacting engineering &amp; procurement processes)
• Approval for Remaining Cost plus &amp; Re-measurable Items required – 09-Sep-24 (Hampering the Annex &amp; School building progress)
• MEP Long lead items – The delayed mobilization of the MEP agency is hindering the submission and approval of long lead items (Impacted in the critical path)
• Increased scope and work volume (Internal wall + External RCC Wall at School) due to design recommendation are impacting project progress.</t>
  </si>
  <si>
    <t>• Prioritize the Submittal &amp; approval process, faster open communication with stakeholders, and explore interim solutions if necessary.
• Expedite approval requests, provide comprehensive documentation, expedite procurement of critical materials.
• Implement parallel processing, prioritize agency mobilization, and explore alternative suppliers if needed. assess the potential benefits of local procurement.
• Review the scope changes and construction methodology, Develop the plan to accommodate the increased work. communicate changes effectively, and implement robust change management processes.</t>
  </si>
  <si>
    <t xml:space="preserve">• Annex Building - Backfilling Complete &amp; Grade slab works to progress
• Annex Building - GF RCC wall works to progress
• Shelter Block  - Substructure –RCC Wall upto Plinth to progress.
• Shelter Block  - RCC Wall Rebar Fixing to progress at GF &amp; FF Level
• Shelter Block  - Surface Preparation for CRFP works
</t>
  </si>
  <si>
    <t>School Substructure</t>
  </si>
  <si>
    <t>School Superstructure</t>
  </si>
  <si>
    <t>Annex Substructure</t>
  </si>
  <si>
    <t>Annex Superstructure</t>
  </si>
  <si>
    <t xml:space="preserve">• Annex Building - Superstructure works – Wall Rebar, Shutter &amp; Concrete pouring  up to 1st FL level
• Shelter Block  - Substructure – Waterproofing &amp; Backfilling works.
• Shelter Block  - Superstructure -  RCC wall to progress GF &amp; 1FL
• Shelter Block  - Surface Preparation &amp; Application of CFRP
• Shelter Block  - Roof Slab Strengthening works to progress
</t>
  </si>
  <si>
    <t xml:space="preserve">• Annex Building - Substructure – Grade Slab &amp; Beam Works to progress
• Annex Building - Superstructure works – RCC wall up to FF level to progress
• Shelter Block  - Substructure –works to complete
• Shelter Block  - Superstructure – RCC Wall work to progress upto 1FL Level
• Shelter Block  - Surface Preparation for CRFP works to progress
</t>
  </si>
  <si>
    <t>• Annex Building - Substructure works to complete
• Annex Building - Superstructure – RCC Wall works to progress
• Shelter Block  - Substructure – Plinth Wall construction to complete.
• Shelter Block  - GF – Rebar Fixing for Wall to progress
• Shelter Block  - Surface Preparation for CFRP</t>
  </si>
  <si>
    <t>• Annex Building - Substructure – Grade Slab Works
• Annex Building - Superstructure works – RCC Wall works upto 1FL Level
• Shelter Block  - Substructure –Foundation Cast &amp; Existing Structure Strengthening works to progress
• Shelter Block  - RCC Plinth Wall &amp; GF Wall Works to progress
• Shelter Block  - Surface Preparation for CFRP works</t>
  </si>
  <si>
    <t>• Annex Building - Substructure – Grade Slab Works to progress
• Annex Building - Superstructure works – RCC Wall works upto FF Level
• Shelter Block  - Substructure – Foundation Cast &amp; Existing Structure Strengthening works to progress.
• Shelter Block  - Superstructure - GF &amp; FF Wall to progress
• Shelter Block  - Surface Preparation for CFRP</t>
  </si>
  <si>
    <t>• Annex Building - Superstructure works – RCC Wall works upto FF Level
• Shelter Block  - Superstructure - GF – RCC Wall works upto 1FL Level to progress.
• Shelter Block  - Surface Preparation for CFRP Works.</t>
  </si>
  <si>
    <t>https://drive.google.com/file/d/1UDZ3DSBMcsK5rQzLJk4M0--CngCzKop9/view?usp=drive_link</t>
  </si>
  <si>
    <t>https://drive.google.com/file/d/1bYy1Ayup9OPnx4Ey4guSJ9WrktD4_Ot6/view?usp=drive_link</t>
  </si>
  <si>
    <t>https://drive.google.com/file/d/1dMX3W21nvBkM9WPZUIo18OVNIoRxyreY/view?usp=drive_link</t>
  </si>
  <si>
    <t>https://drive.google.com/file/d/1j8yRlDYok5MJSeLQ4eUWBEa5wF2-pNRd/view?usp=drive_link</t>
  </si>
  <si>
    <t>https://drive.google.com/file/d/1Kj7pGsto2d8qxWBBNeFSXHt0ZCv3amEr/view?usp=drive_link</t>
  </si>
  <si>
    <t>https://drive.google.com/file/d/1rOTt3bC6ZLN5P-SA_JVctRcIj9J1mxVr/view?usp=drive_link</t>
  </si>
  <si>
    <t>SC3https://drive.google.com/file/d/1ywKHanqfzSMK2cHlLA75K0HmRTEgQa4h/view?usp=drive_link</t>
  </si>
  <si>
    <t>https://drive.google.com/file/d/12sTUZOMQU8Yb4ZMfjTWU89XE7G6Mx5fV/view?usp=drive_link</t>
  </si>
  <si>
    <t>https://drive.google.com/file/d/1q1S8kM3uWaJrbD9mRZ_cWxaj0alzeKgN/view?usp=drive_link</t>
  </si>
  <si>
    <t>https://drive.google.com/file/d/1a0Y0yLRRfNYWEbl7hjxRwwCR8iQ52iEa/view?usp=drive_link</t>
  </si>
  <si>
    <t>https://drive.google.com/file/d/1fVGTywNnBvbe_-XZ6i9qc-4BCJw5nmT1/view?usp=drive_link</t>
  </si>
  <si>
    <t>https://drive.google.com/file/d/14YXw1eE_uNUTiyyJLFE-3TZXAvUd7kRa/view?usp=drive_link</t>
  </si>
  <si>
    <t>https://drive.google.com/file/d/1xtKK1s6-PHzFzBwpapa8NlHm2NARujAZ/view?usp=drive_link</t>
  </si>
  <si>
    <t>https://drive.google.com/file/d/1SVtLDrCgd-EGMvj8P0ZCjolJ1bcQnWdH/view?usp=drive_link</t>
  </si>
  <si>
    <t>https://drive.google.com/file/d/1SQaSL7hmUFSKHN8i7pVPvx3STLMqAOAw/view?usp=drive_link</t>
  </si>
  <si>
    <t>https://drive.google.com/file/d/1ObN57YJNOg65CaDV-I6Uf3vEwf4ffCFW/view?usp=drive_link</t>
  </si>
  <si>
    <t>https://drive.google.com/file/d/17_08NSWt7_gBt9GqJ59cc4phZ7kJIzsK/view?usp=drive_link</t>
  </si>
  <si>
    <t>https://drive.google.com/file/d/1eUqriZfZ8ZcnMu4n6LORw1pcnpQae1-d/view?usp=drive_link</t>
  </si>
  <si>
    <t>https://drive.google.com/file/d/1oaU6aDLcm-WgPEMXNtdBYkqXGGsSkflq/view?usp=drive_link</t>
  </si>
  <si>
    <t>https://drive.google.com/file/d/1N9brwHmFW_PdvPj4vWj5-JYfwZ_j8qxo/view?usp=drive_link</t>
  </si>
  <si>
    <t>https://drive.google.com/file/d/1hvQKcWIheA72v1UtBckv-ww6mLtFEX5e/view?usp=drive_link</t>
  </si>
  <si>
    <t xml:space="preserve">*Piles Shoring Completed
*Breaking of Shoring Head piles ongoing.
-Breaking of Guide wall on going .
-Casted of Main Piles on going 
-Dewatering Installation  (8 nos  pipes).
 -Relocation Services ongoing. </t>
  </si>
  <si>
    <t xml:space="preserve">Notice to Commence                          </t>
  </si>
  <si>
    <t>Complation Mainpiles                                                       (next Monitiring Milestone)</t>
  </si>
  <si>
    <t xml:space="preserve">Superstructure-Basment </t>
  </si>
  <si>
    <t xml:space="preserve">Majlis - Power </t>
  </si>
  <si>
    <t xml:space="preserve">Project Finsh date ( Contractual Milestone )              </t>
  </si>
  <si>
    <t>Project Finsh date</t>
  </si>
  <si>
    <t>Complation Mainpiles</t>
  </si>
  <si>
    <t>• Building Permits issued on 21/05/2024
• Completion of site fencing
• Approval For Shoring Design 15/07/2024</t>
  </si>
  <si>
    <t>• Commencement Date 15/05/2024</t>
  </si>
  <si>
    <t>Shoring &amp; Piling Completion</t>
  </si>
  <si>
    <t>• Relocation of existing services two (2) ADDC cables with feeder pillar.
• Limited man power resources.
• Appointment of MEP subcontractor.
• Shelter special Equipment and Long Lead Items (Purchasing and Delivery).
• Delay in  submissions of and insurances and guarantees.
• NOCs for fencing permit. (ADDC rejection)</t>
  </si>
  <si>
    <t>•  Complete site mobilization and establishment  of site facilities. Comply with Civil Defence requirements for inspection and approval.
• Finalized the selection of shelter special equipment.(ongoing)
• Procurement of MEP subcontractor.
• Guide Beam and secant Piles for shoring works(ongoing)</t>
  </si>
  <si>
    <t>• Limited man power resources.
• Appointment of MEP subcontractor.
• Shelter special Equipment and Long Lead Items (Purchasing and Delivery).
• Delay in  submissions of and insurances and grantees.
• NOCs for fencing permit.
• Finalize the authorities approval for the Mosque</t>
  </si>
  <si>
    <t>https://drive.google.com/file/d/12AV6fpLdtW38tuWORsnwH2nidk3goR69/view?usp=drive_link</t>
  </si>
  <si>
    <t>https://drive.google.com/file/d/1qYcZEtoOCQloi5Md71V0KOa-RdfimHSV/view?usp=drive_link</t>
  </si>
  <si>
    <t>https://drive.google.com/file/d/1LwFQ1l88f8Fb49UEDNaXpVHXZmj9cenr/view?usp=drive_link</t>
  </si>
  <si>
    <t>•  Building Permits issued on 21/05/2024
•  Approval For Shoring Design 15/07/2024
•  Completion of site fencing  and sign board</t>
  </si>
  <si>
    <t>•  Commencement Date 15/05/2024</t>
  </si>
  <si>
    <t>Shoring Drilling &amp; Casting Completion</t>
  </si>
  <si>
    <t>• Finalize the assignment of approved contractor to re-route the existing services-ongoing.
• Hiring and Deploy the capable site staff .
• Engineering works for long lead items. Expected completion date  31/10/2024-Ongoing
• Expedite the submission of major subcontractor and supplier.
• Review and decision for the special shelter equipment (Under technical review by Engineer)</t>
  </si>
  <si>
    <t>• Complete site mobilization and establishment  of site facilities. Comply with Civil Defence requirements for inspection and approval.
• Finalize the re-route the existing services procurement and commence the execution of re-routing.(PS)
• Finalized the selection of shelter special equipment.
Procurement of MEP subcontractor.</t>
  </si>
  <si>
    <t>https://drive.google.com/file/d/1CeSC9RuPf2MOIArqvtve0RnhtNibXLIh/view?usp=drive_link</t>
  </si>
  <si>
    <t>https://drive.google.com/file/d/1N3TOqypSQXwZ19iXs6aM8FH6uFb4dTeL/view?usp=drive_link</t>
  </si>
  <si>
    <t>https://drive.google.com/file/d/1LOn864j5W04nT1NnABjKgwZUqForXK_4/view?usp=drive_link</t>
  </si>
  <si>
    <t>1)	Site Mobilization: Temporary power, water, sanitation, and parking have been completed. Labour prayer room construction is in progress.
2)	Diesel Tank: Installed, with side wall construction ongoing.
3)	Engineering Submissions: Prequalification, materials, and shop drawings are actively in progress.
4)	Majlis Building: Levelling and grading work is ongoing.</t>
  </si>
  <si>
    <t xml:space="preserve">*IFC drawings were issued on 12th September 2024
*The contractor has to submit baseline planning package in compliance with Engineer comments issued for R00 submission. Expected submission on 13 Sep, 2024. </t>
  </si>
  <si>
    <t>1)	Excavation for Majlis Building: Commenced on 5th September 2024. Shuttering and scaffolding materials have been mobilized at the site.
2)	Baseline Programme : Shamkha Cost Loaded program shall be submitted on 13-Sep-24.
3)	Provision of Welfare Facilities: Ablution areas, drinking water cooler, and smoking zone are completed. Rest area and prayer room are in progress.
4)	Site Offices for Client and Consultant: Foundation work is completed, portacabin fabrication in progress, with delivery expected by 13th September. 
5)	For Shoring and Piling Works: Equipment's Mobilized at site. Shoring Excavation In Progress for Guide Wall.
6) Mosque Construction: Grading Works in Progress.
7)	Engineering Works Submissions: The submissions for prequalification's, material approvals, and shop drawings are actively in progress.</t>
  </si>
  <si>
    <t xml:space="preserve">*IFC drawings were issued on 12th September 2024
*The contractor has to submit baseline planning package in compliance with Engineer comments issued for R00 submissio. 
* Dewatering Engineering Works to be initiated as a proactive approcah to mitigate the risk of GWT. 
* Finalization of Execution Plan for Shoring &amp; Piling Works. AIC Schedule a meeting on Tuesday 17 Sep, 2024, in this regard and requsted contractor to submit program of works for execition of piling &amp; shoring works in due consultation with Specialized subcontractor. </t>
  </si>
  <si>
    <t xml:space="preserve">• Shoring guide is Completed
• Secant piles is Completed
</t>
  </si>
  <si>
    <t xml:space="preserve">•  Building Permits issued on 21/05/2024
•  Approval For Shoring Design 15/07/2024
•  Completion of site fencing  and sign board
•  Project Staff moved in to Site Office on 09/09/2024
•  Relocation of Utilities started on 09/09/2024
•  Relocation of three (3) existing ADDC cables completed on 13/09/2024
</t>
  </si>
  <si>
    <t>• Building Permits issued on 21/05/2024
• Completion of site fencing
• Approval for Shoring Design 15/07/2024
• Guide Beam completed on 06/09/2024</t>
  </si>
  <si>
    <t xml:space="preserve">
• Contractor issued PO to the Sub-Contractor for Fencing and Signboard on 21/07/2024</t>
  </si>
  <si>
    <t xml:space="preserve">• Annex Building - GF Rebar fixing – 35% Completed; Concrete 8% Completed
• School Building - RCC Plinth Wall Concrete pouring 95% Completed; GF Rebar Fixing 51% completed
</t>
  </si>
  <si>
    <t xml:space="preserve">• Annex Building - 1FF Slab - Staging &amp; Shutter fixing 95% Completed 
• School Building - GF - RCC Wall Rebar fixing100% Completed, FF - Rebar Fixing 85% completed
</t>
  </si>
  <si>
    <t xml:space="preserve">• Annex Building - Superstructure – Ground Floor RCC Wall 80% Completed
• School Building - RCC Wall Concrete Upto Plinth 98% completed
• School Building - GF Wall Rebar Fixing – 30% completed
</t>
  </si>
  <si>
    <t xml:space="preserve">• Annex Building - Backfilling 100% completed; Grade Slab work PCC in progress
• GF RCC wall Rebar &amp; Shutter fabrication ongoing
• School Building - Plinth wall 97% completed; GF RCC Wall Rebar Fixing 23% done
</t>
  </si>
  <si>
    <t xml:space="preserve">• Annex Building - GF - RCC Wall Rebar Fixing 90% completed
• School Building - RCC Plinth Wall  - 98% Completed, GF Wall Rebar Fixing 26% completed
</t>
  </si>
  <si>
    <t xml:space="preserve">• Annex Building - Superstructure – GF RCC Wall Concrete Cast 100 % completed
• Annex Building - FF Slab Staging &amp; Formwork fixing 85% completed
• School Building - Substructure –Plinth Wall Concrete 95% completed
• School Building - GF RCC Wall Rebar Fixing – 35% completed.
</t>
  </si>
  <si>
    <t xml:space="preserve">• Annex Building - GF RCC Wall – Rebar fixing 96% Completed.
• Annex Building - GF RCC Wall – Concrete pouring 60% Completed; FF Slab Staging works started
• School Building - Superstructure – GF RCC Wall Rebar Fixing – 70% completed; GF Wall Concrete 30% completed
• School Building - FF RCC Wall Rebar Fixing – 15% completed; 
</t>
  </si>
  <si>
    <t xml:space="preserve">	
1) Issuance of Night Shift Permit 		
2)Possibility of High Water Table		
3)Execution Plan Finalization for Piling &amp; Shoring Works</t>
  </si>
  <si>
    <t xml:space="preserve">
1)	Action required
2)	Proactive Measures shall be adopted
3)	Specialized Contractors will Provide Execution Plan</t>
  </si>
  <si>
    <t>•	Concrete Lab Mobilization
•	Workers Rest Area Shed Fabrication
•	Access Road Construction
•	Shelter Area Shoring Excavation in Progress
•	Client &amp; Consultant Office Porta Cabin Installation</t>
  </si>
  <si>
    <t>•	Shamkha Cost Loaded Program Submission on 13-Sep-24
•	Client &amp; Consultant Office Porta Cabin Installation			
•	Workers Rest Area Shed  Fabrication			
•	Access Road Construction			
•	Excavation for Majlis			
•	Shelter Area Shoring Excavation in Progress</t>
  </si>
  <si>
    <t>• Appoint specialist for shelter special system due to improper submission, affecting builder works &amp; long lead items.
• ADM approval (if any) for Contractor's Pile Design.
• Design update (if any), in compliance with sevene comments</t>
  </si>
  <si>
    <t>• Workshop meetings held with MAK &amp; bidders to expedite bidders proposals re-submission.
• Coordinate with sevene for ADM review schedule.
• Design team submitted to sevene on 12 Sep.2024</t>
  </si>
  <si>
    <t>• Casting of Capping beam
• Starting of Raft Piles.</t>
  </si>
  <si>
    <t>• Appoint specialist for shelter special system due to improper submission, affecting builder works &amp; long lead items.
• Appoint specialist for diversion of existing fire hydrant at Plot P1 (Mosque), to avoid delay in building permit issuance.
• ADM approval (if any) for Contractor's Pile Design.
• Design update (if any), in compliance with sevene comments</t>
  </si>
  <si>
    <t>• Workshop meetings held with MAK &amp; bidders to expedite bidders proposals re-submission.
• sevene review &amp; endorsement.
• Coordinate with sevene for ADM review schedule.
• Design team submitted to sevene on 12 Sep.2024</t>
  </si>
  <si>
    <t>• Relocation of existing ADDC feeder pillar.
• Limited man power resources.
• Appointment of MEP subcontractor.
• Shelter special Equipment and Long Lead Items (Purchasing and Delivery).
• Delay in  submissions of and insurances and guarantees.
• NOCs for fencing permit. (ADDC rejection)
• Change of Piling Layout.</t>
  </si>
  <si>
    <t>• Follow-up NOC from ADDC for shutdown to relocate feeder pillar.
• Finalize the assignment of approved contractor to re-route the existing services-ongoing.
• Hiring and Deploy the capable site staff .
• Engineering works for long lead items. Expected completion date  31/10/2024-Ongoing
• Expedite the submission of major subcontractor and supplier.
• Review and decision for the special shelter equipment (Under technical review by Engineer)</t>
  </si>
  <si>
    <t>• Complete site mobilization and establishment  of site facilities. Comply with Civil Defence requirements for inspection and approval.
• Finalize the re-route the existing services procurement and commence the execution of re-routing.(PS)
• Finalized the selection of shelter special equipment.
Procurement of MEP subcontractor.
• Prepare for the start of Shoring Works (after Issuance of NOC from ADDC).</t>
  </si>
  <si>
    <t>Guide Beam Completion</t>
  </si>
  <si>
    <t>Shoring Capping Beam Completion</t>
  </si>
  <si>
    <t>Stage 1 Excavation Completion</t>
  </si>
  <si>
    <t>• Hiring and Deploy the capable site staff .
• Engineering works for long lead items. Expected completion date  31/10/2024-Ongoing
• Expedite the submission of major subcontractor and supplier.
• Review and decision for the special shelter equipment (Under technical review by Engineer)
• Expedite the submission of revised Piling Layout.</t>
  </si>
  <si>
    <t>•  Complete site mobilization and establishment  of site facilities. Comply with Civil Defence requirements for inspection and approval.
• Finalized the selection of shelter special equipment.(ongoing)
• Procurement of MEP subcontractor.
• Secant Piles for shoring works(ongoing)
• Piling works.</t>
  </si>
  <si>
    <t>• Submission  the Advance Payment guarantee, Performance Bond
• Resources availability 
• Shoring /Piling work Subcontractor appointment 
• MEP Subcontractor appointment
• Safety risk
• Permit , Construction NOC'S</t>
  </si>
  <si>
    <t xml:space="preserve">• Expedite submission of  acontract deliverables 
• Finalize staff deployment and resources 
• Evaluate and appoint the shoring subcontractor 
• Evaluate and appoint the shoring subcontractor
• Comply with safety plan </t>
  </si>
  <si>
    <t>• Mobilizing the team for shoring works
• Starting of Shoring works</t>
  </si>
  <si>
    <t>• Submission  the Advance Payment guarantee, Performance Bond
• Resources availability 
• Shoring /Piling work Subcontractor appointment 
• MEP Subcontractor appointment
• Safety risk
• Permit , Construction NOC'S
• Building Permit</t>
  </si>
  <si>
    <t>• Expedite submission of  acontract deliverables 
• Finalize staff deployment and resources 
• Evaluate and appoint the shoring subcontractor 
• Evaluate and appoint the shoring subcontractor
• Comply with safety plan 
• Following up with authroties</t>
  </si>
  <si>
    <t/>
  </si>
  <si>
    <t xml:space="preserve">• Annex Building - Grade slab works to progress
• Annex Building - GF RCC wall works to progress
• Shelter Block  - Substructure –RCC Wall upto Plinth to progress.
• Shelter Block  - RCC Wall Rebar Fixing to progress at GF &amp; FF Level
• Shelter Block  - Surface Preparation for CRFP works
</t>
  </si>
  <si>
    <t xml:space="preserve">• Annex Building - Superstructure works – FF Slab work &amp; FF Wall Rebar, Shutter &amp; Concrete pouring  up to RF FL level
• Shelter Block  - Substructure – Waterproofing &amp; Backfilling works.
• Shelter Block  - Superstructure -  RCC wall to progress GF &amp; 1FL
• Shelter Block  - Surface Preparation &amp; Application of CFRP
• Shelter Block  - Roof Slab Strengthening works to progress
</t>
  </si>
  <si>
    <t xml:space="preserve">• Annex Building - Substructure – Grade Slab &amp; Beam Works to progress
• Annex Building - Superstructure works – RCC wall up to FF level to progress; FF Slab Works
• Shelter Block  - Substructure –works to complete
• Shelter Block  - Superstructure – RCC Wall work GF &amp; FF Level
• Shelter Block  - Surface Preparation for CRFP works to progress
</t>
  </si>
  <si>
    <t>• Annex Building - Substructure works to complete
• Annex Building - Superstructure – GF RCC Wall works to progress
• Shelter Block  - Substructure – Plinth Wall construction to complete.
• Shelter Block  - GF – Rebar Fixing for Wall to progress
• Shelter Block  - Surface Preparation for CFRP</t>
  </si>
  <si>
    <t>• Annex Building - Substructure – Grade Slab Works to Complete
• Annex Building - Superstructure works – GF RCC Wall works &amp; FF Slab Works
• Shelter Block  - RCC Plinth Wall &amp; GF Wall Works to progress
• Shelter Block  - Roof Slab Strenthening Works to progress
• Shelter Block  - Surface Preparation for CFRP works</t>
  </si>
  <si>
    <t>• Annex Building - Substructure – Grade Slab Works to progress
• Annex Building - Superstructure works – GF RCC Wall works &amp; FF Slab Works
• Shelter Block  - Substructure – Plinth Wall Works to complete; Existing Structure Strengthening works to progress.
• Shelter Block  - Superstructure - GF &amp; FF Wall to progress
• Shelter Block  - Surface Preparation for CFRP</t>
  </si>
  <si>
    <t>• Annex Building - Superstructure works – GF RCC Wall works to complete; FF Slab works to progress
• Shelter Block  - Superstructure -  GF &amp; FF Structure Strentheing &amp; RCC Wall works to progress.
• Shelter Block  - Surface Preparation for CFRP Works.</t>
  </si>
  <si>
    <t>https://drive.google.com/file/d/1XNlB-TCqjbu1MIFEoH3KzWJaFDA0h4Mr/view?usp=drive_link</t>
  </si>
  <si>
    <t>https://drive.google.com/file/d/1N22qwC0vrqCOzXJ46mu1iA931nPdVUdV/view?usp=drive_link</t>
  </si>
  <si>
    <t>https://drive.google.com/file/d/1C77z3tm5EXrMVDwQXL6nGlcUbobUc3K6/view</t>
  </si>
  <si>
    <t>https://drive.google.com/file/d/1Ea4IsWWBHCZ29uRy7Zxp0SvMnOmdjCvn/view</t>
  </si>
  <si>
    <t>https://drive.google.com/file/d/1ns9WVi4LIlCy9kRsqLx6fuozbqpfzmaZ/view?usp=drive_link</t>
  </si>
  <si>
    <t>https://drive.google.com/file/d/1dRnOElIobWmdZEkO8BRVE7TU1yvuxQXW/view?usp=drive_link</t>
  </si>
  <si>
    <t>https://drive.google.com/file/d/1hU_NG6jWFnAFsctWfxIixSLdfdg-2vbM/view</t>
  </si>
  <si>
    <t>https://drive.google.com/file/d/1jjzR1RyL3evEhn3RbMY2vgThzWgq-fJN/view</t>
  </si>
  <si>
    <t>https://drive.google.com/file/d/1P8dv2yDVWK28813AIv4m4F9tgxPrdqDO/view</t>
  </si>
  <si>
    <t>https://drive.google.com/file/d/1dtmjjVifpdyX31hTWKtbOj-VXJHs1FLR/view?usp=drive_link</t>
  </si>
  <si>
    <t>https://drive.google.com/file/d/1rB6fHuIxGh5D4VZSJD6ZhvSpEbCfXrnN/view?usp=drive_link</t>
  </si>
  <si>
    <t>https://drive.google.com/file/d/1EShm-JCEBeUL9t9jvi_3B6OF8gY5AK0w/view?usp=drive_link</t>
  </si>
  <si>
    <t>https://drive.google.com/file/d/17TfQKd0Cd9yG2mhJV3bja_JAtLRy5Hq5/view?usp=drive_link</t>
  </si>
  <si>
    <t>https://drive.google.com/file/d/1lHsS9HToAAkVgzUpu0SvP6Q74MdwpNaD/view?usp=drive_link</t>
  </si>
  <si>
    <t>https://drive.google.com/file/d/1LGG-xHMY2FIvsrUQHdBsimZyc6oVwUHI/view?usp=drive_link</t>
  </si>
  <si>
    <t>https://drive.google.com/file/d/1bSZghuFPNMDy724R2VmzwB1Jr2rl9y3T/view?usp=drive_link</t>
  </si>
  <si>
    <t>https://drive.google.com/file/d/1XDJ17puSEKXRlcpoac80pcUkSirH5iqT/view?usp=drive_link</t>
  </si>
  <si>
    <t>https://drive.google.com/file/d/1AWxAuRE6Vg50Zv6iozolSxiyZ-AwV82_/view?usp=drive_link</t>
  </si>
  <si>
    <t>https://drive.google.com/file/d/1De6vO_A2TlUNz8pj1sCUy_mHHl1A_xUW/view</t>
  </si>
  <si>
    <t>https://drive.google.com/file/d/1gB5Fi3nL6FCTnmd91Ei3_QQJ9QXEVQuG/view</t>
  </si>
  <si>
    <t>https://drive.google.com/file/d/1l1qtJWULZ9Ls8rKQ1VUw4meyuzKWs1jT/view?usp=drive_link</t>
  </si>
  <si>
    <t>https://drive.google.com/file/d/19xTvun6qzsNy4xAj6wKum7MQ98om515z/view?usp=drive_link</t>
  </si>
  <si>
    <t>https://drive.google.com/file/d/1AjudEJfSeA5pObV4i_-2eZywBMH4FjUH/view</t>
  </si>
  <si>
    <t>https://drive.google.com/file/d/10RRCP9PqW1a0aXZkHVOxVr_hGOY01_Ce/view</t>
  </si>
  <si>
    <t>https://drive.google.com/file/d/11gAT3uSf6EhqY1gp7ESxBQx3ZJOIXz2O/view</t>
  </si>
  <si>
    <t>https://drive.google.com/file/d/1JSFImQsE-aSNBi1_XGaeHY1TM31sTpH0/view?usp=drive_link</t>
  </si>
  <si>
    <t>https://drive.google.com/file/d/1qRnd6QBDXGDZrXClC7fkscnVjqbMHsCo/view?usp=drive_link</t>
  </si>
  <si>
    <t>https://drive.google.com/file/d/1wFL1KQ-QVw5hSLZv1AF-r-UdMul7WJMk/view?usp=drive_link</t>
  </si>
  <si>
    <t>https://drive.google.com/file/d/1g0qE64GhrUOttT19f46pAEKIpTihMBf3/view?usp=drive_link</t>
  </si>
  <si>
    <t>https://drive.google.com/file/d/1QSpwAu5G5jYzzAO2U4PsRnfbTsKxHd6s/view?usp=drive_link</t>
  </si>
  <si>
    <t>https://drive.google.com/file/d/1Fr7FnU1zhPXLqSCHSNAy1t-LB8P_O5uZ/view?usp=drive_link</t>
  </si>
  <si>
    <t>https://drive.google.com/file/d/18HTGOY9i7bxWMrMLMgWvctC0TQbGDm_d/view?usp=drive_link</t>
  </si>
  <si>
    <t>https://drive.google.com/file/d/1_yjMQo6gzbHLiIya48Wdfww-Xb1eVGfK/view?usp=drive_link</t>
  </si>
  <si>
    <t>https://drive.google.com/file/d/19aGB7slFQPfIgI387xmUjRUwIeJi_fXB/view?usp=drive_link</t>
  </si>
  <si>
    <t>https://drive.google.com/file/d/1him6ZDHLJLy-eeKVRJfMXKdfGKVGBhI3/view</t>
  </si>
  <si>
    <t>https://drive.google.com/file/d/1xvK7oL2060tGjomnxIMM_vkytJCIFbUM/view</t>
  </si>
  <si>
    <t>https://drive.google.com/file/d/1p6hIUtd-nvQqhm5QfcZ7_NmYe6thw_QN/view?usp=drive_link</t>
  </si>
  <si>
    <t>https://drive.google.com/file/d/1zGDlAkBICsrR-ZMduYzZLDdRYy5sHjtH/view?usp=drive_link</t>
  </si>
  <si>
    <t>https://drive.google.com/file/d/1PBCEYtD7A6r3bmKeU8hWJH7w8BXVVzH1/view</t>
  </si>
  <si>
    <t>https://drive.google.com/file/d/1MQhooDZfb_a8dh1XjYQap8rFcmtl5opU/view</t>
  </si>
  <si>
    <t>https://drive.google.com/file/d/10HQlUfuCM9rvKh755NA9pHKofaluje0o/view</t>
  </si>
  <si>
    <t>https://drive.google.com/file/d/1OXVVqgSOAs7Kf0OYXBLzBzLajLz35A4_/view?usp=drive_link</t>
  </si>
  <si>
    <t>https://drive.google.com/file/d/16iCRVZ9FIxsqJnxI634PDZC4GeoM1QjJ/view?usp=drive_link</t>
  </si>
  <si>
    <t>https://drive.google.com/file/d/1TDk98vxQ3RO5Vex4gTvzQ8srdHf8VMYQ/view?usp=drive_link</t>
  </si>
  <si>
    <t>https://drive.google.com/file/d/1IobvhS63KW7w3xiQvQNpxHjV7ZiZaVbc/view?usp=drive_link</t>
  </si>
  <si>
    <t>https://drive.google.com/file/d/1FFvziYQynsq9IGYLQaJ37iQbYGYyI7tt/view?usp=drive_link</t>
  </si>
  <si>
    <t>https://drive.google.com/file/d/1bB7YXERU6N6l2CgGXhfHlbgLBpqYC7xS/view?usp=drive_link</t>
  </si>
  <si>
    <t>https://drive.google.com/file/d/1nxqhANLSmBJ-olV0_wGYRyXJpm4XiNGD/view?usp=drive_link</t>
  </si>
  <si>
    <t xml:space="preserve">
1-Excavation till Rfat Foundation Completed .
2-Pile head trimming on progress .
3-Pile Head Treatment ongoing .
4-Integrity test piles ongoing .                                                                                                 5-Leveling and compaction ongoing. 
6. Raft PCC ongoing.
7-Disposal of Excavated Soil ongoing .
8-Gunting works ongoing . 
9- Waterproofing ongoing
10- Dynamic test Completed.                                                                                          11-TRM test ongoing .                                                                                       12- Retaning wall startar bar on going                                                              13- Raft Steel Activities on going</t>
  </si>
  <si>
    <t xml:space="preserve">*Piles Shoring Completed                                                                                                                                                                                                                                                                                                                                                  *Breaking of Shoring Head piles ongoing.
*Breaking of Guide wall on going .                                                                                                                                                                                                                                                                                                                             *Excavation for Capping Beams 
*Casted of Main Piles on going 
*Dewatering Installation  ongoing
*Relocation Services ongoing. </t>
  </si>
  <si>
    <t xml:space="preserve">1)	Site Offices for Client and Consultant: Foundation work is completed, portacabin erection is Completed , MEP &amp; other finishing work in progress.					
2)	Baseline Programme : Madinat Al  Riyad Cost Loaded program shall be submitted on 20-Sep-24.					
3)	Shelter: Shoring Excavation and Guide Wall Reinforcement Work in Progress					
4)	Engineering Works Submissions: The submissions for prequalification's, material approvals, and shop drawings are actively in progress.					
5)	Concrete Design Mix: C40 shoring / C50 Piling concrete trail mix completed, while others are still in progress.	</t>
  </si>
  <si>
    <t xml:space="preserve">
*Submission of baseline program revision in comliance with Engineer comments.
*Execution Plan for Shoring &amp; Piling Works. 
*Program of work for piling &amp; shoring works from specialized subcontractor</t>
  </si>
  <si>
    <t>1)	Shelter : Excavation for Shoring work in progress.
2)	Mosque : Backfilling Work in Progress for piling .
3)	Baseline Programme : AlShamkha Cost Loaded program shall be submitted on 20-Sep-24.
4)	Site Offices for Client and Consultant: Foundation work is completed, portacabin erection is Completed , MEP &amp; other finishing work in progress. 
5)	Engineering Works Submissions: The submissions for prequalification's, material approvals, and shop drawings are actively in progress.
6)	Concrete Design Mix : C40 shoring / C50 Piling concrete trail mix completed, while others are still in progress.</t>
  </si>
  <si>
    <t xml:space="preserve">• Annex Building - GF Rebar fixing –48% Completed; Concrete 22% Completed
• School Building - RCC Plinth Wall Concrete pouring 95% Completed; GF Rebar Fixing 62% completed
</t>
  </si>
  <si>
    <t xml:space="preserve">• Annex Building - 1FF Slab - Staging &amp; Shutter fixing100% Completed; Rebar Fixing 79% Completed 
• School Building - GF - RCC Wall Concrete 68% Completed, FF - Rebar Fixing 90% completed
</t>
  </si>
  <si>
    <t xml:space="preserve">• Annex Building - Superstructure – Ground Floor RCC Wall 80% Completed; FF Slab Staging work 20% completed
• School Building - RCC Wall Concrete Upto Plinth 98% completed
• School Building - GF Wall Rebar Fixing – 32%; Concrete Pouring 12% completed
</t>
  </si>
  <si>
    <t xml:space="preserve">• Annex Building -Grade Slab work PCC in progress; GF Wall Rebar fixing - 10% completed
• GF RCC wall Rebar &amp; Shutter fabrication ongoing
• School Building - Plinth wall 97% completed; GF RCC Wall Rebar Fixing 25% done
</t>
  </si>
  <si>
    <t xml:space="preserve">• Annex Building - GF - RCC Wall Rebar Fixing 94% completed; GF RCC Wall Concrete Cast - 55% Completed
• School Building - RCC Plinth Wall  - 98% Completed, GF Wall Rebar Fixing 28% completed
</t>
  </si>
  <si>
    <t xml:space="preserve">• Annex Building - Superstructure – GF RCC Wall Concrete Cast 100 % completed
• Annex Building - FF Slab Staging &amp; Formwork fixing 90% completed; Rebar fixing 79% completed
• School Building - Substructure –Plinth Wall Concrete 95% completed
• School Building - GF RCC Wall Rebar Fixing – 35% completed; Shutter fixing 15% completed
</t>
  </si>
  <si>
    <t xml:space="preserve">• Annex Building - GF RCC Wall – Rebar fixing 98% Completed.
• Annex Building - GF RCC Wall – Concrete pouring 60% Completed; FF Slab Staging works 15% Completed
• School Building - Superstructure – GF RCC Wall Rebar Fixing – 85% completed; GF Wall Concrete 42% completed
• School Building - FF RCC Wall Rebar Fixing – 24% completed; 
</t>
  </si>
  <si>
    <t>•  Building Permits issued on 21/05/2024
•  Approval For Shoring Design 15/07/2024
•  Completion of site fencing  and sign board
•  Project Staff moved in to Site Office on 09/09/2024
•  Relocation of Utilities started on 09/09/2024
•  Relocation of three (3) existing ADDC cables completed on 13/09/2024
•  Guide Beam started on 19/09/2024</t>
  </si>
  <si>
    <t>Submission of IFC and Contract drawings to the contractor</t>
  </si>
  <si>
    <r>
      <rPr>
        <sz val="11"/>
        <color theme="1"/>
        <rFont val="Calibri"/>
        <family val="2"/>
        <scheme val="minor"/>
      </rPr>
      <t>Risks</t>
    </r>
    <r>
      <rPr>
        <sz val="10"/>
        <color theme="1"/>
        <rFont val="Calibri"/>
        <family val="2"/>
        <scheme val="minor"/>
      </rPr>
      <t xml:space="preserve">1-Lifting Works ( Unsafe  Lifting  / Rigging )  Lack of  3rd party Inspection/ Riggers/  and the   damaged rigging  tackles,2-Poor Compliance (  Using of Fall Arrest  Equipment  at  heights) , Scaffold  Erection and  Dismantling works ,3-Delivery of Long Lead Items ( Chillers &amp; Generator &amp; Air handling Unit ),4-Delays in response regarding to blast steel doors necessary enquiries/tests /reports /simulations,……..compliance with engineer enquiries as stated via Material submission rev. 04 that that required to be attended to avoid delays in manufacturing processing ,5-Contractor anticipation /repeated failed commitments  found inaccurate/to be enhanced   , and require Contractor action to increase the required  resources to achieve anticipated productivity as committed .,6-Potential delay in the delivery of the PVKK valves (due to the geopolitical scene) may reflect /impact the schedule of raft casting.,7-Potential need for increasing the height of the intake shaft (potentially beyond the acceptable limit) in order to allow for the safe handling/lifting od MEP equipment by the telescopic crane Invalid statement , since the Creane that will be provided should comply 100% for the Contract specs &amp;drgs without any modification to the structur of Shaft 
 ,8-Potential delay in casting the raft due to multiple design changes of wall stemming from raft level as invalid stement  ,9-Compromising the overall quality to meet the project time lin,  like guniting without anti-termite and PCC without compaction/anti-termite. ,10-Incompitent dewatering plans at lower raft area risks the pile rebars to be exposed 
to salt water which could potentially cause corrosion of rebar and cracks on pile., 11-excess concrete without any compaction might potentially cause work that incomliance with project specs ,12-Loading of heavy machinaries on concrete before 24hrs could lead to potential structural craks,13-Non-availability of QA/QC inspector at night leads to the contractor to proceed with any works without maintaining the quality of the same.,14-AIC raised the concerns of ADDC thzta might will not be able to provide permenant Power  supply to the project ,15-Client instruction to providethe required AV system    (such as av sytem )  from nominated supplier that should be approved by client that might create time  impact negatively against  the completion of the required provisional to Shelter &amp;Majles and Consutant reqyested to maintain standby equipment to avoid work stoppage ,16-Delay for the engineering submission especially for MBZ site, such as (shop drawings, method statement) , which reflecting on the coordination shop drawings approval.
17-Light fixture submittal not yet submitted for approval.,18-Regarding to Deliverd of all Chillers in Al Shahama &amp; MBZ The Risk Expected to insert the Chillers inside Basement one backage for each chiller
,19-Regarding to Deliverd of all Generators Sets in Al Shahama &amp; MBZ The Risk Expected to insert the Chillers inside Basement one backage for each chiller
,20-Deviation/obvious delays  in time of supply the special equipment by Contractor that will lead to disturbance of work execution time line as well as installation , Testing &amp;commissioning </t>
    </r>
  </si>
  <si>
    <t>Mitigation1-Apply the mandatory   requirement   for  Lfting  equipment as the contruction  sector - OSHAD 34,.0  Safe lifting and  lfiting  accessories.  SF , increase  inspection procedure, Implement the  control  for  contractor and  subcontractor.,2-Allocate  sufficient   nos of  Fall arrest  Equipmet, Training and  Awareness,Induction,Moniitoring and  apply the  Risk Assesment -  refer to  OSHAD SF no. 23   W&amp; H .
Scaffold   to  undergo  with   3rd party  Inspection,.
Comply the    requirements as per the  engineered  design  scaffold.  ,3-Contractor is requested to keep follow up with supplier /specialist to enable received the goods on time , and without affecting the planned delevery schedule ,4-After sevral reminderes to the Contarctor , subcontarector advised during last progress meeting that the door specialist attended to provde the neccesary certificates /tests as well , and will be issued to Engineer formally for review , and further acrtion ,5-Contractor is requested to secure all the necessary resources that should meet /cover all remaining SOW after study the productivities rate  of each equipment /machines to enable provide the accurate dates of mitigation that should be attended  upon enquired by Engineer /client,6-Consultant advised  to place the PVKK valves 360 mm above the raft's  level and produce at least 500 mm concrete upstand, however the same should be subject to coordination with specialist to avoid any miscoordination .construction errors that will not be able to rectify,7.1- Possibility of using  in-situ dismantle/reassemble approach with all MEP equipment.
7.22- Possibility of doing without telescopic cranes altogether and provide middle slot in the intake shaft's cover slab to allow for the lifting of MEP equipment.,8-Contractor to finalize/freeze the upper raft layout in the 
light of coordination drawings. ,9-Contractor to implement quality toolbox at the beginning of each activity and at regular intervals to enlighten the importance of quality and sequence of activity.- Contractor should treat the invalid work localy to avoid any negative time implication against the overall project complation date ,10-Contractor to propose more efficient way of dewatering with more efficient equipments for operation to avoid availability of water table contact to steel rebair ,11-Contractor should have back-up plans for excess concrete in the mixeres  (if any)  everyday rather than creating abortive works.,12-Contractor should wait until the required time period for the concrete to achieve the required strength before loading. Area to be closed with precaution tapes to warn others the same. ,13-Contractor to assign ASAP a quality personal at night shift,14-Contractor is requested to liase with ADDC to varify the validy of ADDC wether they can provide th pemennat Power uspply to the project peioe requesting the Client supplort ,15-Contractor should abide to Client instruction ,16-Engineer coordinated with the contractor to Identify and prioritize the most critical SD, MS and  method statements that are causing the most significant delays.
17-Engineer Hold daily workshop and bi-weekly progress meetings with the contractor team to monitor the status of submissions and address any bottlenecks immediately.,18&amp;19-The Main contractor Shall be Submit Method Statement for installation Explain the plane to moving and reaching all Chillers &amp; Generators to Correct location over Foundation with protection without any Risk.,,20- Contarctor requested to coordinate with specialist to provide valid /actual date of material delvery to verify the impact of late delevery (if any ) to submit undertaking letter to confirm  the delivery schedule  of the special equipment and on site .</t>
  </si>
  <si>
    <t xml:space="preserve">*Completion of Excavate Soil Till Raft Foundation
*Completion of Disposal of Excavated Materials
*Completion of Site Cleaning and Preparation 
*Completion of Pile Head Breaking .
*Completion of Raft  PCC works .
*Completion of Steel Reinforcement for Raft Foundation Fabrication and Delivery .
* Completion TRM &amp; Dynamic test 
*Completion of Pile Integrity Test
*Completion the Screed and Raft R.FT                                                             *Completion of Raft  Steel works .                                                             * Start of Starter bar for columns and walls </t>
  </si>
  <si>
    <t xml:space="preserve">1-Lifting Works ( Unsafe  Lifting  / Rigging )  Lack of  3rd party Inspection/ Riggers/  and the   damaged rigging  tackles,2-Inadequate Handling and  Storage of  Compress  Gases,Risk- Const.                                                                                                                                                                                                                                                                                                                                                                               
	,3-Delay in work commencement of MBZ project due to delays in response from Contractor end regarding to NOC’s / Utility Relocation, in addition to delays in issuance of Updated affection plan .,,5-Delay in issuance of  NOCs for MCC, Strom Water ,and Etisalat,6-The project will require night shift operations. This time compansation is essential to meet project deadlines,7-Contractor continuation of given invalid anticipation foe the conpletion of piling work  to enable work night shift (24 days ) is still not applicable at this site  due to the nature of the required activities that will not be allowed at such sensitive area , and Contractor should increase the resources to enable compensate the above mentioned restriction .,9-Piling work Subcontractor continuance  equipment  breakdown due to utilization of bad condition equipment ,10-Potential need for increasing the height of the intake shaft (potentially beyond the acceptable limit)  in order to allow for the safe handling/liftg  MEP equipment by the telescopic crane Not applicable so far since the contractor willing to supply TELESCOPIC CRAIN inaccrodance withg project specs ,11-Dewatering system not operated with full effiviency that will impact further work execution (capping beem &amp; Excavation).,12-Potential high level of ingress of ground water flow during execution of work/ excavation,13-Compromising the overall quality to meet the project time lin,  like guniting without anti-termite and PCC without compaction/anti-termite.,14-Improper backfilling near dead shutter of the lower raft with excess concrete without any compaction might potentially cause settlements  ,15-Non-availability of  Contractor QA/QC  at night can leads to proceed with any non-compliance works .,15-Non-availability of  Contractor QA/QC  at night can leads to proceed with any non-compliance works .,16-Non-availability of  Contractor QA/QC  at night can leads to proceed with any non-compliance works .,17-AIC raised the concerns of ADDC might will not be able to provide permenant Power  supply to the project ,18-Client instruction to providethe required AV system    (such as av sytem )  from nominated supplier that should be approved by client that might create time  impact negatively against  the completion of the required provisional to Shelter &amp;Majles and Consutant reqyested to maintain standby equipment to avoid work stoppage ,19-Delays in long lead items finalization of material procurment (such as light fixtures ,…,20-Chillers material delevery to  Al Shahama &amp; MBZ The Risk Expected to place  the goods  at  Basement 
,21-Generators procurment &amp; placing the goods in basement  &amp; coordination with Crane specialist to avoid improper placement of the goods , as well as will affect negatively the methodoligy of O&amp;M  regarding to repair /replace the deffected partds (when required . 
,22-Deviation/obvious delays  in time of supply the special equipment by Contractor that will lead to disturbance of work execution time line as well as installation , Testing &amp;commissioning </t>
  </si>
  <si>
    <t>1-Apply the mandatory   requirement   for  Lfting  equipment as the contruction  sector - OSHAD 34,.0  Safe lifting and  lfiting  accessories.  SF , increase  inspection procedure, Implement the  control  for  contractor and  subcontractor.,2-Apply the  COSHH  assesment,  Allocate  resources  for  Compress  gases requirements , Implement  the  Risk  Assesment  ,,3-Required Noc,s already obtained , and Contractor corrective action is required to allocat additiona l resources to overcome /compansate the occurred delays ,,5-Storm water  removed from site plan patameter properties , and other services already relocated /removed ,6-Due to the natur of the MBZ Area noght shify is not possible , hoever Contractor can compansate the same by allocating additiona lresources /equipment ,7-Contyractor notified by the same , and instructed to focaus to provide valid timeline based on  the required resources  to expedite the progress , and meet project target plan ,9-Contractor conduct several meetings with Piling subcontractor to secure /replace all existing equipment that are in bad condirion to be replaced by other equipment that can continue piing work without stoppage that cirrently continuance breakdown /in bad condition ,10.1- Possibility of using  in-situ dismantle/reassemble approach with all MEP equipment.
10.22- Possibility of doing without telescopic cranes altogether and provide middle slot in the intake shaft's cover slab to allow for the lifting of MEP equipment.,11-The engineer shall instruct the contractor to explore
the possibility of starting capping beams construction without the need for activating internal dewatering system by exploring the use of external well point dewatering system for dewatering at such shallow level. ,12-Engineer instructed the contractor to provide a valid  working plan to adress such possibility including submission of repair and injection materials and method statements, to be ready for utilization (when required) ,13-Contractor to implement quality improvement  toolbox at the beginning of each activity and at regular intervals to enlighten the importance of quality and sequence of activity.,14-Contractor should have back-up plans for utilizing excess concrete (whenever required ) rather than creating abortive works by casting conce. At un resdy area (nor compacted /not spreayed by anti termite ,15 &amp;16-Contractor to assign a quality personal at night shift,15 &amp;16-Contractor to assign a quality personal at night shift,,17-Contractor is requested to liase with ADDC to varify the validy of ADDC wether they can provide th pemennat Power uspply to the project peioe requesting the Client supplort ,18-Contractor should abide to Client instruction ,19-Contrator is requested to update the procurment control log to anble identify the missing items that still not considered /not planned for matrial submission m and approval prior procurment ., 20&amp;21-Main contractor is requested to Submit Method Statement of installation to verify the circulation plane of movement, to ensure O&amp;M proper accessibility to all equipment .,, 22-Contarctor requested to coordinate with specialist to provide valid /actual date of material delvery to verify the impact of late delevery (if any ) to submit undertaking letter to confirm  the delivery schedule  of the special equipment and on site .</t>
  </si>
  <si>
    <t>2- Complation Mainpiles                                                       (next Monitiring Milestone)</t>
  </si>
  <si>
    <t>2-Superstructure-Majlis</t>
  </si>
  <si>
    <t xml:space="preserve">3- Majlis - Power </t>
  </si>
  <si>
    <t xml:space="preserve">4- Project Finsh date ( Contractual Milestone )              </t>
  </si>
  <si>
    <t xml:space="preserve">	
1) Issuance of Night Shift Permit 		
2)Execution Plan Finalization for Piling &amp; Shoring Works</t>
  </si>
  <si>
    <t xml:space="preserve">
1)	Action required
2)	Specialized Contractors will Provide Execution Plan</t>
  </si>
  <si>
    <t>•	RiyadCost Loaded Program Submission on 20-Sep-24
•	Client &amp; Consultant Office Porta Cabin Installation
•	Material Submission for Cement,Bitumen Paint &amp; Concrete Repair
•	Access Road Construction
•	Shelter Area Shoring Excavation</t>
  </si>
  <si>
    <t>•	Shamkha Cost Loaded Program Draft Submission on 13-Sep-24. Engineer review comments for the draft have been provided to contractor meantime. 
•	Client &amp; Consultant Office Porta Cabin Installation			
•	Workers Rest Area Shed  Fabrication			
•	Access Road Construction			
•	Excavation for Majlis			
•	Shelter Area Shoring Excavation in Progress</t>
  </si>
  <si>
    <t>•Bill No.4 – MEP Final Rate Agreement required – 20-Sep-24 (hindering the mobilization of the MEP agency, impacting engineering &amp; procurement processes)
• Approval for Remaining Cost plus &amp; Re-measurable Items required – 20-Sep-24 (Hampering the Annex &amp; School building progress)
• MEP Long lead items – The delayed mobilization of the MEP agency is hindering the submission and approval of long lead items (Impacted in the critical path)
• Increased scope and work volume (Internal wall + External RCC Wall at School) due to design recommendation are impacting project progress.</t>
  </si>
  <si>
    <t>• Resubmitted on 18 Sep.2024 &amp; UR.
• Coordinate with sevene for ADM review schedule.
• Design team re-submitted to sevene on    20-sep-2024</t>
  </si>
  <si>
    <t>• Complete site mobilization and establishment  of site facilities. Comply with Civil Defence requirements for inspection and approval.
• Finalize the re-route the existing services procurement and commence the execution of re-routing.(PS)
• Finalized the selection of shelter special equipment.
Procurement of MEP subcontractor.
• Prepare for the start of Shoring Works (after Issuance of NOC from ADDC).
• Guide Beam and Shoring works.</t>
  </si>
  <si>
    <t>•  Complete site mobilization and establishment  of site facilities. Comply with Civil Defence requirements for inspection and approval.
• Finalized the selection of shelter special equipment.(ongoing)
• Procurement of MEP subcontractor.
• Secant Piles for shoring works(ongoing)
• Shoring Capping Beam.
• Stage 1 Excavation up to 3m.
• Piling works.</t>
  </si>
  <si>
    <t>• Submission  the Advance Payment guarantee, Performance Bond
• Resources availability 
• Shoring /Piling work Subcontractor appointment 
• MEP Subcontractor appointment
• Safety risk
• Permit , Construction NOC'S
• IFC anf contract drawings submission</t>
  </si>
  <si>
    <t>https://drive.google.com/file/d/1Zy0KiYSeP-PDs5KIIeeW5fsWj9p4nkja/view?usp=drive_link</t>
  </si>
  <si>
    <t>https://drive.google.com/file/d/1YilrYlrEBR5j4gXQtSjyi1aNfDAiAnEu/view?usp=drive_link</t>
  </si>
  <si>
    <t>https://drive.google.com/file/d/1ivqBk1OAmLirXhfrxLBzeUL_jJxegxDI/view?usp=drive_link</t>
  </si>
  <si>
    <t>https://drive.google.com/file/d/1fUENaPvI5EGQBpB2AP1I0ESrESO08iWA/view?usp=drive_link</t>
  </si>
  <si>
    <t>https://drive.google.com/file/d/1nd2LuxXC_tnKKOUoZp-2rCmz6m31uExe/view?usp=drive_link</t>
  </si>
  <si>
    <t>https://drive.google.com/file/d/1W-gf0VbzbihbaBDbivu-eAIuFgmf1g2H/view?usp=drive_link</t>
  </si>
  <si>
    <t>https://drive.google.com/file/d/1_Jil7Wkfj5WOP-6FE-VdY7qc0mLZ5DUM/view?usp=drive_link</t>
  </si>
  <si>
    <t>https://drive.google.com/file/d/1XjKaIIKxhd8oZqb19P6albr-80-RL-hK/view?usp=drive_link</t>
  </si>
  <si>
    <t>https://drive.google.com/file/d/1b2eV06jwkZD183bC3zSDazL4_RSDXHSq/view?usp=drive_link</t>
  </si>
  <si>
    <t>https://drive.google.com/file/d/13q2lrMXyrD-jFwOUSAmyXAyHguPjfyop/view?usp=drive_link</t>
  </si>
  <si>
    <t>https://drive.google.com/file/d/1xxrE3LPgzlDH2hVcRgO9_8Tj9dwrwVwk/view?usp=drive_link</t>
  </si>
  <si>
    <t>https://drive.google.com/file/d/1ruM5f-JPXrFoNb6xNaz40ic4CGr2kGvK/view</t>
  </si>
  <si>
    <t>https://drive.google.com/file/d/1N6JLvInqt6UGVAo8jpPfLxV1anlM3LhC/view</t>
  </si>
  <si>
    <t>https://drive.google.com/file/d/1plIl4OwrTQiOuqIP5TrPp953bH0vUYQ-/view?usp=drive_link</t>
  </si>
  <si>
    <t>https://drive.google.com/file/d/1nvLtx1HJOnLb38HmGIORDb_hqRjZMsuK/view?usp=drive_link</t>
  </si>
  <si>
    <t>https://drive.google.com/file/d/1uEFxmPjjwD8Nqb0QvhaTsvG7Fe2EVwdA/view?usp=drive_link</t>
  </si>
  <si>
    <t>https://drive.google.com/file/d/1nRiloij6wjknh-vdXufPMtF9ywgwSqpI/view?usp=drive_link</t>
  </si>
  <si>
    <t>https://drive.google.com/file/d/1ErzZnaGRbRgYHrCEwMv-7ly4fAk80jPD/view?usp=drive_link</t>
  </si>
  <si>
    <t>https://drive.google.com/file/d/1YiebLoAQwQ3DDXk7k09Eme9jE5xzfvGC/view?usp=drive_link</t>
  </si>
  <si>
    <t>https://drive.google.com/file/d/18gvd1UBIqDir1Ui4hKFDzLdKhiyxJeTK/view?usp=drive_link</t>
  </si>
  <si>
    <t>https://drive.google.com/file/d/1hqFUNz-YrJL1D-KF62ciGzKLn0jl5v4Y/view?usp=drive_link</t>
  </si>
  <si>
    <t>https://drive.google.com/file/d/1U_VfOs-qUWoEMVHPtt9sq2AZH--X8AwT/view?usp=drive_link</t>
  </si>
  <si>
    <t>https://drive.google.com/file/d/1eggsoLAPcrdATW-qSGgu_m3YksjLLiJO/view?usp=drive_link</t>
  </si>
  <si>
    <t>https://drive.google.com/file/d/1PNmp5EMW5WyKjKqULNrxDdbiU7_eGUj0/view?usp=drive_link</t>
  </si>
  <si>
    <t>https://drive.google.com/file/d/1oGYK0VIxvZWojb4mGJZZsBVC1SfDMY6y/view?usp=drive_link</t>
  </si>
  <si>
    <t>https://drive.google.com/file/d/1oxqPS_1tBA-gVsLfO5IQXOGLDroKN7-w/view?usp=drive_link</t>
  </si>
  <si>
    <t>https://drive.google.com/file/d/1Q6MU9kG1fczWg0z99j87JV0I8dZyJDIP/view</t>
  </si>
  <si>
    <t>https://drive.google.com/file/d/1qZSXHwjD6UiZLiCnVCCPpTfeEZz74aAs/view</t>
  </si>
  <si>
    <t>https://drive.google.com/file/d/1-9vqHAxMY7EOdGCf_1JiVVh1sMtEsHwD/view?usp=drive_link</t>
  </si>
  <si>
    <t>https://drive.google.com/file/d/1FRRXo6J4o4AZtg9BHSw3llGraq7T31kv/view?usp=drive_link</t>
  </si>
  <si>
    <t>https://drive.google.com/file/d/18smY9gvWxQDfgihbZYRWZ76-V_fFiVyk/view?usp=drive_link</t>
  </si>
  <si>
    <t>https://drive.google.com/file/d/1DZ00kl6N0YvT2ZAXdhcx9VQ5hnPKYmSP/view?usp=drive_link</t>
  </si>
  <si>
    <t>https://drive.google.com/file/d/12tCRalajPMVE-onCQiXS7R_4zEPBFs_C/view?usp=drive_link</t>
  </si>
  <si>
    <t>https://drive.google.com/file/d/1Si-fSzjLqtub6Ffxa9vP4q5-r_GljdPA/view?usp=drive_link</t>
  </si>
  <si>
    <t>https://drive.google.com/file/d/1oKDXnxtrdsnKiXx-rE-IOxBOcPslLQ0_/view?usp=drive_link</t>
  </si>
  <si>
    <t>https://drive.google.com/file/d/1EFP77JsHwvOLRKb7NL4f0-WTRLI4zmhV/view?usp=drive_link</t>
  </si>
  <si>
    <t>https://drive.google.com/file/d/1VU2oD951xXfxe0_lC75k2-XwxUlhDyj9/view?usp=drive_link</t>
  </si>
  <si>
    <t>https://drive.google.com/file/d/1-kULF92O7kA2Vy-9i1BZzi1_0bIC323S/view?usp=drive_link</t>
  </si>
  <si>
    <t>https://drive.google.com/file/d/1862llNXCy3_gI0LM41mc5JpDXdHEOV2P/view?usp=drive_link</t>
  </si>
  <si>
    <t>https://drive.google.com/file/d/1QZ18QaTmJF4nT-dAtMgJlTUA-K3sOYAQ/view?usp=drive_link</t>
  </si>
  <si>
    <t>https://drive.google.com/file/d/1m_ZcOGPlgePKQ5iHcOHOG_LcxNkDkiJ-/view?usp=drive_link</t>
  </si>
  <si>
    <t>https://drive.google.com/file/d/1La3JnRLTGosBhQtrjluRdPiS-rya-Lxf/view</t>
  </si>
  <si>
    <t>https://drive.google.com/file/d/197Upk1lRbxo1iH4nl3_asxDxnnQz-xvq/view</t>
  </si>
  <si>
    <t>https://drive.google.com/file/d/1BakHXePkW3JZxwSnUkqqZxtPshE0ewsY/view?usp=drive_link</t>
  </si>
  <si>
    <t>https://drive.google.com/file/d/1AoH0Y4ciTRcsU5X6S4aZ3HZiPs325E2e/view?usp=drive_link</t>
  </si>
  <si>
    <t>1. Building Permit Issued
2. Fence Installation for all Plots completed
3. Site Cabins installation In Progress (Utilities Works In Progress)</t>
  </si>
  <si>
    <t>1. Access to Site (Evacuation)
2. Stamped Complete IFC Packages (Specification &amp; BOQ Pending)
3. ITC Assets to remove
4. Stamped BOQ to issue</t>
  </si>
  <si>
    <t>Project Start Date</t>
  </si>
  <si>
    <t>1.Timely Order &amp; Delivery of MEP Equipmenst
2.Commencement &amp; Completion of utility building including servise rooms and exterior envolop
3. Assumed the column should be clash free as per the issued IFC Drawings
4.building Permit condition to remove and revised bP to issued</t>
  </si>
  <si>
    <t>All Early Works Packages including MEP to be on board to avoid any delay in construction and coordination's</t>
  </si>
  <si>
    <t>1. Structural Drawing Submission
2. Architecture GA Submission
3. Conduct the survey for the clashes with existing structural elements
3.Commencement of Core cutting in all plots and Steel structure testing 
4. Basement – 3 - Setting Out activities</t>
  </si>
  <si>
    <t>Demolition Works</t>
  </si>
  <si>
    <t>Civil &amp; Structural Works</t>
  </si>
  <si>
    <t>MEP Works</t>
  </si>
  <si>
    <t>Internal Finishes</t>
  </si>
  <si>
    <t>External Façade</t>
  </si>
  <si>
    <t>Infrastructure &amp; Landscape</t>
  </si>
  <si>
    <t>Project Completion</t>
  </si>
  <si>
    <t>1. Demolition of Steel Structure after Access to site
2.Architecture GA Approval (TGC Submission Under Review)
3. Conduct the survey for the clashes with existing structural elements
3.Commencement of Core cutting in all plots and Steel structure testing 
4. Basement – 3 - Setting Out activities</t>
  </si>
  <si>
    <t>1. E11-P22 - Structural Drawing Submission
2. E11-P22 – Architecture GA Submission
3. Conduct the survey for the clashes with existing structural elements
3.Commencement of Core cutting in all plots and Steel structure testing 
4. Basement – 3 - Setting Out activities</t>
  </si>
  <si>
    <t>1. Architecture GA Submission
2. Conduct the survey for the clashes with existing structural elements
3.Commencement of Core cutting in all plots and Steel structure testing 
4. Basement – 3 - Setting Out activities</t>
  </si>
  <si>
    <t>https://drive.google.com/file/d/1T7YIRQddf8thNan5EJFVaQpyLfl95ZI7/view?usp=drive_link</t>
  </si>
  <si>
    <t>https://drive.google.com/file/d/1YykSkRS5Oz7UZj0FL5C-mjRrSyiXnWcq/view?usp=drive_link</t>
  </si>
  <si>
    <t>https://drive.google.com/file/d/1w6UPVTFIWsnJWkkyxF5dCN9sAVW3V2Q2/view?usp=drive_link</t>
  </si>
  <si>
    <t>https://drive.google.com/file/d/1ql2wmKd_mPzsUzcZkX5yKkUVALauijhq/view?usp=drive_link</t>
  </si>
  <si>
    <t>https://drive.google.com/file/d/14wgprJ2e6FNj1j69861AFl0UqCa1kpcQ/view?usp=drive_link</t>
  </si>
  <si>
    <t>https://drive.google.com/file/d/1CuDlsnQtJB-PNdjg1ybnzwH7fvelUrHn/view?usp=drive_link</t>
  </si>
  <si>
    <t>https://drive.google.com/file/d/1oou1Xw9DcJtqi1GXuDypx-S_Vc2uTt_m/view?usp=drive_link</t>
  </si>
  <si>
    <t>https://drive.google.com/file/d/1WjDW2P48-BeEh7ExGxGXY9qQkIk4y4Uy/view?usp=drive_link</t>
  </si>
  <si>
    <t>https://drive.google.com/file/d/1V-a_ob3pdPr21zpJrqWWTHOOFYV63CVx/view?usp=drive_link</t>
  </si>
  <si>
    <t>https://drive.google.com/file/d/1VJ4sHxvHEYoAx3IJfsB5VejT27JsC_8_/view?usp=drive_link</t>
  </si>
  <si>
    <t>https://drive.google.com/file/d/1ngIc8spFoqQC5sawSrHTxKP7CmN_SYxy/view?usp=drive_link</t>
  </si>
  <si>
    <t>https://drive.google.com/file/d/1LyxeudZcv-MJsdF41NW4BrCMx1QZxtcg/view?usp=drive_link</t>
  </si>
  <si>
    <t xml:space="preserve">
Offsite Office Construction 99%
Existing Service Site Investigation work new services found other than NOC = 80%
Relocation Works ( ETSALAT ) = Confirmed from Etisalat, site works can proceed = 50%
Relocation Works ( AADC HV ) = Schedule for Shutdown
Subcontractors Pre qualification Approval = 60 %</t>
  </si>
  <si>
    <t>Additional resources employed to ensure the rigid execution of trial pits to locate existing underground services before commencing piling and shoring works. Coordinate with the relevant authorities to confirm that no services, other than those specified in the received NOCs, will be affected</t>
  </si>
  <si>
    <t>Piling and Shoring Contractor Started
Piling and Shoring Design Approved
Traffic rerouting application in ITC in progress</t>
  </si>
  <si>
    <t>Proceeded piling and shoring works.</t>
  </si>
  <si>
    <t>Potential delays in the relocation of underground services could impact the substructure work. Additionally, despite receiving the NOCs from the authorities, we have identified services not mentioned in the NOCs. These unreported services could potentially affect site operations and the mobilization of site offices.</t>
  </si>
  <si>
    <t>The trial pit work was accelerated by adding resources and closely coordinating with the authorities (AADC, TRANSCO, AACM) and all relevant agencies. This was done to ensure that all services are identified and safe before starting the substructure work.</t>
  </si>
  <si>
    <t>Mobilization = 100%
Existing Services Relocation Works 85%
Engineering Approvals
Civil and Architecture Works = 30 %
MEP Works = 30 %
Client Approval of PS Items = 85%
Procurement :
Civil Works and Architecture 10%
Construction:
Shoring and piling 25%</t>
  </si>
  <si>
    <t>Mobilization &amp; Prelims</t>
  </si>
  <si>
    <t>Engineering</t>
  </si>
  <si>
    <t>Material Procurements</t>
  </si>
  <si>
    <t>Authority Approval &amp; Closeout</t>
  </si>
  <si>
    <t>MEP Subcontractor company prequalification approval.</t>
  </si>
  <si>
    <t>MEP Subcontractor will comply ASAP as per CEC Comments.</t>
  </si>
  <si>
    <t>https://drive.google.com/file/d/1mRE_86OJyxRYZgYUPJM_u7Ak456wW--d/view?usp=drive_link</t>
  </si>
  <si>
    <t>https://drive.google.com/file/d/1TDJpApdYNq3AlENLBb73U5oWwKK28DF1/view?usp=drive_link</t>
  </si>
  <si>
    <t>https://drive.google.com/file/d/1PENkN1gZNt6kuWDXStzbi8Z0DiwcY8HX/view?usp=drive_link</t>
  </si>
  <si>
    <t>https://drive.google.com/file/d/1XO6KFN11Xr9Vu-p4z4gv56Vfr7TRSm9W/view?usp=drive_link</t>
  </si>
  <si>
    <t>https://drive.google.com/file/d/1W509JmdVlzeICueDgcivjNXJagqJa2qz/view?usp=drive_link</t>
  </si>
  <si>
    <t>https://drive.google.com/file/d/1l3XQXS4Q2FCMyGl__1oip2yGbK6ML46S/view?usp=drive_link</t>
  </si>
  <si>
    <t>1. Concept Report Completed and submitted to CPC for approval</t>
  </si>
  <si>
    <t>1. Approval from CPC on the Majlis concept
2. Post approval, detailed designs shall be commenced</t>
  </si>
  <si>
    <t>Tender Completion</t>
  </si>
  <si>
    <t>Construction Commencement</t>
  </si>
  <si>
    <t>Timely CPC approval</t>
  </si>
  <si>
    <t>Follow up with CPC and address their comments promply</t>
  </si>
  <si>
    <t>Commencement of detailed designs
Completion of tendering process</t>
  </si>
  <si>
    <t>https://drive.google.com/file/d/1qEmiD3wIIWaBK_n4jB1tWa-07pOtwaxm/view?usp=drive_link</t>
  </si>
  <si>
    <t>https://drive.google.com/file/d/17mVlRlsRou-0EIrdkg4pHVFZuAsTDECi/view?usp=drive_link</t>
  </si>
  <si>
    <t>https://drive.google.com/file/d/1PVqAblXmqsrUQNQz_eIs2ZoILINdprdI/view?usp=drive_link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</si>
</sst>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8">
    <font>
      <sz val="11"/>
      <color theme="1"/>
      <name val="Calibri"/>
      <family val="2"/>
      <scheme val="minor"/>
    </font>
    <font>
      <b/>
      <sz val="11"/>
      <color theme="1"/>
      <name val="Calibri"/>
      <family val="2"/>
      <scheme val="minor"/>
    </font>
    <font>
      <sz val="11"/>
      <color theme="1"/>
      <name val="Calibri"/>
      <family val="2"/>
      <scheme val="minor"/>
    </font>
    <font>
      <sz val="8"/>
      <name val="Calibri"/>
      <family val="2"/>
      <scheme val="minor"/>
    </font>
    <font>
      <u/>
      <sz val="11"/>
      <color theme="10"/>
      <name val="Calibri"/>
      <family val="2"/>
      <scheme val="minor"/>
    </font>
    <font>
      <sz val="11"/>
      <color rgb="FFFF0000"/>
      <name val="Calibri"/>
      <family val="2"/>
      <scheme val="minor"/>
    </font>
    <font>
      <sz val="11"/>
      <color rgb="FF000000"/>
      <name val="Calibri"/>
      <family val="2"/>
      <scheme val="minor"/>
    </font>
    <font>
      <sz val="9"/>
      <color indexed="81"/>
      <name val="Tahoma"/>
      <family val="2"/>
    </font>
    <font>
      <b/>
      <sz val="9"/>
      <color indexed="81"/>
      <name val="Tahoma"/>
      <family val="2"/>
    </font>
    <font>
      <sz val="11"/>
      <name val="Calibri"/>
      <family val="2"/>
      <scheme val="minor"/>
    </font>
    <font>
      <u/>
      <sz val="11"/>
      <name val="Calibri"/>
      <family val="2"/>
      <scheme val="minor"/>
    </font>
    <font>
      <b/>
      <sz val="11"/>
      <color theme="0"/>
      <name val="Calibri"/>
      <family val="2"/>
      <scheme val="minor"/>
    </font>
    <font>
      <sz val="9"/>
      <color rgb="FF000000"/>
      <name val="Helvetica"/>
      <family val="2"/>
    </font>
    <font>
      <sz val="12"/>
      <color rgb="FF001254"/>
      <name val="Manrope"/>
    </font>
    <font>
      <b/>
      <sz val="11"/>
      <color rgb="FFFF0000"/>
      <name val="Calibri"/>
      <family val="2"/>
      <scheme val="minor"/>
    </font>
    <font>
      <sz val="9"/>
      <color rgb="FF00205C"/>
      <name val="Tahoma"/>
      <family val="2"/>
    </font>
    <font>
      <sz val="10"/>
      <color theme="1"/>
      <name val="Calibri"/>
      <family val="2"/>
      <scheme val="minor"/>
    </font>
    <font>
      <sz val="9"/>
      <color theme="1"/>
      <name val="Calibri"/>
      <family val="2"/>
      <scheme val="minor"/>
    </font>
  </fonts>
  <fills count="36">
    <fill>
      <patternFill patternType="none"/>
    </fill>
    <fill>
      <patternFill patternType="gray125"/>
    </fill>
    <fill>
      <patternFill patternType="solid">
        <fgColor rgb="FFDDEBF7"/>
        <bgColor rgb="FFDDEBF7"/>
      </patternFill>
    </fill>
    <fill>
      <patternFill patternType="solid">
        <fgColor rgb="FFFFFF00"/>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FFE7FF"/>
        <bgColor indexed="64"/>
      </patternFill>
    </fill>
    <fill>
      <patternFill patternType="solid">
        <fgColor rgb="FFFFD1FF"/>
        <bgColor indexed="64"/>
      </patternFill>
    </fill>
    <fill>
      <patternFill patternType="solid">
        <fgColor rgb="FFFFAFFF"/>
        <bgColor indexed="64"/>
      </patternFill>
    </fill>
    <fill>
      <patternFill patternType="solid">
        <fgColor rgb="FFFFCDE1"/>
        <bgColor indexed="64"/>
      </patternFill>
    </fill>
    <fill>
      <patternFill patternType="solid">
        <fgColor rgb="FFFFB9D5"/>
        <bgColor indexed="64"/>
      </patternFill>
    </fill>
    <fill>
      <patternFill patternType="solid">
        <fgColor rgb="FFFF9FC6"/>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rgb="FFF1F7ED"/>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F5C4B1"/>
        <bgColor indexed="64"/>
      </patternFill>
    </fill>
    <fill>
      <patternFill patternType="solid">
        <fgColor rgb="FFF0A688"/>
        <bgColor indexed="64"/>
      </patternFill>
    </fill>
    <fill>
      <patternFill patternType="solid">
        <fgColor rgb="FFA8D1FE"/>
        <bgColor indexed="64"/>
      </patternFill>
    </fill>
    <fill>
      <patternFill patternType="solid">
        <fgColor rgb="FF82BDFE"/>
        <bgColor indexed="64"/>
      </patternFill>
    </fill>
    <fill>
      <patternFill patternType="solid">
        <fgColor rgb="FF489FFE"/>
        <bgColor indexed="64"/>
      </patternFill>
    </fill>
    <fill>
      <patternFill patternType="solid">
        <fgColor rgb="FF067CFE"/>
        <bgColor indexed="64"/>
      </patternFill>
    </fill>
    <fill>
      <patternFill patternType="solid">
        <fgColor rgb="FFFFFF00"/>
        <bgColor rgb="FFDDEBF7"/>
      </patternFill>
    </fill>
    <fill>
      <patternFill patternType="solid">
        <fgColor theme="4" tint="0.79998168889431442"/>
        <bgColor indexed="64"/>
      </patternFill>
    </fill>
    <fill>
      <patternFill patternType="solid">
        <fgColor theme="7" tint="0.79998168889431442"/>
        <bgColor rgb="FFDDEBF7"/>
      </patternFill>
    </fill>
    <fill>
      <patternFill patternType="solid">
        <fgColor theme="3" tint="0.79998168889431442"/>
        <bgColor indexed="64"/>
      </patternFill>
    </fill>
  </fills>
  <borders count="22">
    <border>
      <left/>
      <right/>
      <top/>
      <bottom/>
      <diagonal/>
    </border>
    <border>
      <left style="medium">
        <color rgb="FFFF0000"/>
      </left>
      <right/>
      <top/>
      <bottom/>
      <diagonal/>
    </border>
    <border>
      <left/>
      <right style="medium">
        <color rgb="FFFF0000"/>
      </right>
      <top/>
      <bottom/>
      <diagonal/>
    </border>
    <border>
      <left/>
      <right style="medium">
        <color rgb="FFFFFF00"/>
      </right>
      <top/>
      <bottom/>
      <diagonal/>
    </border>
    <border>
      <left/>
      <right/>
      <top/>
      <bottom style="thin">
        <color theme="4" tint="0.39997558519241921"/>
      </bottom>
      <diagonal/>
    </border>
    <border>
      <left/>
      <right/>
      <top style="thin">
        <color theme="4" tint="0.39997558519241921"/>
      </top>
      <bottom/>
      <diagonal/>
    </border>
    <border>
      <left/>
      <right/>
      <top style="medium">
        <color indexed="64"/>
      </top>
      <bottom/>
      <diagonal/>
    </border>
    <border>
      <left/>
      <right/>
      <top/>
      <bottom style="medium">
        <color indexed="64"/>
      </bottom>
      <diagonal/>
    </border>
    <border>
      <left style="hair">
        <color rgb="FF00B050"/>
      </left>
      <right style="hair">
        <color rgb="FF00B050"/>
      </right>
      <top style="hair">
        <color rgb="FF00B050"/>
      </top>
      <bottom style="hair">
        <color rgb="FF00B050"/>
      </bottom>
      <diagonal/>
    </border>
    <border>
      <left style="hair">
        <color rgb="FF00B050"/>
      </left>
      <right style="hair">
        <color rgb="FF00B050"/>
      </right>
      <top style="hair">
        <color rgb="FF00B050"/>
      </top>
      <bottom/>
      <diagonal/>
    </border>
    <border>
      <left style="hair">
        <color indexed="64"/>
      </left>
      <right style="hair">
        <color indexed="64"/>
      </right>
      <top style="hair">
        <color indexed="64"/>
      </top>
      <bottom style="hair">
        <color indexed="64"/>
      </bottom>
      <diagonal/>
    </border>
    <border>
      <left style="medium">
        <color rgb="FFFF0000"/>
      </left>
      <right style="hair">
        <color rgb="FF00B050"/>
      </right>
      <top style="hair">
        <color rgb="FF00B050"/>
      </top>
      <bottom style="hair">
        <color rgb="FF00B050"/>
      </bottom>
      <diagonal/>
    </border>
    <border>
      <left style="hair">
        <color rgb="FF00B050"/>
      </left>
      <right style="medium">
        <color rgb="FFFFFF00"/>
      </right>
      <top style="hair">
        <color rgb="FF00B050"/>
      </top>
      <bottom style="hair">
        <color rgb="FF00B050"/>
      </bottom>
      <diagonal/>
    </border>
    <border>
      <left/>
      <right style="hair">
        <color rgb="FF00B050"/>
      </right>
      <top style="hair">
        <color rgb="FF00B050"/>
      </top>
      <bottom style="hair">
        <color rgb="FF00B050"/>
      </bottom>
      <diagonal/>
    </border>
    <border>
      <left style="medium">
        <color rgb="FFFF0000"/>
      </left>
      <right style="hair">
        <color rgb="FF00B050"/>
      </right>
      <top style="hair">
        <color rgb="FF00B050"/>
      </top>
      <bottom/>
      <diagonal/>
    </border>
    <border>
      <left style="hair">
        <color rgb="FF00B050"/>
      </left>
      <right style="medium">
        <color rgb="FFFFFF00"/>
      </right>
      <top style="hair">
        <color rgb="FF00B050"/>
      </top>
      <bottom/>
      <diagonal/>
    </border>
    <border>
      <left/>
      <right style="hair">
        <color rgb="FF00B050"/>
      </right>
      <top style="hair">
        <color rgb="FF00B050"/>
      </top>
      <bottom/>
      <diagonal/>
    </border>
    <border>
      <left style="medium">
        <color rgb="FFFF0000"/>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medium">
        <color rgb="FFFFFF00"/>
      </right>
      <top style="hair">
        <color indexed="64"/>
      </top>
      <bottom style="hair">
        <color indexed="64"/>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s>
  <cellStyleXfs count="5">
    <xf numFmtId="0" fontId="0" fillId="0" borderId="0"/>
    <xf numFmtId="43" fontId="2" fillId="0" borderId="0" applyFont="0" applyFill="0" applyBorder="0" applyAlignment="0" applyProtection="0"/>
    <xf numFmtId="0" fontId="4" fillId="0" borderId="0" applyNumberFormat="0" applyFill="0" applyBorder="0" applyAlignment="0" applyProtection="0"/>
    <xf numFmtId="9" fontId="2" fillId="0" borderId="0" applyFont="0" applyFill="0" applyBorder="0" applyAlignment="0" applyProtection="0"/>
    <xf numFmtId="43" fontId="2" fillId="0" borderId="0" applyFont="0" applyFill="0" applyBorder="0" applyAlignment="0" applyProtection="0"/>
  </cellStyleXfs>
  <cellXfs count="246">
    <xf numFmtId="0" fontId="0" fillId="0" borderId="0" xfId="0"/>
    <xf numFmtId="0" fontId="1" fillId="0" borderId="0" xfId="0" applyFont="1"/>
    <xf numFmtId="0" fontId="0" fillId="0" borderId="0" xfId="0" applyAlignment="1">
      <alignment horizontal="left" vertical="center"/>
    </xf>
    <xf numFmtId="0" fontId="1" fillId="0" borderId="0" xfId="0" applyFont="1" applyAlignment="1">
      <alignment horizontal="left" vertical="center"/>
    </xf>
    <xf numFmtId="164" fontId="0" fillId="0" borderId="0" xfId="1" applyNumberFormat="1" applyFont="1" applyAlignment="1">
      <alignment horizontal="left" vertical="center"/>
    </xf>
    <xf numFmtId="43" fontId="0" fillId="0" borderId="0" xfId="1" applyFont="1" applyAlignment="1">
      <alignment horizontal="left" vertical="center"/>
    </xf>
    <xf numFmtId="43" fontId="0" fillId="0" borderId="0" xfId="0" applyNumberFormat="1" applyAlignment="1">
      <alignment horizontal="left" vertical="center"/>
    </xf>
    <xf numFmtId="0" fontId="0" fillId="0" borderId="0" xfId="0" applyAlignment="1">
      <alignment vertical="center"/>
    </xf>
    <xf numFmtId="0" fontId="6" fillId="0" borderId="0" xfId="0" applyFont="1" applyAlignment="1">
      <alignment horizontal="left" vertical="center"/>
    </xf>
    <xf numFmtId="0" fontId="6" fillId="2" borderId="0" xfId="0" applyFont="1" applyFill="1" applyAlignment="1">
      <alignment horizontal="left" vertical="center"/>
    </xf>
    <xf numFmtId="0" fontId="1" fillId="0" borderId="0" xfId="0" applyFont="1" applyAlignment="1">
      <alignment horizontal="right" vertical="center"/>
    </xf>
    <xf numFmtId="4" fontId="1" fillId="0" borderId="0" xfId="0" applyNumberFormat="1" applyFont="1" applyAlignment="1">
      <alignment horizontal="right" vertical="center"/>
    </xf>
    <xf numFmtId="15" fontId="0" fillId="0" borderId="0" xfId="0" applyNumberFormat="1" applyAlignment="1">
      <alignment horizontal="left" vertical="center"/>
    </xf>
    <xf numFmtId="10" fontId="0" fillId="0" borderId="0" xfId="0" applyNumberFormat="1" applyAlignment="1">
      <alignment horizontal="left" vertical="center"/>
    </xf>
    <xf numFmtId="17" fontId="0" fillId="0" borderId="0" xfId="0" applyNumberFormat="1" applyAlignment="1">
      <alignment horizontal="left" vertical="center"/>
    </xf>
    <xf numFmtId="0" fontId="5" fillId="3" borderId="0" xfId="0" applyFont="1" applyFill="1"/>
    <xf numFmtId="0" fontId="0" fillId="4" borderId="0" xfId="0" applyFill="1" applyAlignment="1">
      <alignment horizontal="left" vertical="center"/>
    </xf>
    <xf numFmtId="0" fontId="9" fillId="0" borderId="0" xfId="0" applyFont="1" applyAlignment="1">
      <alignment horizontal="left" vertical="center"/>
    </xf>
    <xf numFmtId="17" fontId="9" fillId="0" borderId="0" xfId="0" applyNumberFormat="1" applyFont="1" applyAlignment="1">
      <alignment horizontal="left" vertical="center"/>
    </xf>
    <xf numFmtId="164" fontId="9" fillId="0" borderId="0" xfId="1" applyNumberFormat="1" applyFont="1" applyAlignment="1">
      <alignment horizontal="left" vertical="center"/>
    </xf>
    <xf numFmtId="43" fontId="9" fillId="0" borderId="0" xfId="1" applyFont="1" applyAlignment="1">
      <alignment horizontal="left" vertical="center"/>
    </xf>
    <xf numFmtId="43" fontId="9" fillId="0" borderId="0" xfId="0" applyNumberFormat="1" applyFont="1" applyAlignment="1">
      <alignment horizontal="left" vertical="center"/>
    </xf>
    <xf numFmtId="43" fontId="10" fillId="0" borderId="0" xfId="2" applyNumberFormat="1" applyFont="1" applyAlignment="1">
      <alignment horizontal="left" vertical="center"/>
    </xf>
    <xf numFmtId="0" fontId="9" fillId="0" borderId="0" xfId="0" applyFont="1"/>
    <xf numFmtId="0" fontId="9" fillId="2" borderId="0" xfId="0" applyFont="1" applyFill="1" applyAlignment="1">
      <alignment horizontal="left" vertical="center"/>
    </xf>
    <xf numFmtId="15" fontId="0" fillId="5" borderId="0" xfId="0" applyNumberFormat="1" applyFill="1" applyAlignment="1">
      <alignment horizontal="left" vertical="center"/>
    </xf>
    <xf numFmtId="15" fontId="0" fillId="6" borderId="0" xfId="0" applyNumberFormat="1" applyFill="1" applyAlignment="1">
      <alignment horizontal="left" vertical="center"/>
    </xf>
    <xf numFmtId="15" fontId="0" fillId="7" borderId="0" xfId="0" applyNumberFormat="1" applyFill="1" applyAlignment="1">
      <alignment horizontal="left" vertical="center"/>
    </xf>
    <xf numFmtId="15" fontId="0" fillId="8" borderId="0" xfId="0" applyNumberFormat="1" applyFill="1" applyAlignment="1">
      <alignment horizontal="left" vertical="center"/>
    </xf>
    <xf numFmtId="15" fontId="0" fillId="9" borderId="0" xfId="0" applyNumberFormat="1" applyFill="1" applyAlignment="1">
      <alignment horizontal="left" vertical="center"/>
    </xf>
    <xf numFmtId="15" fontId="0" fillId="10" borderId="0" xfId="0" applyNumberFormat="1" applyFill="1" applyAlignment="1">
      <alignment horizontal="left" vertical="center"/>
    </xf>
    <xf numFmtId="15" fontId="0" fillId="11" borderId="0" xfId="0" applyNumberFormat="1" applyFill="1" applyAlignment="1">
      <alignment horizontal="left" vertical="center"/>
    </xf>
    <xf numFmtId="15" fontId="0" fillId="12" borderId="0" xfId="0" applyNumberFormat="1" applyFill="1" applyAlignment="1">
      <alignment horizontal="left" vertical="center"/>
    </xf>
    <xf numFmtId="1" fontId="0" fillId="13" borderId="0" xfId="0" applyNumberFormat="1" applyFill="1" applyAlignment="1">
      <alignment horizontal="left" vertical="center"/>
    </xf>
    <xf numFmtId="0" fontId="0" fillId="13" borderId="0" xfId="0" applyFill="1" applyAlignment="1">
      <alignment horizontal="left" vertical="center"/>
    </xf>
    <xf numFmtId="4" fontId="0" fillId="0" borderId="0" xfId="0" applyNumberFormat="1" applyAlignment="1">
      <alignment horizontal="right" vertical="center"/>
    </xf>
    <xf numFmtId="43" fontId="0" fillId="0" borderId="0" xfId="1" applyFont="1" applyAlignment="1">
      <alignment horizontal="right" vertical="center"/>
    </xf>
    <xf numFmtId="1" fontId="0" fillId="14" borderId="0" xfId="0" applyNumberFormat="1" applyFill="1" applyAlignment="1">
      <alignment horizontal="left" vertical="center"/>
    </xf>
    <xf numFmtId="0" fontId="0" fillId="14" borderId="0" xfId="0" applyFill="1" applyAlignment="1">
      <alignment horizontal="left" vertical="center"/>
    </xf>
    <xf numFmtId="1" fontId="0" fillId="15" borderId="0" xfId="0" applyNumberFormat="1" applyFill="1" applyAlignment="1">
      <alignment horizontal="left" vertical="center"/>
    </xf>
    <xf numFmtId="0" fontId="0" fillId="15" borderId="0" xfId="0" applyFill="1" applyAlignment="1">
      <alignment horizontal="left" vertical="center"/>
    </xf>
    <xf numFmtId="1" fontId="0" fillId="16" borderId="0" xfId="0" applyNumberFormat="1" applyFill="1" applyAlignment="1">
      <alignment horizontal="left" vertical="center"/>
    </xf>
    <xf numFmtId="0" fontId="0" fillId="16" borderId="0" xfId="0" applyFill="1" applyAlignment="1">
      <alignment horizontal="left" vertical="center"/>
    </xf>
    <xf numFmtId="1" fontId="0" fillId="17" borderId="0" xfId="0" applyNumberFormat="1" applyFill="1" applyAlignment="1">
      <alignment horizontal="left" vertical="center"/>
    </xf>
    <xf numFmtId="0" fontId="0" fillId="17" borderId="0" xfId="0" applyFill="1" applyAlignment="1">
      <alignment horizontal="left" vertical="center"/>
    </xf>
    <xf numFmtId="1" fontId="0" fillId="18" borderId="0" xfId="0" applyNumberFormat="1" applyFill="1" applyAlignment="1">
      <alignment horizontal="left" vertical="center"/>
    </xf>
    <xf numFmtId="0" fontId="0" fillId="18" borderId="0" xfId="0" applyFill="1" applyAlignment="1">
      <alignment horizontal="left" vertical="center"/>
    </xf>
    <xf numFmtId="1" fontId="0" fillId="19" borderId="0" xfId="0" applyNumberFormat="1" applyFill="1" applyAlignment="1">
      <alignment horizontal="left" vertical="center"/>
    </xf>
    <xf numFmtId="0" fontId="0" fillId="19" borderId="0" xfId="0" applyFill="1" applyAlignment="1">
      <alignment horizontal="left" vertical="center"/>
    </xf>
    <xf numFmtId="1" fontId="0" fillId="20" borderId="0" xfId="0" applyNumberFormat="1" applyFill="1" applyAlignment="1">
      <alignment horizontal="left" vertical="center"/>
    </xf>
    <xf numFmtId="0" fontId="0" fillId="20" borderId="0" xfId="0" applyFill="1" applyAlignment="1">
      <alignment horizontal="left" vertical="center"/>
    </xf>
    <xf numFmtId="1" fontId="0" fillId="21" borderId="0" xfId="0" applyNumberFormat="1" applyFill="1" applyAlignment="1">
      <alignment horizontal="left" vertical="center"/>
    </xf>
    <xf numFmtId="0" fontId="0" fillId="21" borderId="0" xfId="0" applyFill="1" applyAlignment="1">
      <alignment horizontal="left" vertical="center"/>
    </xf>
    <xf numFmtId="1" fontId="0" fillId="22" borderId="0" xfId="0" applyNumberFormat="1" applyFill="1" applyAlignment="1">
      <alignment horizontal="left" vertical="center"/>
    </xf>
    <xf numFmtId="0" fontId="0" fillId="22" borderId="0" xfId="0" applyFill="1" applyAlignment="1">
      <alignment horizontal="left" vertical="center"/>
    </xf>
    <xf numFmtId="1" fontId="0" fillId="5" borderId="0" xfId="0" applyNumberFormat="1" applyFill="1" applyAlignment="1">
      <alignment horizontal="left" vertical="center"/>
    </xf>
    <xf numFmtId="0" fontId="0" fillId="5" borderId="0" xfId="0" applyFill="1" applyAlignment="1">
      <alignment horizontal="left" vertical="center"/>
    </xf>
    <xf numFmtId="1" fontId="0" fillId="6" borderId="0" xfId="0" applyNumberFormat="1" applyFill="1" applyAlignment="1">
      <alignment horizontal="left" vertical="center"/>
    </xf>
    <xf numFmtId="0" fontId="0" fillId="6" borderId="0" xfId="0" applyFill="1" applyAlignment="1">
      <alignment horizontal="left" vertical="center"/>
    </xf>
    <xf numFmtId="1" fontId="0" fillId="7" borderId="0" xfId="0" applyNumberFormat="1" applyFill="1" applyAlignment="1">
      <alignment horizontal="left" vertical="center"/>
    </xf>
    <xf numFmtId="0" fontId="0" fillId="7" borderId="0" xfId="0" applyFill="1" applyAlignment="1">
      <alignment horizontal="left" vertical="center"/>
    </xf>
    <xf numFmtId="1" fontId="0" fillId="8" borderId="0" xfId="0" applyNumberFormat="1" applyFill="1" applyAlignment="1">
      <alignment horizontal="left" vertical="center"/>
    </xf>
    <xf numFmtId="0" fontId="0" fillId="8" borderId="0" xfId="0" applyFill="1" applyAlignment="1">
      <alignment horizontal="left" vertical="center"/>
    </xf>
    <xf numFmtId="1" fontId="0" fillId="9" borderId="0" xfId="0" applyNumberFormat="1" applyFill="1" applyAlignment="1">
      <alignment horizontal="left" vertical="center"/>
    </xf>
    <xf numFmtId="0" fontId="0" fillId="9" borderId="0" xfId="0" applyFill="1" applyAlignment="1">
      <alignment horizontal="left" vertical="center"/>
    </xf>
    <xf numFmtId="1" fontId="0" fillId="10" borderId="0" xfId="0" applyNumberFormat="1" applyFill="1" applyAlignment="1">
      <alignment horizontal="left" vertical="center"/>
    </xf>
    <xf numFmtId="0" fontId="0" fillId="10" borderId="0" xfId="0" applyFill="1" applyAlignment="1">
      <alignment horizontal="left" vertical="center"/>
    </xf>
    <xf numFmtId="1" fontId="0" fillId="11" borderId="0" xfId="0" applyNumberFormat="1" applyFill="1" applyAlignment="1">
      <alignment horizontal="left" vertical="center"/>
    </xf>
    <xf numFmtId="0" fontId="0" fillId="11" borderId="0" xfId="0" applyFill="1" applyAlignment="1">
      <alignment horizontal="left" vertical="center"/>
    </xf>
    <xf numFmtId="1" fontId="0" fillId="12" borderId="0" xfId="0" applyNumberFormat="1" applyFill="1" applyAlignment="1">
      <alignment horizontal="left" vertical="center"/>
    </xf>
    <xf numFmtId="0" fontId="0" fillId="12" borderId="0" xfId="0" applyFill="1" applyAlignment="1">
      <alignment horizontal="left" vertical="center"/>
    </xf>
    <xf numFmtId="0" fontId="4" fillId="23" borderId="0" xfId="2" applyFill="1" applyAlignment="1">
      <alignment vertical="center"/>
    </xf>
    <xf numFmtId="0" fontId="4" fillId="13" borderId="0" xfId="2" applyFill="1" applyAlignment="1">
      <alignment vertical="center"/>
    </xf>
    <xf numFmtId="0" fontId="4" fillId="14" borderId="0" xfId="2" applyFill="1" applyAlignment="1">
      <alignment vertical="center"/>
    </xf>
    <xf numFmtId="0" fontId="4" fillId="14" borderId="0" xfId="2" applyNumberFormat="1" applyFill="1" applyAlignment="1">
      <alignment vertical="center"/>
    </xf>
    <xf numFmtId="0" fontId="4" fillId="15" borderId="0" xfId="2" applyFill="1" applyAlignment="1">
      <alignment vertical="center"/>
    </xf>
    <xf numFmtId="0" fontId="4" fillId="16" borderId="0" xfId="2" applyFill="1" applyAlignment="1">
      <alignment vertical="center"/>
    </xf>
    <xf numFmtId="0" fontId="4" fillId="17" borderId="0" xfId="2" applyFill="1" applyAlignment="1">
      <alignment vertical="center"/>
    </xf>
    <xf numFmtId="0" fontId="4" fillId="18" borderId="0" xfId="2" applyFill="1" applyAlignment="1">
      <alignment vertical="center"/>
    </xf>
    <xf numFmtId="0" fontId="4" fillId="19" borderId="0" xfId="2" applyFill="1" applyAlignment="1">
      <alignment vertical="center"/>
    </xf>
    <xf numFmtId="0" fontId="4" fillId="20" borderId="0" xfId="2" applyFill="1" applyAlignment="1">
      <alignment vertical="center"/>
    </xf>
    <xf numFmtId="0" fontId="4" fillId="21" borderId="0" xfId="2" applyFill="1" applyAlignment="1">
      <alignment vertical="center"/>
    </xf>
    <xf numFmtId="0" fontId="4" fillId="22" borderId="0" xfId="2" applyFill="1" applyAlignment="1">
      <alignment vertical="center"/>
    </xf>
    <xf numFmtId="0" fontId="4" fillId="5" borderId="0" xfId="2" applyFill="1" applyAlignment="1">
      <alignment vertical="center"/>
    </xf>
    <xf numFmtId="0" fontId="4" fillId="6" borderId="0" xfId="2" applyFill="1" applyAlignment="1">
      <alignment vertical="center"/>
    </xf>
    <xf numFmtId="0" fontId="4" fillId="7" borderId="0" xfId="2" applyFill="1" applyAlignment="1">
      <alignment vertical="center"/>
    </xf>
    <xf numFmtId="0" fontId="4" fillId="8" borderId="0" xfId="2" applyFill="1" applyAlignment="1">
      <alignment vertical="center"/>
    </xf>
    <xf numFmtId="0" fontId="4" fillId="9" borderId="0" xfId="2" applyFill="1" applyAlignment="1">
      <alignment vertical="center"/>
    </xf>
    <xf numFmtId="0" fontId="4" fillId="10" borderId="0" xfId="2" applyFill="1" applyAlignment="1">
      <alignment vertical="center"/>
    </xf>
    <xf numFmtId="0" fontId="4" fillId="11" borderId="0" xfId="2" applyFill="1" applyAlignment="1">
      <alignment vertical="center"/>
    </xf>
    <xf numFmtId="0" fontId="4" fillId="12" borderId="0" xfId="2" applyFill="1" applyAlignment="1">
      <alignment vertical="center"/>
    </xf>
    <xf numFmtId="0" fontId="0" fillId="23" borderId="0" xfId="0" applyFill="1"/>
    <xf numFmtId="4" fontId="0" fillId="0" borderId="0" xfId="1" applyNumberFormat="1" applyFont="1" applyAlignment="1">
      <alignment horizontal="right" vertical="center"/>
    </xf>
    <xf numFmtId="0" fontId="0" fillId="0" borderId="0" xfId="0" applyAlignment="1">
      <alignment horizontal="right" vertical="center"/>
    </xf>
    <xf numFmtId="43" fontId="0" fillId="0" borderId="0" xfId="0" applyNumberFormat="1" applyAlignment="1">
      <alignment horizontal="right" vertical="center"/>
    </xf>
    <xf numFmtId="0" fontId="11" fillId="24" borderId="4" xfId="0" applyFont="1" applyFill="1" applyBorder="1" applyAlignment="1">
      <alignment horizontal="left" vertical="center"/>
    </xf>
    <xf numFmtId="0" fontId="9" fillId="25" borderId="5" xfId="0" applyFont="1" applyFill="1" applyBorder="1" applyAlignment="1">
      <alignment horizontal="left" vertical="center"/>
    </xf>
    <xf numFmtId="0" fontId="9" fillId="2" borderId="5" xfId="0" applyFont="1" applyFill="1" applyBorder="1" applyAlignment="1">
      <alignment horizontal="left" vertical="center"/>
    </xf>
    <xf numFmtId="0" fontId="9" fillId="25" borderId="0" xfId="0" applyFont="1" applyFill="1" applyAlignment="1">
      <alignment horizontal="left" vertical="center"/>
    </xf>
    <xf numFmtId="0" fontId="11" fillId="24" borderId="0" xfId="0" applyFont="1" applyFill="1" applyAlignment="1">
      <alignment horizontal="left" vertical="center"/>
    </xf>
    <xf numFmtId="0" fontId="0" fillId="0" borderId="0" xfId="0" applyAlignment="1">
      <alignment horizontal="center" vertical="center"/>
    </xf>
    <xf numFmtId="0" fontId="12" fillId="0" borderId="0" xfId="0" applyFont="1"/>
    <xf numFmtId="43" fontId="0" fillId="12" borderId="0" xfId="0" applyNumberFormat="1" applyFill="1" applyAlignment="1">
      <alignment horizontal="left" vertical="center"/>
    </xf>
    <xf numFmtId="0" fontId="4" fillId="12" borderId="0" xfId="2" applyNumberFormat="1" applyFill="1" applyAlignment="1">
      <alignment vertical="center"/>
    </xf>
    <xf numFmtId="1" fontId="0" fillId="26" borderId="0" xfId="0" applyNumberFormat="1" applyFill="1" applyAlignment="1">
      <alignment horizontal="left" vertical="center"/>
    </xf>
    <xf numFmtId="0" fontId="0" fillId="26" borderId="0" xfId="0" applyFill="1" applyAlignment="1">
      <alignment horizontal="left" vertical="center"/>
    </xf>
    <xf numFmtId="1" fontId="0" fillId="27" borderId="0" xfId="0" applyNumberFormat="1" applyFill="1" applyAlignment="1">
      <alignment horizontal="left" vertical="center"/>
    </xf>
    <xf numFmtId="0" fontId="0" fillId="27" borderId="0" xfId="0" applyFill="1" applyAlignment="1">
      <alignment horizontal="left" vertical="center"/>
    </xf>
    <xf numFmtId="1" fontId="0" fillId="28" borderId="0" xfId="0" applyNumberFormat="1" applyFill="1" applyAlignment="1">
      <alignment horizontal="left" vertical="center"/>
    </xf>
    <xf numFmtId="0" fontId="0" fillId="28" borderId="0" xfId="0" applyFill="1" applyAlignment="1">
      <alignment horizontal="left" vertical="center"/>
    </xf>
    <xf numFmtId="1" fontId="0" fillId="29" borderId="0" xfId="0" applyNumberFormat="1" applyFill="1" applyAlignment="1">
      <alignment horizontal="left" vertical="center"/>
    </xf>
    <xf numFmtId="0" fontId="0" fillId="29" borderId="0" xfId="0" applyFill="1" applyAlignment="1">
      <alignment horizontal="left" vertical="center"/>
    </xf>
    <xf numFmtId="1" fontId="0" fillId="30" borderId="0" xfId="0" applyNumberFormat="1" applyFill="1" applyAlignment="1">
      <alignment horizontal="left" vertical="center"/>
    </xf>
    <xf numFmtId="0" fontId="0" fillId="30" borderId="0" xfId="0" applyFill="1" applyAlignment="1">
      <alignment horizontal="left" vertical="center"/>
    </xf>
    <xf numFmtId="1" fontId="0" fillId="31" borderId="0" xfId="0" applyNumberFormat="1" applyFill="1" applyAlignment="1">
      <alignment horizontal="left" vertical="center"/>
    </xf>
    <xf numFmtId="0" fontId="0" fillId="31" borderId="0" xfId="0" applyFill="1" applyAlignment="1">
      <alignment horizontal="left" vertical="center"/>
    </xf>
    <xf numFmtId="0" fontId="4" fillId="26" borderId="0" xfId="2" applyFill="1" applyAlignment="1">
      <alignment vertical="center"/>
    </xf>
    <xf numFmtId="0" fontId="4" fillId="27" borderId="0" xfId="2" applyFill="1" applyAlignment="1">
      <alignment vertical="center"/>
    </xf>
    <xf numFmtId="0" fontId="4" fillId="28" borderId="0" xfId="2" applyFill="1" applyAlignment="1">
      <alignment vertical="center"/>
    </xf>
    <xf numFmtId="0" fontId="4" fillId="29" borderId="0" xfId="2" applyFill="1" applyAlignment="1">
      <alignment vertical="center"/>
    </xf>
    <xf numFmtId="0" fontId="4" fillId="30" borderId="0" xfId="2" applyFill="1" applyAlignment="1">
      <alignment vertical="center"/>
    </xf>
    <xf numFmtId="0" fontId="4" fillId="31" borderId="0" xfId="2" applyFill="1" applyAlignment="1">
      <alignment vertical="center"/>
    </xf>
    <xf numFmtId="4" fontId="9" fillId="0" borderId="0" xfId="0" applyNumberFormat="1" applyFont="1" applyAlignment="1">
      <alignment vertical="center" wrapText="1"/>
    </xf>
    <xf numFmtId="43" fontId="9" fillId="0" borderId="0" xfId="1" applyFont="1" applyFill="1" applyAlignment="1">
      <alignment horizontal="right" vertical="center" wrapText="1"/>
    </xf>
    <xf numFmtId="0" fontId="6" fillId="32" borderId="0" xfId="0" applyFont="1" applyFill="1" applyAlignment="1">
      <alignment horizontal="left" vertical="center"/>
    </xf>
    <xf numFmtId="0" fontId="9" fillId="3" borderId="0" xfId="0" applyFont="1" applyFill="1" applyAlignment="1">
      <alignment horizontal="left" vertical="center"/>
    </xf>
    <xf numFmtId="0" fontId="4" fillId="0" borderId="0" xfId="2" applyAlignment="1">
      <alignment vertical="center"/>
    </xf>
    <xf numFmtId="15" fontId="0" fillId="33" borderId="0" xfId="0" applyNumberFormat="1" applyFill="1" applyAlignment="1">
      <alignment horizontal="left" vertical="center"/>
    </xf>
    <xf numFmtId="0" fontId="6" fillId="33" borderId="0" xfId="0" applyFont="1" applyFill="1" applyAlignment="1">
      <alignment horizontal="left" vertical="center"/>
    </xf>
    <xf numFmtId="0" fontId="0" fillId="33" borderId="0" xfId="0" applyFill="1" applyAlignment="1">
      <alignment horizontal="left" vertical="center"/>
    </xf>
    <xf numFmtId="1" fontId="0" fillId="33" borderId="0" xfId="0" applyNumberFormat="1" applyFill="1" applyAlignment="1">
      <alignment horizontal="left" vertical="center"/>
    </xf>
    <xf numFmtId="15" fontId="0" fillId="19" borderId="0" xfId="0" applyNumberFormat="1" applyFill="1" applyAlignment="1">
      <alignment horizontal="left" vertical="center"/>
    </xf>
    <xf numFmtId="4" fontId="0" fillId="19" borderId="0" xfId="0" applyNumberFormat="1" applyFill="1" applyAlignment="1">
      <alignment horizontal="right" vertical="center"/>
    </xf>
    <xf numFmtId="43" fontId="0" fillId="19" borderId="0" xfId="1" applyFont="1" applyFill="1" applyAlignment="1">
      <alignment horizontal="right" vertical="center"/>
    </xf>
    <xf numFmtId="0" fontId="6" fillId="19" borderId="0" xfId="0" applyFont="1" applyFill="1" applyAlignment="1">
      <alignment horizontal="left" vertical="center"/>
    </xf>
    <xf numFmtId="0" fontId="6" fillId="34" borderId="0" xfId="0" applyFont="1" applyFill="1" applyAlignment="1">
      <alignment horizontal="left" vertical="center"/>
    </xf>
    <xf numFmtId="0" fontId="0" fillId="0" borderId="0" xfId="0" applyAlignment="1">
      <alignment horizontal="left" vertical="center" wrapText="1"/>
    </xf>
    <xf numFmtId="10" fontId="0" fillId="0" borderId="0" xfId="3" applyNumberFormat="1" applyFont="1" applyFill="1" applyBorder="1" applyAlignment="1">
      <alignment horizontal="left" vertical="center"/>
    </xf>
    <xf numFmtId="43" fontId="0" fillId="0" borderId="0" xfId="1" applyFont="1" applyFill="1" applyBorder="1" applyAlignment="1">
      <alignment horizontal="right" vertical="center" wrapText="1"/>
    </xf>
    <xf numFmtId="43" fontId="0" fillId="0" borderId="0" xfId="1" applyFont="1" applyFill="1" applyBorder="1" applyAlignment="1">
      <alignment horizontal="right" vertical="center"/>
    </xf>
    <xf numFmtId="43" fontId="13" fillId="0" borderId="0" xfId="1" applyFont="1" applyBorder="1" applyAlignment="1">
      <alignment horizontal="right" vertical="center"/>
    </xf>
    <xf numFmtId="0" fontId="4" fillId="0" borderId="0" xfId="2" applyFill="1" applyBorder="1" applyAlignment="1">
      <alignment horizontal="center" vertical="center"/>
    </xf>
    <xf numFmtId="0" fontId="0" fillId="0" borderId="1" xfId="0" applyBorder="1" applyAlignment="1">
      <alignment horizontal="left" vertical="center" wrapText="1"/>
    </xf>
    <xf numFmtId="0" fontId="0" fillId="0" borderId="3" xfId="0" applyBorder="1" applyAlignment="1">
      <alignment horizontal="left" vertical="center" wrapText="1"/>
    </xf>
    <xf numFmtId="0" fontId="0" fillId="0" borderId="1" xfId="0" applyBorder="1" applyAlignment="1">
      <alignment horizontal="left" vertical="center"/>
    </xf>
    <xf numFmtId="0" fontId="9" fillId="19" borderId="0" xfId="0" applyFont="1" applyFill="1" applyAlignment="1">
      <alignment horizontal="left" vertical="center"/>
    </xf>
    <xf numFmtId="0" fontId="0" fillId="0" borderId="0" xfId="0" applyAlignment="1">
      <alignment horizontal="left" vertical="top" wrapText="1"/>
    </xf>
    <xf numFmtId="14" fontId="0" fillId="0" borderId="1" xfId="0" applyNumberFormat="1" applyBorder="1" applyAlignment="1">
      <alignment horizontal="left" vertical="center"/>
    </xf>
    <xf numFmtId="10" fontId="0" fillId="0" borderId="0" xfId="3" applyNumberFormat="1" applyFont="1" applyFill="1" applyAlignment="1">
      <alignment horizontal="left" vertical="center"/>
    </xf>
    <xf numFmtId="0" fontId="0" fillId="0" borderId="3" xfId="0" applyBorder="1" applyAlignment="1">
      <alignment horizontal="left" vertical="center"/>
    </xf>
    <xf numFmtId="4" fontId="13" fillId="0" borderId="0" xfId="0" applyNumberFormat="1" applyFont="1" applyAlignment="1">
      <alignment horizontal="center" vertical="center"/>
    </xf>
    <xf numFmtId="4" fontId="0" fillId="0" borderId="0" xfId="0" applyNumberFormat="1" applyAlignment="1">
      <alignment vertical="center" wrapText="1"/>
    </xf>
    <xf numFmtId="43" fontId="0" fillId="0" borderId="0" xfId="1" applyFont="1" applyFill="1" applyAlignment="1">
      <alignment horizontal="right" vertical="center" wrapText="1"/>
    </xf>
    <xf numFmtId="4" fontId="0" fillId="0" borderId="0" xfId="0" applyNumberFormat="1" applyAlignment="1">
      <alignment vertical="center"/>
    </xf>
    <xf numFmtId="43" fontId="0" fillId="0" borderId="0" xfId="1" applyFont="1" applyFill="1" applyAlignment="1">
      <alignment horizontal="right" vertical="center"/>
    </xf>
    <xf numFmtId="43" fontId="0" fillId="0" borderId="0" xfId="1" applyFont="1" applyFill="1" applyAlignment="1">
      <alignment vertical="center" wrapText="1"/>
    </xf>
    <xf numFmtId="43" fontId="0" fillId="0" borderId="0" xfId="0" applyNumberFormat="1" applyAlignment="1">
      <alignment vertical="center"/>
    </xf>
    <xf numFmtId="4" fontId="2" fillId="0" borderId="0" xfId="1" applyNumberFormat="1" applyFont="1" applyFill="1" applyAlignment="1">
      <alignment vertical="center" wrapText="1"/>
    </xf>
    <xf numFmtId="43" fontId="0" fillId="0" borderId="0" xfId="1" applyFont="1" applyAlignment="1">
      <alignment vertical="center"/>
    </xf>
    <xf numFmtId="0" fontId="9" fillId="0" borderId="0" xfId="0" applyFont="1" applyAlignment="1">
      <alignment horizontal="left" vertical="center" wrapText="1"/>
    </xf>
    <xf numFmtId="10" fontId="9" fillId="0" borderId="0" xfId="0" applyNumberFormat="1" applyFont="1" applyAlignment="1">
      <alignment horizontal="left" vertical="center"/>
    </xf>
    <xf numFmtId="10" fontId="9" fillId="0" borderId="0" xfId="3" applyNumberFormat="1" applyFont="1" applyFill="1" applyBorder="1" applyAlignment="1">
      <alignment horizontal="left" vertical="center"/>
    </xf>
    <xf numFmtId="0" fontId="9" fillId="0" borderId="0" xfId="0" applyFont="1" applyAlignment="1">
      <alignment horizontal="left" vertical="top" wrapText="1"/>
    </xf>
    <xf numFmtId="0" fontId="5" fillId="0" borderId="1" xfId="0" applyFont="1" applyBorder="1" applyAlignment="1">
      <alignment horizontal="left" vertical="center"/>
    </xf>
    <xf numFmtId="0" fontId="9" fillId="0" borderId="3" xfId="0" applyFont="1" applyBorder="1" applyAlignment="1">
      <alignment horizontal="left" vertical="center" wrapText="1"/>
    </xf>
    <xf numFmtId="0" fontId="9" fillId="0" borderId="1" xfId="0" applyFont="1" applyBorder="1" applyAlignment="1">
      <alignment horizontal="left" vertical="center"/>
    </xf>
    <xf numFmtId="10" fontId="0" fillId="0" borderId="2" xfId="0" applyNumberFormat="1" applyBorder="1" applyAlignment="1">
      <alignment horizontal="left" vertical="center"/>
    </xf>
    <xf numFmtId="0" fontId="0" fillId="0" borderId="0" xfId="0" quotePrefix="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0" xfId="0" quotePrefix="1" applyAlignment="1">
      <alignment horizontal="left" vertical="center"/>
    </xf>
    <xf numFmtId="0" fontId="4" fillId="0" borderId="6" xfId="2" applyFill="1" applyBorder="1" applyAlignment="1">
      <alignment horizontal="center" vertical="center"/>
    </xf>
    <xf numFmtId="0" fontId="4" fillId="0" borderId="0" xfId="2" applyFill="1" applyAlignment="1">
      <alignment vertical="center"/>
    </xf>
    <xf numFmtId="0" fontId="4" fillId="0" borderId="0" xfId="2" applyFill="1" applyBorder="1" applyAlignment="1">
      <alignment vertical="center"/>
    </xf>
    <xf numFmtId="1" fontId="0" fillId="0" borderId="0" xfId="0" applyNumberFormat="1" applyAlignment="1">
      <alignment horizontal="left" vertical="center"/>
    </xf>
    <xf numFmtId="14" fontId="0" fillId="0" borderId="0" xfId="0" applyNumberFormat="1" applyAlignment="1">
      <alignment horizontal="left" vertical="center"/>
    </xf>
    <xf numFmtId="1" fontId="0" fillId="35" borderId="0" xfId="0" applyNumberFormat="1" applyFill="1" applyAlignment="1">
      <alignment horizontal="left" vertical="center"/>
    </xf>
    <xf numFmtId="0" fontId="0" fillId="35" borderId="0" xfId="0" applyFill="1" applyAlignment="1">
      <alignment horizontal="left" vertical="center" wrapText="1"/>
    </xf>
    <xf numFmtId="10" fontId="0" fillId="35" borderId="0" xfId="0" applyNumberFormat="1" applyFill="1" applyAlignment="1">
      <alignment horizontal="left" vertical="center"/>
    </xf>
    <xf numFmtId="10" fontId="0" fillId="35" borderId="0" xfId="3" applyNumberFormat="1" applyFont="1" applyFill="1" applyBorder="1" applyAlignment="1">
      <alignment horizontal="left" vertical="center"/>
    </xf>
    <xf numFmtId="0" fontId="0" fillId="35" borderId="1" xfId="0" applyFill="1" applyBorder="1" applyAlignment="1">
      <alignment horizontal="left" vertical="center"/>
    </xf>
    <xf numFmtId="14" fontId="0" fillId="35" borderId="0" xfId="0" applyNumberFormat="1" applyFill="1" applyAlignment="1">
      <alignment horizontal="left" vertical="center"/>
    </xf>
    <xf numFmtId="0" fontId="0" fillId="35" borderId="3" xfId="0" applyFill="1" applyBorder="1" applyAlignment="1">
      <alignment horizontal="left" vertical="center" wrapText="1"/>
    </xf>
    <xf numFmtId="43" fontId="0" fillId="35" borderId="0" xfId="1" applyFont="1" applyFill="1" applyAlignment="1">
      <alignment vertical="center" wrapText="1"/>
    </xf>
    <xf numFmtId="43" fontId="0" fillId="35" borderId="0" xfId="1" applyFont="1" applyFill="1" applyAlignment="1">
      <alignment horizontal="right" vertical="center" wrapText="1"/>
    </xf>
    <xf numFmtId="4" fontId="0" fillId="35" borderId="0" xfId="1" applyNumberFormat="1" applyFont="1" applyFill="1" applyAlignment="1">
      <alignment horizontal="right" vertical="center" wrapText="1"/>
    </xf>
    <xf numFmtId="0" fontId="4" fillId="35" borderId="0" xfId="2" applyFill="1" applyAlignment="1">
      <alignment vertical="center"/>
    </xf>
    <xf numFmtId="15" fontId="9" fillId="10" borderId="0" xfId="0" applyNumberFormat="1" applyFont="1" applyFill="1" applyAlignment="1">
      <alignment horizontal="left" vertical="center"/>
    </xf>
    <xf numFmtId="10" fontId="0" fillId="12" borderId="0" xfId="0" applyNumberFormat="1" applyFill="1" applyAlignment="1">
      <alignment horizontal="left" vertical="center"/>
    </xf>
    <xf numFmtId="10" fontId="0" fillId="12" borderId="0" xfId="3" applyNumberFormat="1" applyFont="1" applyFill="1" applyAlignment="1">
      <alignment horizontal="left" vertical="center"/>
    </xf>
    <xf numFmtId="0" fontId="0" fillId="12" borderId="1" xfId="0" applyFill="1" applyBorder="1" applyAlignment="1">
      <alignment horizontal="left" vertical="center"/>
    </xf>
    <xf numFmtId="0" fontId="0" fillId="12" borderId="3" xfId="0" applyFill="1" applyBorder="1" applyAlignment="1">
      <alignment horizontal="left" vertical="center"/>
    </xf>
    <xf numFmtId="0" fontId="0" fillId="0" borderId="0" xfId="0" applyAlignment="1">
      <alignment horizontal="left" wrapText="1"/>
    </xf>
    <xf numFmtId="15" fontId="0" fillId="0" borderId="0" xfId="0" applyNumberFormat="1" applyAlignment="1">
      <alignment horizontal="center" vertical="center"/>
    </xf>
    <xf numFmtId="15" fontId="0" fillId="0" borderId="2" xfId="0" applyNumberFormat="1" applyBorder="1" applyAlignment="1">
      <alignment horizontal="center" vertical="center"/>
    </xf>
    <xf numFmtId="15" fontId="0" fillId="0" borderId="0" xfId="0" applyNumberFormat="1" applyAlignment="1">
      <alignment horizontal="center" vertical="center" wrapText="1"/>
    </xf>
    <xf numFmtId="0" fontId="0" fillId="0" borderId="3" xfId="0" applyBorder="1" applyAlignment="1">
      <alignment horizontal="left" vertical="top" wrapText="1"/>
    </xf>
    <xf numFmtId="15" fontId="9" fillId="0" borderId="0" xfId="0" applyNumberFormat="1" applyFont="1" applyAlignment="1">
      <alignment horizontal="center" vertical="center"/>
    </xf>
    <xf numFmtId="15" fontId="9" fillId="0" borderId="2" xfId="0" applyNumberFormat="1" applyFont="1" applyBorder="1" applyAlignment="1">
      <alignment horizontal="center" vertical="center"/>
    </xf>
    <xf numFmtId="4" fontId="0" fillId="0" borderId="0" xfId="1" applyNumberFormat="1" applyFont="1" applyFill="1" applyAlignment="1">
      <alignment vertical="center" wrapText="1"/>
    </xf>
    <xf numFmtId="43" fontId="0" fillId="0" borderId="0" xfId="1" applyFont="1" applyFill="1" applyAlignment="1">
      <alignment horizontal="right" wrapText="1"/>
    </xf>
    <xf numFmtId="43" fontId="0" fillId="0" borderId="0" xfId="1" applyFont="1" applyAlignment="1">
      <alignment horizontal="right"/>
    </xf>
    <xf numFmtId="0" fontId="0" fillId="0" borderId="8" xfId="0" applyBorder="1" applyAlignment="1">
      <alignment horizontal="left" vertical="center" wrapText="1"/>
    </xf>
    <xf numFmtId="10" fontId="0" fillId="0" borderId="8" xfId="0" applyNumberFormat="1" applyBorder="1" applyAlignment="1">
      <alignment horizontal="left" vertical="center"/>
    </xf>
    <xf numFmtId="10" fontId="2" fillId="0" borderId="8" xfId="3" applyNumberFormat="1" applyFont="1" applyFill="1" applyBorder="1" applyAlignment="1">
      <alignment horizontal="left" vertical="center"/>
    </xf>
    <xf numFmtId="0" fontId="0" fillId="0" borderId="9" xfId="0" applyBorder="1" applyAlignment="1">
      <alignment horizontal="left" vertical="center" wrapText="1"/>
    </xf>
    <xf numFmtId="0" fontId="0" fillId="0" borderId="10" xfId="0" applyBorder="1" applyAlignment="1">
      <alignment horizontal="left" vertical="center" wrapText="1"/>
    </xf>
    <xf numFmtId="0" fontId="15" fillId="0" borderId="10" xfId="0" applyFont="1" applyBorder="1" applyAlignment="1">
      <alignment horizontal="left" vertical="center" wrapText="1" readingOrder="1"/>
    </xf>
    <xf numFmtId="10" fontId="0" fillId="0" borderId="10" xfId="0" applyNumberFormat="1" applyBorder="1" applyAlignment="1">
      <alignment horizontal="left" vertical="center"/>
    </xf>
    <xf numFmtId="10" fontId="2" fillId="0" borderId="10" xfId="3" applyNumberFormat="1" applyFont="1" applyFill="1" applyBorder="1" applyAlignment="1">
      <alignment horizontal="left" vertical="center"/>
    </xf>
    <xf numFmtId="0" fontId="0" fillId="0" borderId="11" xfId="0" applyBorder="1" applyAlignment="1">
      <alignment horizontal="left" vertical="center" wrapText="1"/>
    </xf>
    <xf numFmtId="0" fontId="16" fillId="0" borderId="8" xfId="0" applyFont="1" applyBorder="1" applyAlignment="1">
      <alignment horizontal="left" vertical="center" wrapText="1"/>
    </xf>
    <xf numFmtId="0" fontId="0" fillId="0" borderId="12" xfId="0" applyBorder="1" applyAlignment="1">
      <alignment horizontal="left" vertical="center" wrapText="1"/>
    </xf>
    <xf numFmtId="4" fontId="13" fillId="0" borderId="13" xfId="0" applyNumberFormat="1" applyFont="1" applyBorder="1" applyAlignment="1">
      <alignment horizontal="right" vertical="center"/>
    </xf>
    <xf numFmtId="0" fontId="0" fillId="0" borderId="11" xfId="0" applyBorder="1" applyAlignment="1">
      <alignment horizontal="left" vertical="center"/>
    </xf>
    <xf numFmtId="0" fontId="0" fillId="0" borderId="14" xfId="0" applyBorder="1" applyAlignment="1">
      <alignment horizontal="left" vertical="center"/>
    </xf>
    <xf numFmtId="0" fontId="0" fillId="0" borderId="15" xfId="0" applyBorder="1" applyAlignment="1">
      <alignment horizontal="left" vertical="center" wrapText="1"/>
    </xf>
    <xf numFmtId="4" fontId="13" fillId="0" borderId="16" xfId="0" applyNumberFormat="1" applyFont="1" applyBorder="1" applyAlignment="1">
      <alignment horizontal="right" vertical="center"/>
    </xf>
    <xf numFmtId="0" fontId="0" fillId="0" borderId="17" xfId="0" applyBorder="1" applyAlignment="1">
      <alignment horizontal="left" vertical="center" wrapText="1"/>
    </xf>
    <xf numFmtId="0" fontId="16" fillId="0" borderId="18" xfId="0" applyFont="1" applyBorder="1" applyAlignment="1">
      <alignment horizontal="left" vertical="center" wrapText="1"/>
    </xf>
    <xf numFmtId="0" fontId="16" fillId="0" borderId="10" xfId="0" applyFont="1" applyBorder="1" applyAlignment="1">
      <alignment horizontal="left" vertical="center" wrapText="1"/>
    </xf>
    <xf numFmtId="0" fontId="0" fillId="0" borderId="19" xfId="0" applyBorder="1" applyAlignment="1">
      <alignment horizontal="left" vertical="center" wrapText="1"/>
    </xf>
    <xf numFmtId="4" fontId="13" fillId="0" borderId="18" xfId="0" applyNumberFormat="1" applyFont="1" applyBorder="1" applyAlignment="1">
      <alignment horizontal="right" vertical="center"/>
    </xf>
    <xf numFmtId="43" fontId="0" fillId="0" borderId="10" xfId="1" applyFont="1" applyFill="1" applyBorder="1" applyAlignment="1">
      <alignment horizontal="right" vertical="center" wrapText="1"/>
    </xf>
    <xf numFmtId="4" fontId="0" fillId="0" borderId="18" xfId="0" applyNumberFormat="1" applyBorder="1" applyAlignment="1">
      <alignment vertical="center" wrapText="1"/>
    </xf>
    <xf numFmtId="0" fontId="0" fillId="0" borderId="17" xfId="0" applyBorder="1" applyAlignment="1">
      <alignment horizontal="left" vertical="center"/>
    </xf>
    <xf numFmtId="15" fontId="9" fillId="0" borderId="0" xfId="0" applyNumberFormat="1" applyFont="1" applyAlignment="1">
      <alignment horizontal="left" vertical="center"/>
    </xf>
    <xf numFmtId="15" fontId="0" fillId="12" borderId="0" xfId="0" applyNumberFormat="1" applyFill="1" applyAlignment="1">
      <alignment horizontal="center" vertical="center"/>
    </xf>
    <xf numFmtId="15" fontId="0" fillId="0" borderId="0" xfId="1" applyNumberFormat="1" applyFont="1" applyFill="1" applyAlignment="1">
      <alignment horizontal="left" vertical="center"/>
    </xf>
    <xf numFmtId="43" fontId="0" fillId="0" borderId="8" xfId="1" applyFont="1" applyFill="1" applyBorder="1" applyAlignment="1">
      <alignment horizontal="right" vertical="center" wrapText="1"/>
    </xf>
    <xf numFmtId="43" fontId="0" fillId="0" borderId="9" xfId="1" applyFont="1" applyFill="1" applyBorder="1" applyAlignment="1">
      <alignment horizontal="right" vertical="center" wrapText="1"/>
    </xf>
    <xf numFmtId="43" fontId="14" fillId="0" borderId="8" xfId="1" applyFont="1" applyFill="1" applyBorder="1" applyAlignment="1">
      <alignment horizontal="right" vertical="center" wrapText="1"/>
    </xf>
    <xf numFmtId="0" fontId="17" fillId="0" borderId="0" xfId="0" applyFont="1" applyAlignment="1">
      <alignment horizontal="left" vertical="center" wrapText="1"/>
    </xf>
    <xf numFmtId="4" fontId="13" fillId="0" borderId="0" xfId="0" applyNumberFormat="1" applyFont="1" applyAlignment="1">
      <alignment vertical="center" wrapText="1"/>
    </xf>
    <xf numFmtId="0" fontId="4" fillId="0" borderId="0" xfId="2" applyBorder="1" applyAlignment="1">
      <alignment horizontal="center" vertical="center"/>
    </xf>
    <xf numFmtId="0" fontId="4" fillId="0" borderId="20" xfId="2" applyBorder="1" applyAlignment="1">
      <alignment horizontal="center" vertical="center"/>
    </xf>
    <xf numFmtId="43" fontId="2" fillId="0" borderId="21" xfId="1" applyFont="1" applyFill="1" applyBorder="1" applyAlignment="1">
      <alignment horizontal="center" vertical="center"/>
    </xf>
    <xf numFmtId="14" fontId="0" fillId="0" borderId="0" xfId="0" applyNumberFormat="1" applyAlignment="1">
      <alignment horizontal="left" vertical="center" wrapText="1"/>
    </xf>
    <xf numFmtId="14" fontId="0" fillId="0" borderId="2" xfId="0" applyNumberFormat="1" applyBorder="1" applyAlignment="1">
      <alignment horizontal="left" vertical="center"/>
    </xf>
    <xf numFmtId="0" fontId="4" fillId="0" borderId="0" xfId="2" applyFill="1" applyAlignment="1">
      <alignment horizontal="left" vertical="center"/>
    </xf>
    <xf numFmtId="0" fontId="0" fillId="0" borderId="0" xfId="0" applyNumberFormat="1" applyAlignment="1">
      <alignment horizontal="left" vertical="center"/>
    </xf>
    <xf numFmtId="0" fontId="0" fillId="4" borderId="0" xfId="0" applyNumberFormat="1" applyFill="1" applyAlignment="1">
      <alignment horizontal="left" vertical="center"/>
    </xf>
    <xf numFmtId="0" fontId="0" fillId="12" borderId="0" xfId="0" applyNumberFormat="1" applyFill="1" applyAlignment="1">
      <alignment horizontal="left" vertical="center"/>
    </xf>
    <xf numFmtId="43" fontId="0" fillId="0" borderId="0" xfId="1" applyNumberFormat="1" applyFont="1" applyAlignment="1">
      <alignment horizontal="right" vertical="center"/>
    </xf>
    <xf numFmtId="0" fontId="0" fillId="12" borderId="0" xfId="0" applyFill="1" applyAlignment="1">
      <alignment horizontal="left" vertical="center" wrapText="1"/>
    </xf>
    <xf numFmtId="0" fontId="0" fillId="12" borderId="3" xfId="0" applyFill="1" applyBorder="1" applyAlignment="1">
      <alignment horizontal="left" vertical="center" wrapText="1"/>
    </xf>
  </cellXfs>
  <cellStyles count="5">
    <cellStyle name="Comma" xfId="1" builtinId="3"/>
    <cellStyle name="Comma 2" xfId="4" xr:uid="{11CFCAAF-8EA4-434D-881E-C49BA852B074}"/>
    <cellStyle name="Hyperlink" xfId="2" builtinId="8"/>
    <cellStyle name="Normal" xfId="0" builtinId="0"/>
    <cellStyle name="Percent" xfId="3" builtinId="5"/>
  </cellStyles>
  <dxfs count="8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auto="1"/>
        <name val="Calibri"/>
        <family val="2"/>
        <scheme val="minor"/>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left/>
        <right/>
        <top style="thin">
          <color theme="4" tint="0.39997558519241921"/>
        </top>
        <bottom/>
      </border>
    </dxf>
    <dxf>
      <font>
        <b val="0"/>
        <i val="0"/>
        <strike val="0"/>
        <condense val="0"/>
        <extend val="0"/>
        <outline val="0"/>
        <shadow val="0"/>
        <u val="none"/>
        <vertAlign val="baseline"/>
        <sz val="11"/>
        <color auto="1"/>
        <name val="Calibri"/>
        <family val="2"/>
        <scheme val="minor"/>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auto="1"/>
        <name val="Calibri"/>
        <family val="2"/>
        <scheme val="minor"/>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auto="1"/>
        <name val="Calibri"/>
        <family val="2"/>
        <scheme val="minor"/>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auto="1"/>
        <name val="Calibri"/>
        <family val="2"/>
        <scheme val="minor"/>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auto="1"/>
        <name val="Calibri"/>
        <family val="2"/>
        <scheme val="minor"/>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auto="1"/>
        <name val="Calibri"/>
        <family val="2"/>
        <scheme val="minor"/>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auto="1"/>
        <name val="Calibri"/>
        <family val="2"/>
        <scheme val="minor"/>
      </font>
      <numFmt numFmtId="0" formatCode="General"/>
      <fill>
        <patternFill patternType="solid">
          <fgColor rgb="FFDDEBF7"/>
          <bgColor rgb="FFDDEBF7"/>
        </patternFill>
      </fill>
      <alignment horizontal="left" vertical="center" textRotation="0" wrapText="0" indent="0" justifyLastLine="0" shrinkToFit="0" readingOrder="0"/>
      <border diagonalUp="0" diagonalDown="0">
        <left/>
        <right/>
        <top style="thin">
          <color theme="4" tint="0.39997558519241921"/>
        </top>
        <bottom/>
      </border>
    </dxf>
    <dxf>
      <font>
        <b val="0"/>
        <i val="0"/>
        <strike val="0"/>
        <condense val="0"/>
        <extend val="0"/>
        <outline val="0"/>
        <shadow val="0"/>
        <u val="none"/>
        <vertAlign val="baseline"/>
        <sz val="11"/>
        <color auto="1"/>
        <name val="Calibri"/>
        <family val="2"/>
        <scheme val="minor"/>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auto="1"/>
        <name val="Calibri"/>
        <family val="2"/>
        <scheme val="minor"/>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outline="0">
        <left/>
        <right/>
        <top style="thin">
          <color theme="4" tint="0.39997558519241921"/>
        </top>
        <bottom/>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1"/>
        <color auto="1"/>
        <name val="Calibri"/>
        <family val="2"/>
        <scheme val="minor"/>
      </font>
      <fill>
        <patternFill patternType="solid">
          <fgColor theme="4" tint="0.79998168889431442"/>
          <bgColor theme="4" tint="0.79998168889431442"/>
        </patternFill>
      </fill>
      <alignment horizontal="left" vertical="center"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vertical="center" textRotation="0" wrapText="0" indent="0" justifyLastLine="0" shrinkToFit="0" readingOrder="0"/>
    </dxf>
    <dxf>
      <fill>
        <patternFill patternType="solid">
          <fgColor indexed="64"/>
          <bgColor rgb="FFFF9FC6"/>
        </patternFill>
      </fill>
      <alignment horizontal="general" vertical="center" textRotation="0" wrapText="0" indent="0" justifyLastLine="0" shrinkToFit="0" readingOrder="0"/>
    </dxf>
    <dxf>
      <fill>
        <patternFill patternType="solid">
          <fgColor indexed="64"/>
          <bgColor rgb="FFFF9FC6"/>
        </patternFill>
      </fill>
      <alignment horizontal="general" vertical="center" textRotation="0" wrapText="0" indent="0" justifyLastLine="0" shrinkToFit="0" readingOrder="0"/>
    </dxf>
    <dxf>
      <fill>
        <patternFill patternType="solid">
          <fgColor indexed="64"/>
          <bgColor rgb="FFFF9FC6"/>
        </patternFill>
      </fill>
      <alignment horizontal="general" vertical="center" textRotation="0" wrapText="0" indent="0" justifyLastLine="0" shrinkToFit="0" readingOrder="0"/>
    </dxf>
    <dxf>
      <numFmt numFmtId="0" formatCode="General"/>
      <fill>
        <patternFill patternType="solid">
          <fgColor indexed="64"/>
          <bgColor rgb="FFFF9FC6"/>
        </patternFill>
      </fill>
      <alignment horizontal="general" vertical="center" textRotation="0" wrapText="0" indent="0" justifyLastLine="0" shrinkToFit="0" readingOrder="0"/>
    </dxf>
    <dxf>
      <fill>
        <patternFill patternType="solid">
          <fgColor indexed="64"/>
          <bgColor rgb="FFFF9FC6"/>
        </patternFill>
      </fill>
      <alignment horizontal="general" vertical="center" textRotation="0" wrapText="0" indent="0" justifyLastLine="0" shrinkToFit="0" readingOrder="0"/>
    </dxf>
    <dxf>
      <numFmt numFmtId="35" formatCode="_-* #,##0.00_-;\-* #,##0.00_-;_-* &quot;-&quot;??_-;_-@_-"/>
      <fill>
        <patternFill patternType="solid">
          <fgColor indexed="64"/>
          <bgColor rgb="FFFF9FC6"/>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alignment horizontal="right" vertical="center" textRotation="0" wrapText="0" indent="0" justifyLastLine="0" shrinkToFit="0" readingOrder="0"/>
    </dxf>
    <dxf>
      <numFmt numFmtId="35" formatCode="_-* #,##0.00_-;\-* #,##0.00_-;_-* &quot;-&quot;??_-;_-@_-"/>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numFmt numFmtId="35" formatCode="_-* #,##0.00_-;\-* #,##0.00_-;_-* &quot;-&quot;??_-;_-@_-"/>
      <alignment horizontal="right" vertical="center" textRotation="0" wrapText="0" indent="0" justifyLastLine="0" shrinkToFit="0" readingOrder="0"/>
    </dxf>
    <dxf>
      <alignment horizontal="right" vertical="center" textRotation="0" wrapText="0" indent="0" justifyLastLine="0" shrinkToFit="0" readingOrder="0"/>
    </dxf>
    <dxf>
      <numFmt numFmtId="4" formatCode="#,##0.00"/>
      <alignment horizontal="right" vertical="center" textRotation="0" wrapText="0" indent="0" justifyLastLine="0" shrinkToFit="0" readingOrder="0"/>
    </dxf>
    <dxf>
      <fill>
        <patternFill patternType="solid">
          <fgColor indexed="64"/>
          <bgColor rgb="FFFF9FC6"/>
        </patternFill>
      </fill>
      <alignment horizontal="left" vertical="center" textRotation="0" wrapText="0" indent="0" justifyLastLine="0" shrinkToFit="0" readingOrder="0"/>
      <border diagonalUp="0" diagonalDown="0" outline="0">
        <left/>
        <right style="medium">
          <color rgb="FFFFFF00"/>
        </right>
        <top/>
        <bottom/>
      </border>
    </dxf>
    <dxf>
      <fill>
        <patternFill patternType="solid">
          <fgColor indexed="64"/>
          <bgColor rgb="FFFF9FC6"/>
        </patternFill>
      </fill>
      <alignment horizontal="left" vertical="center" textRotation="0" wrapText="0" indent="0" justifyLastLine="0" shrinkToFit="0" readingOrder="0"/>
    </dxf>
    <dxf>
      <fill>
        <patternFill patternType="solid">
          <fgColor indexed="64"/>
          <bgColor rgb="FFFF9FC6"/>
        </patternFill>
      </fill>
      <alignment horizontal="left" vertical="center" textRotation="0" wrapText="0" indent="0" justifyLastLine="0" shrinkToFit="0" readingOrder="0"/>
    </dxf>
    <dxf>
      <numFmt numFmtId="20" formatCode="dd\-mmm\-yy"/>
      <fill>
        <patternFill patternType="solid">
          <fgColor indexed="64"/>
          <bgColor rgb="FFFF9FC6"/>
        </patternFill>
      </fill>
      <alignment horizontal="left" vertical="center" textRotation="0" wrapText="0" indent="0" justifyLastLine="0" shrinkToFit="0" readingOrder="0"/>
      <border diagonalUp="0" diagonalDown="0" outline="0">
        <left/>
        <right style="medium">
          <color rgb="FFFF0000"/>
        </right>
        <top/>
        <bottom/>
      </border>
    </dxf>
    <dxf>
      <numFmt numFmtId="20" formatCode="dd\-mmm\-yy"/>
      <fill>
        <patternFill patternType="solid">
          <fgColor indexed="64"/>
          <bgColor rgb="FFFF9FC6"/>
        </patternFill>
      </fill>
      <alignment horizontal="left" vertical="center" textRotation="0" wrapText="0" indent="0" justifyLastLine="0" shrinkToFit="0" readingOrder="0"/>
    </dxf>
    <dxf>
      <numFmt numFmtId="20" formatCode="dd\-mmm\-yy"/>
      <fill>
        <patternFill patternType="solid">
          <fgColor indexed="64"/>
          <bgColor rgb="FFFF9FC6"/>
        </patternFill>
      </fill>
      <alignment horizontal="left" vertical="center" textRotation="0" wrapText="0" indent="0" justifyLastLine="0" shrinkToFit="0" readingOrder="0"/>
    </dxf>
    <dxf>
      <numFmt numFmtId="20" formatCode="dd\-mmm\-yy"/>
      <fill>
        <patternFill patternType="solid">
          <fgColor indexed="64"/>
          <bgColor rgb="FFFF9FC6"/>
        </patternFill>
      </fill>
      <alignment horizontal="left" vertical="center" textRotation="0" wrapText="0" indent="0" justifyLastLine="0" shrinkToFit="0" readingOrder="0"/>
    </dxf>
    <dxf>
      <fill>
        <patternFill patternType="solid">
          <fgColor indexed="64"/>
          <bgColor rgb="FFFF9FC6"/>
        </patternFill>
      </fill>
      <alignment horizontal="left" vertical="center" textRotation="0" wrapText="0" indent="0" justifyLastLine="0" shrinkToFit="0" readingOrder="0"/>
      <border diagonalUp="0" diagonalDown="0" outline="0">
        <left style="medium">
          <color rgb="FFFF0000"/>
        </left>
        <right/>
        <top/>
        <bottom/>
      </border>
    </dxf>
    <dxf>
      <numFmt numFmtId="14" formatCode="0.00%"/>
      <alignment horizontal="left" vertical="center" textRotation="0" wrapText="0" indent="0" justifyLastLine="0" shrinkToFit="0" readingOrder="0"/>
    </dxf>
    <dxf>
      <numFmt numFmtId="14" formatCode="0.00%"/>
      <fill>
        <patternFill patternType="solid">
          <fgColor indexed="64"/>
          <bgColor rgb="FFFF9FC6"/>
        </patternFill>
      </fill>
      <alignment horizontal="left" vertical="center" textRotation="0" wrapText="0" indent="0" justifyLastLine="0" shrinkToFit="0" readingOrder="0"/>
    </dxf>
    <dxf>
      <numFmt numFmtId="14" formatCode="0.00%"/>
      <fill>
        <patternFill patternType="solid">
          <fgColor indexed="64"/>
          <bgColor rgb="FFFF9FC6"/>
        </patternFill>
      </fill>
      <alignment horizontal="left" vertical="center" textRotation="0" wrapText="0" indent="0" justifyLastLine="0" shrinkToFit="0" readingOrder="0"/>
    </dxf>
    <dxf>
      <fill>
        <patternFill patternType="solid">
          <fgColor indexed="64"/>
          <bgColor rgb="FFFF9FC6"/>
        </patternFill>
      </fill>
      <alignment horizontal="left" vertical="center" textRotation="0" wrapText="0" indent="0" justifyLastLine="0" shrinkToFit="0" readingOrder="0"/>
    </dxf>
    <dxf>
      <fill>
        <patternFill patternType="solid">
          <fgColor indexed="64"/>
          <bgColor rgb="FFFF9FC6"/>
        </patternFill>
      </fill>
      <alignment horizontal="left" vertical="center" textRotation="0" wrapText="0" indent="0" justifyLastLine="0" shrinkToFit="0" readingOrder="0"/>
    </dxf>
    <dxf>
      <numFmt numFmtId="1" formatCode="0"/>
      <fill>
        <patternFill patternType="solid">
          <fgColor indexed="64"/>
          <bgColor rgb="FFFF9FC6"/>
        </patternFill>
      </fill>
      <alignment horizontal="left" vertical="center" textRotation="0" wrapText="0" indent="0" justifyLastLine="0" shrinkToFit="0" readingOrder="0"/>
    </dxf>
    <dxf>
      <numFmt numFmtId="0" formatCode="General"/>
      <fill>
        <patternFill patternType="solid">
          <fgColor indexed="64"/>
          <bgColor rgb="FFFF9FC6"/>
        </patternFill>
      </fill>
      <alignment horizontal="left" vertical="center" textRotation="0" wrapText="0" indent="0" justifyLastLine="0" shrinkToFit="0" readingOrder="0"/>
    </dxf>
    <dxf>
      <numFmt numFmtId="1" formatCode="0"/>
      <fill>
        <patternFill patternType="solid">
          <fgColor indexed="64"/>
          <bgColor rgb="FFFF9FC6"/>
        </patternFill>
      </fill>
      <alignment horizontal="left" vertical="center" textRotation="0" wrapText="0" indent="0" justifyLastLine="0" shrinkToFit="0" readingOrder="0"/>
    </dxf>
    <dxf>
      <numFmt numFmtId="0" formatCode="General"/>
      <fill>
        <patternFill patternType="solid">
          <fgColor indexed="64"/>
          <bgColor theme="2" tint="-9.9978637043366805E-2"/>
        </patternFill>
      </fil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0" formatCode="dd\-mmm\-yy"/>
      <fill>
        <patternFill patternType="solid">
          <fgColor indexed="64"/>
          <bgColor rgb="FFFFCDE1"/>
        </patternFill>
      </fill>
      <alignment horizontal="left" vertical="center" textRotation="0" wrapText="0" indent="0" justifyLastLine="0" shrinkToFit="0" readingOrder="0"/>
    </dxf>
    <dxf>
      <alignment horizontal="general"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numFmt numFmtId="35" formatCode="_-* #,##0.00_-;\-* #,##0.00_-;_-* &quot;-&quot;??_-;_-@_-"/>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35" formatCode="_-* #,##0.00_-;\-* #,##0.00_-;_-* &quot;-&quot;??_-;_-@_-"/>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color rgb="FFFF0000"/>
      </font>
      <alignment horizontal="left" vertical="center" textRotation="0" wrapText="0" indent="0" justifyLastLine="0" shrinkToFit="0" readingOrder="0"/>
    </dxf>
    <dxf>
      <font>
        <color rgb="FFFF0000"/>
      </font>
      <alignment horizontal="left" vertical="center" textRotation="0" wrapText="0" indent="0" justifyLastLine="0" shrinkToFit="0" readingOrder="0"/>
    </dxf>
    <dxf>
      <font>
        <color rgb="FFFF0000"/>
      </font>
      <alignment horizontal="left" vertical="center" textRotation="0" wrapText="0" indent="0" justifyLastLine="0" shrinkToFit="0" readingOrder="0"/>
    </dxf>
    <dxf>
      <font>
        <color rgb="FFFF0000"/>
      </font>
      <alignment horizontal="left" vertical="center" textRotation="0" wrapText="0" indent="0" justifyLastLine="0" shrinkToFit="0" readingOrder="0"/>
    </dxf>
    <dxf>
      <font>
        <color rgb="FFFF0000"/>
      </font>
      <alignment horizontal="left" vertical="center" textRotation="0" wrapText="0" indent="0" justifyLastLine="0" shrinkToFit="0" readingOrder="0"/>
    </dxf>
    <dxf>
      <font>
        <color rgb="FFFF0000"/>
      </font>
      <alignment horizontal="left" vertical="center" textRotation="0" wrapText="0" indent="0" justifyLastLine="0" shrinkToFit="0" readingOrder="0"/>
    </dxf>
    <dxf>
      <font>
        <b val="0"/>
        <i val="0"/>
        <strike val="0"/>
        <condense val="0"/>
        <extend val="0"/>
        <outline val="0"/>
        <shadow val="0"/>
        <u val="none"/>
        <vertAlign val="baseline"/>
        <sz val="11"/>
        <color rgb="FFFF0000"/>
        <name val="Calibri"/>
        <family val="2"/>
        <scheme val="minor"/>
      </font>
      <numFmt numFmtId="164" formatCode="_-* #,##0_-;\-* #,##0_-;_-* &quot;-&quot;??_-;_-@_-"/>
      <alignment horizontal="left" vertical="center" textRotation="0" wrapText="0" indent="0" justifyLastLine="0" shrinkToFit="0" readingOrder="0"/>
    </dxf>
    <dxf>
      <font>
        <color rgb="FFFF0000"/>
      </font>
      <alignment horizontal="left" vertical="center" textRotation="0" wrapText="0" indent="0" justifyLastLine="0" shrinkToFit="0" readingOrder="0"/>
    </dxf>
    <dxf>
      <font>
        <color rgb="FFFF0000"/>
      </font>
      <alignment horizontal="left" vertical="center" textRotation="0" wrapText="0" indent="0" justifyLastLine="0" shrinkToFit="0" readingOrder="0"/>
    </dxf>
    <dxf>
      <font>
        <color rgb="FFFF0000"/>
      </font>
      <alignment horizontal="left" vertical="center" textRotation="0" wrapText="0" indent="0" justifyLastLine="0" shrinkToFit="0" readingOrder="0"/>
    </dxf>
    <dxf>
      <font>
        <color rgb="FFFF0000"/>
      </font>
      <numFmt numFmtId="22" formatCode="mmm\-yy"/>
      <alignment horizontal="left" vertical="center" textRotation="0" wrapText="0" indent="0" justifyLastLine="0" shrinkToFit="0" readingOrder="0"/>
    </dxf>
    <dxf>
      <font>
        <color rgb="FFFF0000"/>
      </font>
      <numFmt numFmtId="22" formatCode="mmm\-yy"/>
      <alignment horizontal="left" vertical="center" textRotation="0" wrapText="0" indent="0" justifyLastLine="0" shrinkToFit="0" readingOrder="0"/>
    </dxf>
    <dxf>
      <font>
        <color rgb="FFFF0000"/>
      </font>
      <alignment horizontal="left" vertical="center" textRotation="0" wrapText="0" indent="0" justifyLastLine="0" shrinkToFit="0" readingOrder="0"/>
    </dxf>
    <dxf>
      <font>
        <color rgb="FFFF0000"/>
      </font>
      <alignment horizontal="left" vertical="center" textRotation="0" wrapText="0" indent="0" justifyLastLine="0" shrinkToFit="0" readingOrder="0"/>
    </dxf>
    <dxf>
      <font>
        <color rgb="FFFF0000"/>
      </font>
      <alignment horizontal="left" vertical="center" textRotation="0" wrapText="0" indent="0" justifyLastLine="0" shrinkToFit="0" readingOrder="0"/>
    </dxf>
    <dxf>
      <font>
        <color rgb="FFFF0000"/>
      </font>
      <alignment horizontal="left" vertical="center" textRotation="0" wrapText="0" indent="0" justifyLastLine="0" shrinkToFit="0" readingOrder="0"/>
    </dxf>
    <dxf>
      <font>
        <color rgb="FFFF0000"/>
      </font>
      <alignment horizontal="left" vertical="center" textRotation="0" wrapText="0" indent="0" justifyLastLine="0" shrinkToFit="0" readingOrder="0"/>
    </dxf>
    <dxf>
      <font>
        <color rgb="FFFF0000"/>
      </font>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font>
        <color rgb="FFFF0000"/>
      </font>
      <alignment horizontal="left" vertical="center" textRotation="0" wrapText="0" indent="0" justifyLastLine="0" shrinkToFit="0" readingOrder="0"/>
    </dxf>
    <dxf>
      <font>
        <color rgb="FFFF0000"/>
      </font>
      <alignment horizontal="left" vertical="center" textRotation="0" wrapText="0" indent="0" justifyLastLine="0" shrinkToFit="0" readingOrder="0"/>
    </dxf>
    <dxf>
      <alignment horizontal="left"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Rheydel Monge Reorizo" id="{DA2AE0D7-5705-462F-8EBF-A38FB35B5089}" userId="S::rheydel.r@sevene.ae::f3fde4da-f4d0-4998-8651-f56e0c82186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872639-9693-4FE5-A15A-234FD1FECAB5}" name="Table1" displayName="Table1" ref="A1:AE47" totalsRowShown="0" headerRowDxfId="88" dataDxfId="87">
  <autoFilter ref="A1:AE47" xr:uid="{87872639-9693-4FE5-A15A-234FD1FECAB5}"/>
  <tableColumns count="31">
    <tableColumn id="1" xr3:uid="{B218A4C4-94C2-476C-888A-6694C4C202EA}" name="S.No." dataDxfId="86"/>
    <tableColumn id="2" xr3:uid="{FE49961C-7466-49C5-B44B-B0C0BC94232A}" name="Project ID" dataDxfId="85"/>
    <tableColumn id="26" xr3:uid="{7E0C3F28-7746-4CBA-AE0E-992EF8736EA5}" name="Project Name" dataDxfId="84"/>
    <tableColumn id="3" xr3:uid="{92D71A4A-0A84-45E5-AEE6-082318061B88}" name="Region" dataDxfId="83"/>
    <tableColumn id="4" xr3:uid="{360B21C2-2AB7-4688-9E94-749B9BF2D7FF}" name="District" dataDxfId="82"/>
    <tableColumn id="5" xr3:uid="{B0F7C1D0-45D6-4DA4-8B70-F22D4FE1ACB6}" name="Sector" dataDxfId="81"/>
    <tableColumn id="6" xr3:uid="{9FE971E8-D640-4E48-9BBD-9F83ECA38290}" name="Plot" dataDxfId="80"/>
    <tableColumn id="22" xr3:uid="{83615C8F-B987-4A67-B030-4566713CC1E1}" name="Latitude" dataDxfId="79"/>
    <tableColumn id="21" xr3:uid="{F8A49B22-C493-4220-831E-707ACDBB2C43}" name="Longitude" dataDxfId="78"/>
    <tableColumn id="27" xr3:uid="{39BA8B30-8E58-4D4C-8AC6-231C73FB3177}" name="Commencement Date" dataDxfId="77"/>
    <tableColumn id="29" xr3:uid="{35AEF1B4-0A56-4C34-818B-1AAD51A1532F}" name="Completion Date" dataDxfId="76"/>
    <tableColumn id="30" xr3:uid="{AF00A37E-3B3F-4BA8-AD9B-7BA8392EA234}" name="18 Projects" dataDxfId="75"/>
    <tableColumn id="7" xr3:uid="{944EC5A8-877A-4266-BB89-D566509D2662}" name="Facility Type Primary" dataDxfId="74"/>
    <tableColumn id="8" xr3:uid="{0358F8B0-ADF1-486D-8B2C-35D8BF0D75BD}" name="Capacity" dataDxfId="73"/>
    <tableColumn id="9" xr3:uid="{827C59DA-3EC3-462A-AC82-0A8C6B24727B}" name="Built-up Area" dataDxfId="72" dataCellStyle="Comma"/>
    <tableColumn id="12" xr3:uid="{5C87A701-0D45-4154-BFC3-F3BF2401D910}" name="Design Consultant" dataDxfId="71"/>
    <tableColumn id="13" xr3:uid="{6074DF03-5706-43DD-813A-E1698115B915}" name="Supervision Consultant" dataDxfId="70"/>
    <tableColumn id="14" xr3:uid="{7B2AF865-0C5F-4698-8C1E-7026AA507127}" name="Contractor" dataDxfId="69"/>
    <tableColumn id="15" xr3:uid="{52E7A339-BA81-4F15-9380-2B7EE2D35A04}" name="Project Stage" dataDxfId="68"/>
    <tableColumn id="18" xr3:uid="{47BE9A88-0780-4919-9182-B03784B2C152}" name="Type of Construction" dataDxfId="67"/>
    <tableColumn id="31" xr3:uid="{640E4968-6B73-4361-871F-A9B6DC6DA549}" name="Procurement Route" dataDxfId="66"/>
    <tableColumn id="10" xr3:uid="{3861BD14-E4DE-4B0D-945F-A8AB7595BB24}" name="Construction Contract Amount" dataDxfId="65"/>
    <tableColumn id="11" xr3:uid="{26EAD748-0678-4F76-ACB0-83C58C2DEA69}" name="Cumulative Variations" dataDxfId="64" dataCellStyle="Comma"/>
    <tableColumn id="16" xr3:uid="{78AB640B-3377-421E-AF11-0927B60D2BE8}" name="Final Contract Value" dataDxfId="63"/>
    <tableColumn id="17" xr3:uid="{5357DB63-3C73-4EC9-B7F8-ECD1BF951A81}" name="Supervision Contract amount" dataDxfId="62" dataCellStyle="Comma"/>
    <tableColumn id="19" xr3:uid="{48072248-96BF-44D2-A49D-B7526844E288}" name="Authority Cost" dataDxfId="61" dataCellStyle="Comma"/>
    <tableColumn id="20" xr3:uid="{5CA454F3-EF34-4AFB-8F14-B288101734DF}" name="Total Poject Cost" dataDxfId="60" dataCellStyle="Comma"/>
    <tableColumn id="28" xr3:uid="{3A517F72-7691-4888-875D-FD76D32D854E}" name="Certified till Date" dataDxfId="59" dataCellStyle="Comma"/>
    <tableColumn id="23" xr3:uid="{73A000BF-B58A-44BC-83C5-A69FFD6BFE20}" name="Image 1" dataDxfId="58" dataCellStyle="Comma"/>
    <tableColumn id="24" xr3:uid="{9081C0FE-BA86-43BE-9416-9D69838537D3}" name="Image 2" dataDxfId="57" dataCellStyle="Comma"/>
    <tableColumn id="25" xr3:uid="{E2FDACE6-DDCD-41FD-801F-C1D9D1041E71}" name="Image 3" dataDxfId="56" dataCellStyle="Comm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148EAE6-133C-49B6-9B1E-2A9178957765}" name="Table2" displayName="Table2" ref="A1:AH862" totalsRowShown="0" dataDxfId="55" dataCellStyle="Hyperlink">
  <autoFilter ref="A1:AH862" xr:uid="{B148EAE6-133C-49B6-9B1E-2A9178957765}"/>
  <sortState xmlns:xlrd2="http://schemas.microsoft.com/office/spreadsheetml/2017/richdata2" ref="A2:AH636">
    <sortCondition ref="A1:A810"/>
  </sortState>
  <tableColumns count="34">
    <tableColumn id="1" xr3:uid="{AF7C0879-B9F2-4603-AF6C-F64A586FC0D0}" name="Reporting Week" dataDxfId="54"/>
    <tableColumn id="2" xr3:uid="{C655473C-2897-4545-87B5-FDB8E749C932}" name="Project ID" dataDxfId="53"/>
    <tableColumn id="31" xr3:uid="{5AEAA293-412D-401A-B38A-AD2C472A3581}" name="Plot" dataDxfId="52"/>
    <tableColumn id="30" xr3:uid="{6878770E-570F-435B-8D30-D20BECC4384B}" name="Actual ID" dataDxfId="51">
      <calculatedColumnFormula array="1">_xlfn.XLOOKUP(1, (Table1[Project Name]=Table2[[#This Row],[Project ID]])*(Table1[Plot]=Table2[[#This Row],[Plot]]), Table1[Project ID])</calculatedColumnFormula>
    </tableColumn>
    <tableColumn id="3" xr3:uid="{E2CAA3C2-4440-4172-8E18-477182384087}" name="Time Elapsed" dataDxfId="50"/>
    <tableColumn id="4" xr3:uid="{45E57FA0-1281-44AE-81BD-D1D5A9C26DFB}" name="Time Remaining" dataDxfId="49"/>
    <tableColumn id="5" xr3:uid="{DA2BAB27-A765-4CC0-934E-FA5C19193835}" name="Total Duration" dataDxfId="48">
      <calculatedColumnFormula>Table2[[#This Row],[Time Elapsed]]+Table2[[#This Row],[Time Remaining]]</calculatedColumnFormula>
    </tableColumn>
    <tableColumn id="6" xr3:uid="{E9D23A2F-D6E3-493E-B9BA-3AF56947FBA9}" name="Key Achievements" dataDxfId="47"/>
    <tableColumn id="7" xr3:uid="{D93DE194-E1AC-4C76-8642-2718C214EB62}" name="Key Decisions" dataDxfId="46"/>
    <tableColumn id="8" xr3:uid="{4C47EE97-B033-4BD6-BFDF-8A5751B05226}" name="Plan %" dataDxfId="45"/>
    <tableColumn id="9" xr3:uid="{24FE0C28-7199-4606-91D4-1832BA0047B0}" name="Actual %" dataDxfId="44" dataCellStyle="Percent"/>
    <tableColumn id="10" xr3:uid="{C6BDE9A2-11A9-4A84-8F43-B384B8DB7AD3}" name="Variance %" dataDxfId="43">
      <calculatedColumnFormula>Table2[[#This Row],[Actual %]]-Table2[[#This Row],[Plan %]]</calculatedColumnFormula>
    </tableColumn>
    <tableColumn id="11" xr3:uid="{57D0C19B-7546-4DED-A3DC-E102EAABF48A}" name="Milestones" dataDxfId="42"/>
    <tableColumn id="12" xr3:uid="{84812763-F6B7-4402-9A46-5A4BBC91C11E}" name="Planned Date" dataDxfId="41"/>
    <tableColumn id="13" xr3:uid="{AAAFAFF9-171D-49D0-82FA-AA07896240E3}" name="Actual Date" dataDxfId="40"/>
    <tableColumn id="14" xr3:uid="{0184192D-7A5C-4EAD-860A-EDF3688BD59F}" name="Forecast  Date" dataDxfId="39"/>
    <tableColumn id="15" xr3:uid="{06B16E98-0AC7-4908-ACC8-D7BBD4873EB7}" name="Data Date" dataDxfId="38"/>
    <tableColumn id="16" xr3:uid="{F84A1B84-4A82-475F-9D89-A7A715DFC2C2}" name="Risks &amp; Challenges" dataDxfId="37"/>
    <tableColumn id="17" xr3:uid="{5FDC06BF-8E5A-4328-BCBE-8C3178D092A5}" name="Mitigation Measures" dataDxfId="36"/>
    <tableColumn id="18" xr3:uid="{6371EA79-C19E-4CFC-A9C8-3B83A3151F2E}" name="4 Week Look Ahead Activities" dataDxfId="35"/>
    <tableColumn id="19" xr3:uid="{2934AF94-A07C-4D71-83B4-C5978B5BEAA0}" name="Construction Contract Amount" dataDxfId="34"/>
    <tableColumn id="20" xr3:uid="{562D6E5E-60FA-4A72-BF5C-0DBCF97D723E}" name="Cumulative Variations" dataDxfId="33" dataCellStyle="Comma"/>
    <tableColumn id="21" xr3:uid="{A525141C-5C91-45A3-AEEF-D998AB8D10C1}" name="Final Contract Value" dataDxfId="32" dataCellStyle="Comma">
      <calculatedColumnFormula>Table2[[#This Row],[Construction Contract Amount]]+Table2[[#This Row],[Cumulative Variations]]</calculatedColumnFormula>
    </tableColumn>
    <tableColumn id="22" xr3:uid="{0CEADE35-730B-4822-A281-10A082BBEE1D}" name="Supervision Contract amount" dataDxfId="31" dataCellStyle="Comma"/>
    <tableColumn id="23" xr3:uid="{68C35E82-E8DA-40CF-926F-5808F289DAD1}" name="Authority Cost" dataDxfId="30" dataCellStyle="Comma"/>
    <tableColumn id="24" xr3:uid="{60584870-DDB9-44C3-9041-4B72026EF51B}" name="Total Poject Cost" dataDxfId="29" dataCellStyle="Comma">
      <calculatedColumnFormula>Table2[[#This Row],[Final Contract Value]]+Table2[[#This Row],[Supervision Contract amount]]+Table2[[#This Row],[Authority Cost]]</calculatedColumnFormula>
    </tableColumn>
    <tableColumn id="25" xr3:uid="{550D8318-FC1C-4AFD-9D75-FC2CC067407A}" name="Certified till Date" dataDxfId="28" dataCellStyle="Comma"/>
    <tableColumn id="29" xr3:uid="{AD91008D-EBA2-4AA5-A8C4-0B3FA4A9F319}" name="Supervision Certified Amount" dataDxfId="27" dataCellStyle="Comma"/>
    <tableColumn id="33" xr3:uid="{4C50A0A3-A1C8-4714-AA9C-D8B157AD2A1B}" name="Formula 1" dataDxfId="26">
      <calculatedColumnFormula>CONCATENATE("https://drive.google.com/thumbnail?id=", MID(AD2, FIND("/d/", AD2) + 3, FIND("/view", AD2) - FIND("/d/", AD2) - 3), "&amp;sz=w1000")</calculatedColumnFormula>
    </tableColumn>
    <tableColumn id="26" xr3:uid="{EB8FB416-7AC8-45CC-9F54-F8F57DB24282}" name="Image 1" dataDxfId="25" dataCellStyle="Hyperlink"/>
    <tableColumn id="34" xr3:uid="{32FEA70B-BE56-4D47-8EF4-E33C4B77F185}" name="Formula 2" dataDxfId="24" dataCellStyle="Hyperlink">
      <calculatedColumnFormula>CONCATENATE("https://drive.google.com/thumbnail?id=", MID(AF2, FIND("/d/", AF2) + 3, FIND("/view", AF2) - FIND("/d/", AF2) - 3), "&amp;sz=w1000")</calculatedColumnFormula>
    </tableColumn>
    <tableColumn id="27" xr3:uid="{0C3B5CFE-BD8B-444F-9A30-61F16717BDE2}" name="Image 2" dataDxfId="23" dataCellStyle="Hyperlink"/>
    <tableColumn id="35" xr3:uid="{CB8AEB06-3A37-4D49-BAD9-6205A07C4112}" name="Formula 3" dataDxfId="22" dataCellStyle="Hyperlink">
      <calculatedColumnFormula>CONCATENATE("https://drive.google.com/thumbnail?id=", MID(AH2, FIND("/d/", AH2) + 3, FIND("/view", AH2) - FIND("/d/", AH2) - 3), "&amp;sz=w1000")</calculatedColumnFormula>
    </tableColumn>
    <tableColumn id="28" xr3:uid="{3B571022-E4D1-45D0-A623-CF3CB1D6EC19}" name="Image 3" dataDxfId="21" dataCellStyle="Hyperlink"/>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E7CAA5-DEF6-4ED9-979B-D292E502ADE5}" name="Table3" displayName="Table3" ref="A1:J25" totalsRowShown="0" headerRowDxfId="20" dataDxfId="18" headerRowBorderDxfId="19" tableBorderDxfId="17" totalsRowBorderDxfId="16">
  <autoFilter ref="A1:J25" xr:uid="{71E7CAA5-DEF6-4ED9-979B-D292E502ADE5}"/>
  <tableColumns count="10">
    <tableColumn id="1" xr3:uid="{31F1FCC2-8BBB-4FFE-B250-371C9340CD86}" name="S.No." dataDxfId="15"/>
    <tableColumn id="2" xr3:uid="{C4AFEA23-6ED5-4F4E-B686-F1CE26F1A306}" name="Project ID" dataDxfId="14"/>
    <tableColumn id="3" xr3:uid="{E3180BE9-BA63-44E8-8B93-DFBD96E223C7}" name="Project Name" dataDxfId="13">
      <calculatedColumnFormula>Table3[[#This Row],[District]]&amp;Table3[[#This Row],[Plot]]&amp;Table3[[#This Row],[Stakeholder]]</calculatedColumnFormula>
    </tableColumn>
    <tableColumn id="4" xr3:uid="{05C1CCAD-459F-49E9-901C-6F821D6E5312}" name="Region" dataDxfId="12"/>
    <tableColumn id="5" xr3:uid="{3D632502-2DFB-4635-8506-D430D9508A90}" name="District" dataDxfId="11"/>
    <tableColumn id="6" xr3:uid="{92142B86-8B83-40D2-A803-8645D70044A5}" name="Sector" dataDxfId="10"/>
    <tableColumn id="7" xr3:uid="{C9312AC3-D2D8-4786-86E8-BEC90F69909D}" name="Plot" dataDxfId="9"/>
    <tableColumn id="8" xr3:uid="{196FDDDD-261A-41E4-89AE-60B47CFE4350}" name="Latitude" dataDxfId="8"/>
    <tableColumn id="9" xr3:uid="{44237F36-4851-40C1-8567-23553B666077}" name="Longitude" dataDxfId="7"/>
    <tableColumn id="10" xr3:uid="{10C0E515-7C45-424E-8E93-8E8C9BBD9E27}" name="Stakeholder"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P69" dT="2024-08-21T10:30:24.86" personId="{DA2AE0D7-5705-462F-8EBF-A38FB35B5089}" id="{9CE29B79-647B-4455-8205-7E260AE49384}">
    <text>To confirm if date is correct as the detail on the PP is 3-01-25</text>
  </threadedComment>
  <threadedComment ref="D294" dT="2024-09-11T08:16:08.39" personId="{DA2AE0D7-5705-462F-8EBF-A38FB35B5089}" id="{A317E1F5-26C4-4D3C-A1C2-E2D2E7543E99}">
    <text>MJ12</text>
  </threadedComment>
  <threadedComment ref="D307" dT="2024-09-11T09:03:29.92" personId="{DA2AE0D7-5705-462F-8EBF-A38FB35B5089}" id="{BCDA1680-759B-4837-A03C-C921901FF8C5}">
    <text>MJ13</text>
  </threadedComment>
  <threadedComment ref="D319" dT="2024-09-11T08:17:31.93" personId="{DA2AE0D7-5705-462F-8EBF-A38FB35B5089}" id="{25574992-F8BD-41D6-B153-0D241502EAC3}">
    <text>MJ14</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827" Type="http://schemas.openxmlformats.org/officeDocument/2006/relationships/hyperlink" Target="https://drive.google.com/file/d/10RRCP9PqW1a0aXZkHVOxVr_hGOY01_Ce/view" TargetMode="External"/><Relationship Id="rId170" Type="http://schemas.openxmlformats.org/officeDocument/2006/relationships/hyperlink" Target="https://drive.google.com/file/d/1cGFZl0t3lci1ilX5gjjOKnRFdDklY_8G/view" TargetMode="External"/><Relationship Id="rId987" Type="http://schemas.openxmlformats.org/officeDocument/2006/relationships/hyperlink" Target="https://drive.google.com/file/d/1hU_NG6jWFnAFsctWfxIixSLdfdg-2vbM/view" TargetMode="External"/><Relationship Id="rId847" Type="http://schemas.openxmlformats.org/officeDocument/2006/relationships/hyperlink" Target="https://drive.google.com/file/d/1j8yRlDYok5MJSeLQ4eUWBEa5wF2-pNRd/view?usp=drive_link" TargetMode="External"/><Relationship Id="rId1477" Type="http://schemas.openxmlformats.org/officeDocument/2006/relationships/hyperlink" Target="https://drive.google.com/file/d/1fUENaPvI5EGQBpB2AP1I0ESrESO08iWA/view?usp=drive_link" TargetMode="External"/><Relationship Id="rId1684" Type="http://schemas.openxmlformats.org/officeDocument/2006/relationships/hyperlink" Target="https://drive.google.com/file/d/1YiebLoAQwQ3DDXk7k09Eme9jE5xzfvGC/view?usp=drive_link" TargetMode="External"/><Relationship Id="rId1891" Type="http://schemas.openxmlformats.org/officeDocument/2006/relationships/hyperlink" Target="https://drive.google.com/file/d/1oKDXnxtrdsnKiXx-rE-IOxBOcPslLQ0_/view?usp=drive_link" TargetMode="External"/><Relationship Id="rId707" Type="http://schemas.openxmlformats.org/officeDocument/2006/relationships/hyperlink" Target="https://drive.google.com/file/d/1oaU6aDLcm-WgPEMXNtdBYkqXGGsSkflq/view?usp=drive_link" TargetMode="External"/><Relationship Id="rId914" Type="http://schemas.openxmlformats.org/officeDocument/2006/relationships/hyperlink" Target="https://drive.google.com/file/d/1XNlB-TCqjbu1MIFEoH3KzWJaFDA0h4Mr/view?usp=drive_link" TargetMode="External"/><Relationship Id="rId1337" Type="http://schemas.openxmlformats.org/officeDocument/2006/relationships/hyperlink" Target="https://drive.google.com/file/d/1PBCEYtD7A6r3bmKeU8hWJH7w8BXVVzH1/view" TargetMode="External"/><Relationship Id="rId1544" Type="http://schemas.openxmlformats.org/officeDocument/2006/relationships/hyperlink" Target="https://drive.google.com/file/d/1b2eV06jwkZD183bC3zSDazL4_RSDXHSq/view?usp=drive_link" TargetMode="External"/><Relationship Id="rId1751" Type="http://schemas.openxmlformats.org/officeDocument/2006/relationships/hyperlink" Target="https://drive.google.com/file/d/1oGYK0VIxvZWojb4mGJZZsBVC1SfDMY6y/view?usp=drive_link" TargetMode="External"/><Relationship Id="rId43" Type="http://schemas.openxmlformats.org/officeDocument/2006/relationships/hyperlink" Target="https://drive.google.com/file/d/1c3FBPHHZ7t7n-uvjJkQ1bEwKAXm0RkFQ/view" TargetMode="External"/><Relationship Id="rId1404" Type="http://schemas.openxmlformats.org/officeDocument/2006/relationships/hyperlink" Target="https://drive.google.com/file/d/1TDk98vxQ3RO5Vex4gTvzQ8srdHf8VMYQ/view?usp=drive_link" TargetMode="External"/><Relationship Id="rId1611" Type="http://schemas.openxmlformats.org/officeDocument/2006/relationships/hyperlink" Target="https://drive.google.com/file/d/1nvLtx1HJOnLb38HmGIORDb_hqRjZMsuK/view?usp=drive_link" TargetMode="External"/><Relationship Id="rId497" Type="http://schemas.openxmlformats.org/officeDocument/2006/relationships/hyperlink" Target="https://drive.google.com/file/d/1E_lw9TkbspjWKBlfCTRgy2po44C1TCJP/view?usp=drive_link" TargetMode="External"/><Relationship Id="rId357" Type="http://schemas.openxmlformats.org/officeDocument/2006/relationships/hyperlink" Target="https://drive.google.com/file/d/1LSdEMIAx0nOnLCMaT-0CJD9nxONTEfbb/view?usp=drive_link" TargetMode="External"/><Relationship Id="rId1194" Type="http://schemas.openxmlformats.org/officeDocument/2006/relationships/hyperlink" Target="https://drive.google.com/file/d/11gAT3uSf6EhqY1gp7ESxBQx3ZJOIXz2O/view" TargetMode="External"/><Relationship Id="rId2038" Type="http://schemas.openxmlformats.org/officeDocument/2006/relationships/hyperlink" Target="https://drive.google.com/file/d/10HQlUfuCM9rvKh755NA9pHKofaluje0o/view" TargetMode="External"/><Relationship Id="rId217" Type="http://schemas.openxmlformats.org/officeDocument/2006/relationships/hyperlink" Target="https://drive.google.com/file/d/17kFHEbF-AEDFcJjjgAoxnDoBUieKKDg3/view" TargetMode="External"/><Relationship Id="rId564" Type="http://schemas.openxmlformats.org/officeDocument/2006/relationships/hyperlink" Target="https://drive.google.com/file/d/1rhCvHfKmw2WQRnaHsokOte7r7Nl3uIJy/view" TargetMode="External"/><Relationship Id="rId771" Type="http://schemas.openxmlformats.org/officeDocument/2006/relationships/hyperlink" Target="https://drive.google.com/file/d/1xtKK1s6-PHzFzBwpapa8NlHm2NARujAZ/view?usp=drive_link" TargetMode="External"/><Relationship Id="rId869" Type="http://schemas.openxmlformats.org/officeDocument/2006/relationships/hyperlink" Target="https://drive.google.com/file/d/1rOTt3bC6ZLN5P-SA_JVctRcIj9J1mxVr/view?usp=drive_link" TargetMode="External"/><Relationship Id="rId1499" Type="http://schemas.openxmlformats.org/officeDocument/2006/relationships/hyperlink" Target="https://drive.google.com/file/d/1nd2LuxXC_tnKKOUoZp-2rCmz6m31uExe/view?usp=drive_link" TargetMode="External"/><Relationship Id="rId424" Type="http://schemas.openxmlformats.org/officeDocument/2006/relationships/hyperlink" Target="https://drive.google.com/file/d/1iRpGkfGlUpy_9sZc0sYjyX4pKKrv-yKh/view?usp=drive_link" TargetMode="External"/><Relationship Id="rId631" Type="http://schemas.openxmlformats.org/officeDocument/2006/relationships/hyperlink" Target="https://drive.google.com/file/d/1jRWn6nkUc6PyzKFIrav2bztHDn61jQYs/view" TargetMode="External"/><Relationship Id="rId729" Type="http://schemas.openxmlformats.org/officeDocument/2006/relationships/hyperlink" Target="https://drive.google.com/file/d/1hvQKcWIheA72v1UtBckv-ww6mLtFEX5e/view?usp=drive_link" TargetMode="External"/><Relationship Id="rId1054" Type="http://schemas.openxmlformats.org/officeDocument/2006/relationships/hyperlink" Target="https://drive.google.com/file/d/17TfQKd0Cd9yG2mhJV3bja_JAtLRy5Hq5/view?usp=drive_link" TargetMode="External"/><Relationship Id="rId1261" Type="http://schemas.openxmlformats.org/officeDocument/2006/relationships/hyperlink" Target="https://drive.google.com/file/d/1Fr7FnU1zhPXLqSCHSNAy1t-LB8P_O5uZ/view?usp=drive_link" TargetMode="External"/><Relationship Id="rId1359" Type="http://schemas.openxmlformats.org/officeDocument/2006/relationships/hyperlink" Target="https://drive.google.com/file/d/1MQhooDZfb_a8dh1XjYQap8rFcmtl5opU/view" TargetMode="External"/><Relationship Id="rId936" Type="http://schemas.openxmlformats.org/officeDocument/2006/relationships/hyperlink" Target="https://drive.google.com/file/d/1C77z3tm5EXrMVDwQXL6nGlcUbobUc3K6/view" TargetMode="External"/><Relationship Id="rId1121" Type="http://schemas.openxmlformats.org/officeDocument/2006/relationships/hyperlink" Target="https://drive.google.com/file/d/1De6vO_A2TlUNz8pj1sCUy_mHHl1A_xUW/view" TargetMode="External"/><Relationship Id="rId1219" Type="http://schemas.openxmlformats.org/officeDocument/2006/relationships/hyperlink" Target="https://drive.google.com/file/d/1qRnd6QBDXGDZrXClC7fkscnVjqbMHsCo/view?usp=drive_link" TargetMode="External"/><Relationship Id="rId1566" Type="http://schemas.openxmlformats.org/officeDocument/2006/relationships/hyperlink" Target="https://drive.google.com/file/d/1xxrE3LPgzlDH2hVcRgO9_8Tj9dwrwVwk/view?usp=drive_link" TargetMode="External"/><Relationship Id="rId1773" Type="http://schemas.openxmlformats.org/officeDocument/2006/relationships/hyperlink" Target="https://drive.google.com/file/d/1Q6MU9kG1fczWg0z99j87JV0I8dZyJDIP/view" TargetMode="External"/><Relationship Id="rId1980" Type="http://schemas.openxmlformats.org/officeDocument/2006/relationships/hyperlink" Target="https://drive.google.com/file/d/197Upk1lRbxo1iH4nl3_asxDxnnQz-xvq/view" TargetMode="External"/><Relationship Id="rId65" Type="http://schemas.openxmlformats.org/officeDocument/2006/relationships/hyperlink" Target="https://drive.google.com/file/d/16ZFwzklgzbqlTBk2PblSupsG8QWIVKhr/view" TargetMode="External"/><Relationship Id="rId1426" Type="http://schemas.openxmlformats.org/officeDocument/2006/relationships/hyperlink" Target="https://drive.google.com/file/d/1FFvziYQynsq9IGYLQaJ37iQbYGYyI7tt/view?usp=drive_link" TargetMode="External"/><Relationship Id="rId1633" Type="http://schemas.openxmlformats.org/officeDocument/2006/relationships/hyperlink" Target="https://drive.google.com/file/d/1jjzR1RyL3evEhn3RbMY2vgThzWgq-fJN/view" TargetMode="External"/><Relationship Id="rId1840" Type="http://schemas.openxmlformats.org/officeDocument/2006/relationships/hyperlink" Target="https://drive.google.com/file/d/11gAT3uSf6EhqY1gp7ESxBQx3ZJOIXz2O/view" TargetMode="External"/><Relationship Id="rId1700" Type="http://schemas.openxmlformats.org/officeDocument/2006/relationships/hyperlink" Target="https://drive.google.com/file/d/18gvd1UBIqDir1Ui4hKFDzLdKhiyxJeTK/view?usp=drive_link" TargetMode="External"/><Relationship Id="rId1938" Type="http://schemas.openxmlformats.org/officeDocument/2006/relationships/hyperlink" Target="https://drive.google.com/file/d/1862llNXCy3_gI0LM41mc5JpDXdHEOV2P/view?usp=drive_link" TargetMode="External"/><Relationship Id="rId281" Type="http://schemas.openxmlformats.org/officeDocument/2006/relationships/hyperlink" Target="https://drive.google.com/file/d/1u7fyxEhz5ZBdqEUOis7aQ3eZaoNHO5t6/view" TargetMode="External"/><Relationship Id="rId141" Type="http://schemas.openxmlformats.org/officeDocument/2006/relationships/hyperlink" Target="https://drive.google.com/file/d/11ckN00HUeGC8mZ4NTbuNo3XBAKRafCzJ/view" TargetMode="External"/><Relationship Id="rId379" Type="http://schemas.openxmlformats.org/officeDocument/2006/relationships/hyperlink" Target="https://drive.google.com/file/d/1eSxlhhtsJOyik_7Sfm5xJHDz0O_y42HO/view?usp=drive_link" TargetMode="External"/><Relationship Id="rId586" Type="http://schemas.openxmlformats.org/officeDocument/2006/relationships/hyperlink" Target="https://drive.google.com/file/d/1TkkF924YYfv_46cDxUoc3DW_cdMcch42/view" TargetMode="External"/><Relationship Id="rId793" Type="http://schemas.openxmlformats.org/officeDocument/2006/relationships/hyperlink" Target="https://drive.google.com/file/d/1a0Y0yLRRfNYWEbl7hjxRwwCR8iQ52iEa/view?usp=drive_link" TargetMode="External"/><Relationship Id="rId7" Type="http://schemas.openxmlformats.org/officeDocument/2006/relationships/hyperlink" Target="https://drive.google.com/file/d/11ckN00HUeGC8mZ4NTbuNo3XBAKRafCzJ/view" TargetMode="External"/><Relationship Id="rId239" Type="http://schemas.openxmlformats.org/officeDocument/2006/relationships/hyperlink" Target="https://drive.google.com/file/d/1Ri-YAEWJjvz1PE2D5W_tY9aB0o-kD3Cx/view" TargetMode="External"/><Relationship Id="rId446" Type="http://schemas.openxmlformats.org/officeDocument/2006/relationships/hyperlink" Target="https://drive.google.com/file/d/1iRpGkfGlUpy_9sZc0sYjyX4pKKrv-yKh/view?usp=drive_link" TargetMode="External"/><Relationship Id="rId653" Type="http://schemas.openxmlformats.org/officeDocument/2006/relationships/hyperlink" Target="https://drive.google.com/file/d/1iBr6b26MBv3-qs2HfZPBv-_SZMciRoSv/view" TargetMode="External"/><Relationship Id="rId1076" Type="http://schemas.openxmlformats.org/officeDocument/2006/relationships/hyperlink" Target="https://drive.google.com/file/d/1LGG-xHMY2FIvsrUQHdBsimZyc6oVwUHI/view?usp=drive_link" TargetMode="External"/><Relationship Id="rId1283" Type="http://schemas.openxmlformats.org/officeDocument/2006/relationships/hyperlink" Target="https://drive.google.com/file/d/1_yjMQo6gzbHLiIya48Wdfww-Xb1eVGfK/view?usp=drive_link" TargetMode="External"/><Relationship Id="rId1490" Type="http://schemas.openxmlformats.org/officeDocument/2006/relationships/hyperlink" Target="https://drive.google.com/file/d/1fUENaPvI5EGQBpB2AP1I0ESrESO08iWA/view?usp=drive_link" TargetMode="External"/><Relationship Id="rId306" Type="http://schemas.openxmlformats.org/officeDocument/2006/relationships/hyperlink" Target="https://drive.google.com/file/d/1N4Zo1nyoTRwV-8yeADEdYoewjbxnID-Z/view?usp=drive_link" TargetMode="External"/><Relationship Id="rId860" Type="http://schemas.openxmlformats.org/officeDocument/2006/relationships/hyperlink" Target="https://drive.google.com/file/d/1Kj7pGsto2d8qxWBBNeFSXHt0ZCv3amEr/view?usp=drive_link" TargetMode="External"/><Relationship Id="rId958" Type="http://schemas.openxmlformats.org/officeDocument/2006/relationships/hyperlink" Target="https://drive.google.com/file/d/1Ea4IsWWBHCZ29uRy7Zxp0SvMnOmdjCvn/view" TargetMode="External"/><Relationship Id="rId1143" Type="http://schemas.openxmlformats.org/officeDocument/2006/relationships/hyperlink" Target="https://drive.google.com/file/d/1gB5Fi3nL6FCTnmd91Ei3_QQJ9QXEVQuG/view" TargetMode="External"/><Relationship Id="rId1588" Type="http://schemas.openxmlformats.org/officeDocument/2006/relationships/hyperlink" Target="https://drive.google.com/file/d/1N6JLvInqt6UGVAo8jpPfLxV1anlM3LhC/view" TargetMode="External"/><Relationship Id="rId1795" Type="http://schemas.openxmlformats.org/officeDocument/2006/relationships/hyperlink" Target="https://drive.google.com/file/d/1-9vqHAxMY7EOdGCf_1JiVVh1sMtEsHwD/view?usp=drive_link" TargetMode="External"/><Relationship Id="rId87" Type="http://schemas.openxmlformats.org/officeDocument/2006/relationships/hyperlink" Target="https://drive.google.com/file/d/1Xx52lP-CL3Mjgh7XgJuGe8OZtl_A0Kie/view" TargetMode="External"/><Relationship Id="rId513" Type="http://schemas.openxmlformats.org/officeDocument/2006/relationships/hyperlink" Target="https://drive.google.com/file/d/1zxbs_azC4N6-X3OZD0Sz6VP6Xjewm9-8/view" TargetMode="External"/><Relationship Id="rId720" Type="http://schemas.openxmlformats.org/officeDocument/2006/relationships/hyperlink" Target="https://drive.google.com/file/d/1N9brwHmFW_PdvPj4vWj5-JYfwZ_j8qxo/view?usp=drive_link" TargetMode="External"/><Relationship Id="rId818" Type="http://schemas.openxmlformats.org/officeDocument/2006/relationships/hyperlink" Target="https://drive.google.com/file/d/14YXw1eE_uNUTiyyJLFE-3TZXAvUd7kRa/view?usp=drive_link" TargetMode="External"/><Relationship Id="rId1350" Type="http://schemas.openxmlformats.org/officeDocument/2006/relationships/hyperlink" Target="https://drive.google.com/file/d/1MQhooDZfb_a8dh1XjYQap8rFcmtl5opU/view" TargetMode="External"/><Relationship Id="rId1448" Type="http://schemas.openxmlformats.org/officeDocument/2006/relationships/hyperlink" Target="https://drive.google.com/file/d/1nxqhANLSmBJ-olV0_wGYRyXJpm4XiNGD/view?usp=drive_link" TargetMode="External"/><Relationship Id="rId1655" Type="http://schemas.openxmlformats.org/officeDocument/2006/relationships/hyperlink" Target="https://drive.google.com/file/d/1uEFxmPjjwD8Nqb0QvhaTsvG7Fe2EVwdA/view?usp=drive_link" TargetMode="External"/><Relationship Id="rId1003" Type="http://schemas.openxmlformats.org/officeDocument/2006/relationships/hyperlink" Target="https://drive.google.com/file/d/1jjzR1RyL3evEhn3RbMY2vgThzWgq-fJN/view" TargetMode="External"/><Relationship Id="rId1210" Type="http://schemas.openxmlformats.org/officeDocument/2006/relationships/hyperlink" Target="https://drive.google.com/file/d/1JSFImQsE-aSNBi1_XGaeHY1TM31sTpH0/view?usp=drive_link" TargetMode="External"/><Relationship Id="rId1308" Type="http://schemas.openxmlformats.org/officeDocument/2006/relationships/hyperlink" Target="https://drive.google.com/file/d/1xvK7oL2060tGjomnxIMM_vkytJCIFbUM/view" TargetMode="External"/><Relationship Id="rId1862" Type="http://schemas.openxmlformats.org/officeDocument/2006/relationships/hyperlink" Target="https://drive.google.com/file/d/12tCRalajPMVE-onCQiXS7R_4zEPBFs_C/view?usp=drive_link" TargetMode="External"/><Relationship Id="rId1515" Type="http://schemas.openxmlformats.org/officeDocument/2006/relationships/hyperlink" Target="https://drive.google.com/file/d/1_Jil7Wkfj5WOP-6FE-VdY7qc0mLZ5DUM/view?usp=drive_link" TargetMode="External"/><Relationship Id="rId1722" Type="http://schemas.openxmlformats.org/officeDocument/2006/relationships/hyperlink" Target="https://drive.google.com/file/d/1U_VfOs-qUWoEMVHPtt9sq2AZH--X8AwT/view?usp=drive_link" TargetMode="External"/><Relationship Id="rId14" Type="http://schemas.openxmlformats.org/officeDocument/2006/relationships/hyperlink" Target="https://drive.google.com/file/d/1cGFZl0t3lci1ilX5gjjOKnRFdDklY_8G/view" TargetMode="External"/><Relationship Id="rId163" Type="http://schemas.openxmlformats.org/officeDocument/2006/relationships/hyperlink" Target="https://drive.google.com/file/d/1Xv5IhBhdmlrvaY32k_gxD4v2dwCxj2S0/view" TargetMode="External"/><Relationship Id="rId370" Type="http://schemas.openxmlformats.org/officeDocument/2006/relationships/hyperlink" Target="https://drive.google.com/file/d/1eSxlhhtsJOyik_7Sfm5xJHDz0O_y42HO/view?usp=drive_link" TargetMode="External"/><Relationship Id="rId2051" Type="http://schemas.openxmlformats.org/officeDocument/2006/relationships/hyperlink" Target="https://drive.google.com/file/d/1mRE_86OJyxRYZgYUPJM_u7Ak456wW--d/view?usp=drive_link" TargetMode="External"/><Relationship Id="rId230" Type="http://schemas.openxmlformats.org/officeDocument/2006/relationships/hyperlink" Target="https://drive.google.com/file/d/1fD7AWmASsFIlXlxUeMDyf0RwmeJ-UJ8T/view" TargetMode="External"/><Relationship Id="rId468" Type="http://schemas.openxmlformats.org/officeDocument/2006/relationships/hyperlink" Target="https://drive.google.com/file/d/1CGnDxWakVhMcyf3ArpxC0Xg8NB2NJ04m/view?usp=drive_link" TargetMode="External"/><Relationship Id="rId675" Type="http://schemas.openxmlformats.org/officeDocument/2006/relationships/hyperlink" Target="https://drive.google.com/file/d/1pVsRJ1dyo2hYWyHHI4kWWKMR6i84lDfX/view?usp=sharing" TargetMode="External"/><Relationship Id="rId882" Type="http://schemas.openxmlformats.org/officeDocument/2006/relationships/hyperlink" Target="https://drive.google.com/file/d/1UDZ3DSBMcsK5rQzLJk4M0--CngCzKop9/view?usp=drive_link" TargetMode="External"/><Relationship Id="rId1098" Type="http://schemas.openxmlformats.org/officeDocument/2006/relationships/hyperlink" Target="https://drive.google.com/file/d/1XDJ17puSEKXRlcpoac80pcUkSirH5iqT/view?usp=drive_link" TargetMode="External"/><Relationship Id="rId328" Type="http://schemas.openxmlformats.org/officeDocument/2006/relationships/hyperlink" Target="https://drive.google.com/file/d/1auczJq74YC7zQtmuh6xlGQH7tRkhMdYG/view?usp=drive_link" TargetMode="External"/><Relationship Id="rId535" Type="http://schemas.openxmlformats.org/officeDocument/2006/relationships/hyperlink" Target="https://drive.google.com/file/d/1KD8Xfrs6ZPDDeNsgaKv-b1oJyOORtcmH/view" TargetMode="External"/><Relationship Id="rId742" Type="http://schemas.openxmlformats.org/officeDocument/2006/relationships/hyperlink" Target="https://drive.google.com/file/d/1ObN57YJNOg65CaDV-I6Uf3vEwf4ffCFW/view?usp=drive_link" TargetMode="External"/><Relationship Id="rId1165" Type="http://schemas.openxmlformats.org/officeDocument/2006/relationships/hyperlink" Target="https://drive.google.com/file/d/1AjudEJfSeA5pObV4i_-2eZywBMH4FjUH/view" TargetMode="External"/><Relationship Id="rId1372" Type="http://schemas.openxmlformats.org/officeDocument/2006/relationships/hyperlink" Target="https://drive.google.com/file/d/10HQlUfuCM9rvKh755NA9pHKofaluje0o/view" TargetMode="External"/><Relationship Id="rId2009" Type="http://schemas.openxmlformats.org/officeDocument/2006/relationships/hyperlink" Target="https://drive.google.com/file/d/1MQhooDZfb_a8dh1XjYQap8rFcmtl5opU/view" TargetMode="External"/><Relationship Id="rId602" Type="http://schemas.openxmlformats.org/officeDocument/2006/relationships/hyperlink" Target="https://drive.google.com/file/d/12FCTiQHROItKTuE1paH0D-F5NmHrtpx8/view" TargetMode="External"/><Relationship Id="rId1025" Type="http://schemas.openxmlformats.org/officeDocument/2006/relationships/hyperlink" Target="https://drive.google.com/file/d/1dtmjjVifpdyX31hTWKtbOj-VXJHs1FLR/view?usp=drive_link" TargetMode="External"/><Relationship Id="rId1232" Type="http://schemas.openxmlformats.org/officeDocument/2006/relationships/hyperlink" Target="https://drive.google.com/file/d/1wFL1KQ-QVw5hSLZv1AF-r-UdMul7WJMk/view?usp=drive_link" TargetMode="External"/><Relationship Id="rId1677" Type="http://schemas.openxmlformats.org/officeDocument/2006/relationships/hyperlink" Target="https://drive.google.com/file/d/1YiebLoAQwQ3DDXk7k09Eme9jE5xzfvGC/view?usp=drive_link" TargetMode="External"/><Relationship Id="rId1884" Type="http://schemas.openxmlformats.org/officeDocument/2006/relationships/hyperlink" Target="https://drive.google.com/file/d/1Si-fSzjLqtub6Ffxa9vP4q5-r_GljdPA/view?usp=drive_link" TargetMode="External"/><Relationship Id="rId907" Type="http://schemas.openxmlformats.org/officeDocument/2006/relationships/hyperlink" Target="https://drive.google.com/file/d/1N4Zo1nyoTRwV-8yeADEdYoewjbxnID-Z/view?usp=drive_link" TargetMode="External"/><Relationship Id="rId1537" Type="http://schemas.openxmlformats.org/officeDocument/2006/relationships/hyperlink" Target="https://drive.google.com/file/d/1b2eV06jwkZD183bC3zSDazL4_RSDXHSq/view?usp=drive_link" TargetMode="External"/><Relationship Id="rId1744" Type="http://schemas.openxmlformats.org/officeDocument/2006/relationships/hyperlink" Target="https://drive.google.com/file/d/1PNmp5EMW5WyKjKqULNrxDdbiU7_eGUj0/view?usp=drive_link" TargetMode="External"/><Relationship Id="rId1951" Type="http://schemas.openxmlformats.org/officeDocument/2006/relationships/hyperlink" Target="https://drive.google.com/file/d/1QZ18QaTmJF4nT-dAtMgJlTUA-K3sOYAQ/view?usp=drive_link" TargetMode="External"/><Relationship Id="rId36" Type="http://schemas.openxmlformats.org/officeDocument/2006/relationships/hyperlink" Target="https://drive.google.com/file/d/1erAewuQjYKuSzO2J7M_BGEAM7u-DEnI2/view" TargetMode="External"/><Relationship Id="rId1604" Type="http://schemas.openxmlformats.org/officeDocument/2006/relationships/hyperlink" Target="https://drive.google.com/file/d/1nvLtx1HJOnLb38HmGIORDb_hqRjZMsuK/view?usp=drive_link" TargetMode="External"/><Relationship Id="rId185" Type="http://schemas.openxmlformats.org/officeDocument/2006/relationships/hyperlink" Target="https://drive.google.com/file/d/1xNwrwZ-kLTM_YhVN0HOVWrlrlMM1DCgm/view" TargetMode="External"/><Relationship Id="rId1811" Type="http://schemas.openxmlformats.org/officeDocument/2006/relationships/hyperlink" Target="https://drive.google.com/file/d/10RRCP9PqW1a0aXZkHVOxVr_hGOY01_Ce/view" TargetMode="External"/><Relationship Id="rId1909" Type="http://schemas.openxmlformats.org/officeDocument/2006/relationships/hyperlink" Target="https://drive.google.com/file/d/1EFP77JsHwvOLRKb7NL4f0-WTRLI4zmhV/view?usp=drive_link" TargetMode="External"/><Relationship Id="rId392" Type="http://schemas.openxmlformats.org/officeDocument/2006/relationships/hyperlink" Target="https://drive.google.com/file/d/1HbIMSG327H4IroIIbzG-UoNFRHW9d4tq/view?usp=drive_link" TargetMode="External"/><Relationship Id="rId697" Type="http://schemas.openxmlformats.org/officeDocument/2006/relationships/hyperlink" Target="https://drive.google.com/file/d/1ObN57YJNOg65CaDV-I6Uf3vEwf4ffCFW/view?usp=drive_link" TargetMode="External"/><Relationship Id="rId2073" Type="http://schemas.openxmlformats.org/officeDocument/2006/relationships/hyperlink" Target="https://drive.google.com/file/d/1W509JmdVlzeICueDgcivjNXJagqJa2qz/view?usp=drive_link" TargetMode="External"/><Relationship Id="rId252" Type="http://schemas.openxmlformats.org/officeDocument/2006/relationships/hyperlink" Target="https://drive.google.com/file/d/17kFHEbF-AEDFcJjjgAoxnDoBUieKKDg3/view" TargetMode="External"/><Relationship Id="rId1187" Type="http://schemas.openxmlformats.org/officeDocument/2006/relationships/hyperlink" Target="https://drive.google.com/file/d/10RRCP9PqW1a0aXZkHVOxVr_hGOY01_Ce/view" TargetMode="External"/><Relationship Id="rId112" Type="http://schemas.openxmlformats.org/officeDocument/2006/relationships/hyperlink" Target="https://drive.google.com/file/d/1m0sCGqTc1t6OyfiPeptI64GQWmQuBkv8/view?usp=drive_link" TargetMode="External"/><Relationship Id="rId557" Type="http://schemas.openxmlformats.org/officeDocument/2006/relationships/hyperlink" Target="https://drive.google.com/file/d/1rhCvHfKmw2WQRnaHsokOte7r7Nl3uIJy/view" TargetMode="External"/><Relationship Id="rId764" Type="http://schemas.openxmlformats.org/officeDocument/2006/relationships/hyperlink" Target="https://drive.google.com/file/d/1xtKK1s6-PHzFzBwpapa8NlHm2NARujAZ/view?usp=drive_link" TargetMode="External"/><Relationship Id="rId971" Type="http://schemas.openxmlformats.org/officeDocument/2006/relationships/hyperlink" Target="https://drive.google.com/file/d/1dRnOElIobWmdZEkO8BRVE7TU1yvuxQXW/view?usp=drive_link" TargetMode="External"/><Relationship Id="rId1394" Type="http://schemas.openxmlformats.org/officeDocument/2006/relationships/hyperlink" Target="https://drive.google.com/file/d/16iCRVZ9FIxsqJnxI634PDZC4GeoM1QjJ/view?usp=drive_link" TargetMode="External"/><Relationship Id="rId1699" Type="http://schemas.openxmlformats.org/officeDocument/2006/relationships/hyperlink" Target="https://drive.google.com/file/d/18gvd1UBIqDir1Ui4hKFDzLdKhiyxJeTK/view?usp=drive_link" TargetMode="External"/><Relationship Id="rId2000" Type="http://schemas.openxmlformats.org/officeDocument/2006/relationships/hyperlink" Target="https://drive.google.com/file/d/1AoH0Y4ciTRcsU5X6S4aZ3HZiPs325E2e/view?usp=drive_link" TargetMode="External"/><Relationship Id="rId417" Type="http://schemas.openxmlformats.org/officeDocument/2006/relationships/hyperlink" Target="https://drive.google.com/file/d/1Mz-UnKO6rFVDA_Sts8kV4Nb6AFgcY8xZ/view?usp=drive_link" TargetMode="External"/><Relationship Id="rId624" Type="http://schemas.openxmlformats.org/officeDocument/2006/relationships/hyperlink" Target="https://drive.google.com/file/d/1YYboHNgsShFzYyBHMkUoSzib7zJkM_P6/view" TargetMode="External"/><Relationship Id="rId831" Type="http://schemas.openxmlformats.org/officeDocument/2006/relationships/hyperlink" Target="https://drive.google.com/file/d/12sTUZOMQU8Yb4ZMfjTWU89XE7G6Mx5fV/view?usp=drive_link" TargetMode="External"/><Relationship Id="rId1047" Type="http://schemas.openxmlformats.org/officeDocument/2006/relationships/hyperlink" Target="https://drive.google.com/file/d/1EShm-JCEBeUL9t9jvi_3B6OF8gY5AK0w/view?usp=drive_link" TargetMode="External"/><Relationship Id="rId1254" Type="http://schemas.openxmlformats.org/officeDocument/2006/relationships/hyperlink" Target="https://drive.google.com/file/d/1QSpwAu5G5jYzzAO2U4PsRnfbTsKxHd6s/view?usp=drive_link" TargetMode="External"/><Relationship Id="rId1461" Type="http://schemas.openxmlformats.org/officeDocument/2006/relationships/hyperlink" Target="https://drive.google.com/file/d/1YilrYlrEBR5j4gXQtSjyi1aNfDAiAnEu/view?usp=drive_link" TargetMode="External"/><Relationship Id="rId929" Type="http://schemas.openxmlformats.org/officeDocument/2006/relationships/hyperlink" Target="https://drive.google.com/file/d/1N22qwC0vrqCOzXJ46mu1iA931nPdVUdV/view?usp=drive_link" TargetMode="External"/><Relationship Id="rId1114" Type="http://schemas.openxmlformats.org/officeDocument/2006/relationships/hyperlink" Target="https://drive.google.com/file/d/1AWxAuRE6Vg50Zv6iozolSxiyZ-AwV82_/view?usp=drive_link" TargetMode="External"/><Relationship Id="rId1321" Type="http://schemas.openxmlformats.org/officeDocument/2006/relationships/hyperlink" Target="https://drive.google.com/file/d/1p6hIUtd-nvQqhm5QfcZ7_NmYe6thw_QN/view?usp=drive_link" TargetMode="External"/><Relationship Id="rId1559" Type="http://schemas.openxmlformats.org/officeDocument/2006/relationships/hyperlink" Target="https://drive.google.com/file/d/1xxrE3LPgzlDH2hVcRgO9_8Tj9dwrwVwk/view?usp=drive_link" TargetMode="External"/><Relationship Id="rId1766" Type="http://schemas.openxmlformats.org/officeDocument/2006/relationships/hyperlink" Target="https://drive.google.com/file/d/1oxqPS_1tBA-gVsLfO5IQXOGLDroKN7-w/view?usp=drive_link" TargetMode="External"/><Relationship Id="rId1973" Type="http://schemas.openxmlformats.org/officeDocument/2006/relationships/hyperlink" Target="https://drive.google.com/file/d/1La3JnRLTGosBhQtrjluRdPiS-rya-Lxf/view" TargetMode="External"/><Relationship Id="rId58" Type="http://schemas.openxmlformats.org/officeDocument/2006/relationships/hyperlink" Target="https://drive.google.com/file/d/1aotzsm6c1YRrRltmEBM3La85GahLY-Sa/view" TargetMode="External"/><Relationship Id="rId1419" Type="http://schemas.openxmlformats.org/officeDocument/2006/relationships/hyperlink" Target="https://drive.google.com/file/d/1IobvhS63KW7w3xiQvQNpxHjV7ZiZaVbc/view?usp=drive_link" TargetMode="External"/><Relationship Id="rId1626" Type="http://schemas.openxmlformats.org/officeDocument/2006/relationships/hyperlink" Target="https://drive.google.com/file/d/1jjzR1RyL3evEhn3RbMY2vgThzWgq-fJN/view" TargetMode="External"/><Relationship Id="rId1833" Type="http://schemas.openxmlformats.org/officeDocument/2006/relationships/hyperlink" Target="https://drive.google.com/file/d/10RRCP9PqW1a0aXZkHVOxVr_hGOY01_Ce/view" TargetMode="External"/><Relationship Id="rId1900" Type="http://schemas.openxmlformats.org/officeDocument/2006/relationships/hyperlink" Target="https://drive.google.com/file/d/1EFP77JsHwvOLRKb7NL4f0-WTRLI4zmhV/view?usp=drive_link" TargetMode="External"/><Relationship Id="rId274" Type="http://schemas.openxmlformats.org/officeDocument/2006/relationships/hyperlink" Target="https://drive.google.com/file/d/1N4Zo1nyoTRwV-8yeADEdYoewjbxnID-Z/view?usp=drive_link" TargetMode="External"/><Relationship Id="rId481" Type="http://schemas.openxmlformats.org/officeDocument/2006/relationships/hyperlink" Target="https://drive.google.com/file/d/1hmXY9RLSychgJTsAJz7iOoJsrTTIp1VT/view?usp=drive_link" TargetMode="External"/><Relationship Id="rId134" Type="http://schemas.openxmlformats.org/officeDocument/2006/relationships/hyperlink" Target="https://drive.google.com/file/d/1Jq87qjyP8CX6GzfZ6UTJqN8h3tUDVJ4L/view" TargetMode="External"/><Relationship Id="rId579" Type="http://schemas.openxmlformats.org/officeDocument/2006/relationships/hyperlink" Target="https://drive.google.com/file/d/1XM56ViSsm-28H781ilJpgfRH-h3HxQCr/view" TargetMode="External"/><Relationship Id="rId786" Type="http://schemas.openxmlformats.org/officeDocument/2006/relationships/hyperlink" Target="https://drive.google.com/file/d/1SQaSL7hmUFSKHN8i7pVPvx3STLMqAOAw/view?usp=drive_link" TargetMode="External"/><Relationship Id="rId993" Type="http://schemas.openxmlformats.org/officeDocument/2006/relationships/hyperlink" Target="https://drive.google.com/file/d/1jjzR1RyL3evEhn3RbMY2vgThzWgq-fJN/view" TargetMode="External"/><Relationship Id="rId341" Type="http://schemas.openxmlformats.org/officeDocument/2006/relationships/hyperlink" Target="https://drive.google.com/file/d/1txs_xJtZSRV3s1r41GM6nzBz3ZapFemu/view?usp=drive_link" TargetMode="External"/><Relationship Id="rId439" Type="http://schemas.openxmlformats.org/officeDocument/2006/relationships/hyperlink" Target="https://drive.google.com/file/d/1iRpGkfGlUpy_9sZc0sYjyX4pKKrv-yKh/view?usp=drive_link" TargetMode="External"/><Relationship Id="rId646" Type="http://schemas.openxmlformats.org/officeDocument/2006/relationships/hyperlink" Target="https://drive.google.com/file/d/1iBr6b26MBv3-qs2HfZPBv-_SZMciRoSv/view" TargetMode="External"/><Relationship Id="rId1069" Type="http://schemas.openxmlformats.org/officeDocument/2006/relationships/hyperlink" Target="https://drive.google.com/file/d/1lHsS9HToAAkVgzUpu0SvP6Q74MdwpNaD/view?usp=drive_link" TargetMode="External"/><Relationship Id="rId1276" Type="http://schemas.openxmlformats.org/officeDocument/2006/relationships/hyperlink" Target="https://drive.google.com/file/d/18HTGOY9i7bxWMrMLMgWvctC0TQbGDm_d/view?usp=drive_link" TargetMode="External"/><Relationship Id="rId1483" Type="http://schemas.openxmlformats.org/officeDocument/2006/relationships/hyperlink" Target="https://drive.google.com/file/d/1fUENaPvI5EGQBpB2AP1I0ESrESO08iWA/view?usp=drive_link" TargetMode="External"/><Relationship Id="rId2022" Type="http://schemas.openxmlformats.org/officeDocument/2006/relationships/hyperlink" Target="https://drive.google.com/file/d/1MQhooDZfb_a8dh1XjYQap8rFcmtl5opU/view" TargetMode="External"/><Relationship Id="rId201" Type="http://schemas.openxmlformats.org/officeDocument/2006/relationships/hyperlink" Target="https://drive.google.com/file/d/1fD7AWmASsFIlXlxUeMDyf0RwmeJ-UJ8T/view" TargetMode="External"/><Relationship Id="rId506" Type="http://schemas.openxmlformats.org/officeDocument/2006/relationships/hyperlink" Target="https://drive.google.com/file/d/1KD8Xfrs6ZPDDeNsgaKv-b1oJyOORtcmH/view" TargetMode="External"/><Relationship Id="rId853" Type="http://schemas.openxmlformats.org/officeDocument/2006/relationships/hyperlink" Target="https://drive.google.com/file/d/1Kj7pGsto2d8qxWBBNeFSXHt0ZCv3amEr/view?usp=drive_link" TargetMode="External"/><Relationship Id="rId1136" Type="http://schemas.openxmlformats.org/officeDocument/2006/relationships/hyperlink" Target="https://drive.google.com/file/d/1gB5Fi3nL6FCTnmd91Ei3_QQJ9QXEVQuG/view" TargetMode="External"/><Relationship Id="rId1690" Type="http://schemas.openxmlformats.org/officeDocument/2006/relationships/hyperlink" Target="https://drive.google.com/file/d/18gvd1UBIqDir1Ui4hKFDzLdKhiyxJeTK/view?usp=drive_link" TargetMode="External"/><Relationship Id="rId1788" Type="http://schemas.openxmlformats.org/officeDocument/2006/relationships/hyperlink" Target="https://drive.google.com/file/d/1qZSXHwjD6UiZLiCnVCCPpTfeEZz74aAs/view" TargetMode="External"/><Relationship Id="rId1995" Type="http://schemas.openxmlformats.org/officeDocument/2006/relationships/hyperlink" Target="https://drive.google.com/file/d/1BakHXePkW3JZxwSnUkqqZxtPshE0ewsY/view?usp=drive_link" TargetMode="External"/><Relationship Id="rId713" Type="http://schemas.openxmlformats.org/officeDocument/2006/relationships/hyperlink" Target="https://drive.google.com/file/d/1N9brwHmFW_PdvPj4vWj5-JYfwZ_j8qxo/view?usp=drive_link" TargetMode="External"/><Relationship Id="rId920" Type="http://schemas.openxmlformats.org/officeDocument/2006/relationships/hyperlink" Target="https://drive.google.com/file/d/1XNlB-TCqjbu1MIFEoH3KzWJaFDA0h4Mr/view?usp=drive_link" TargetMode="External"/><Relationship Id="rId1343" Type="http://schemas.openxmlformats.org/officeDocument/2006/relationships/hyperlink" Target="https://drive.google.com/file/d/1PBCEYtD7A6r3bmKeU8hWJH7w8BXVVzH1/view" TargetMode="External"/><Relationship Id="rId1550" Type="http://schemas.openxmlformats.org/officeDocument/2006/relationships/hyperlink" Target="https://drive.google.com/file/d/13q2lrMXyrD-jFwOUSAmyXAyHguPjfyop/view?usp=drive_link" TargetMode="External"/><Relationship Id="rId1648" Type="http://schemas.openxmlformats.org/officeDocument/2006/relationships/hyperlink" Target="https://drive.google.com/file/d/1P8dv2yDVWK28813AIv4m4F9tgxPrdqDO/view" TargetMode="External"/><Relationship Id="rId1203" Type="http://schemas.openxmlformats.org/officeDocument/2006/relationships/hyperlink" Target="https://drive.google.com/file/d/1JSFImQsE-aSNBi1_XGaeHY1TM31sTpH0/view?usp=drive_link" TargetMode="External"/><Relationship Id="rId1410" Type="http://schemas.openxmlformats.org/officeDocument/2006/relationships/hyperlink" Target="https://drive.google.com/file/d/1IobvhS63KW7w3xiQvQNpxHjV7ZiZaVbc/view?usp=drive_link" TargetMode="External"/><Relationship Id="rId1508" Type="http://schemas.openxmlformats.org/officeDocument/2006/relationships/hyperlink" Target="https://drive.google.com/file/d/1W-gf0VbzbihbaBDbivu-eAIuFgmf1g2H/view?usp=drive_link" TargetMode="External"/><Relationship Id="rId1855" Type="http://schemas.openxmlformats.org/officeDocument/2006/relationships/hyperlink" Target="https://drive.google.com/file/d/1DZ00kl6N0YvT2ZAXdhcx9VQ5hnPKYmSP/view?usp=drive_link" TargetMode="External"/><Relationship Id="rId1715" Type="http://schemas.openxmlformats.org/officeDocument/2006/relationships/hyperlink" Target="https://drive.google.com/file/d/1U_VfOs-qUWoEMVHPtt9sq2AZH--X8AwT/view?usp=drive_link" TargetMode="External"/><Relationship Id="rId1922" Type="http://schemas.openxmlformats.org/officeDocument/2006/relationships/hyperlink" Target="https://drive.google.com/file/d/1-kULF92O7kA2Vy-9i1BZzi1_0bIC323S/view?usp=drive_link" TargetMode="External"/><Relationship Id="rId296" Type="http://schemas.openxmlformats.org/officeDocument/2006/relationships/hyperlink" Target="https://drive.google.com/file/d/1N4Zo1nyoTRwV-8yeADEdYoewjbxnID-Z/view" TargetMode="External"/><Relationship Id="rId156" Type="http://schemas.openxmlformats.org/officeDocument/2006/relationships/hyperlink" Target="https://drive.google.com/file/d/1Xv5IhBhdmlrvaY32k_gxD4v2dwCxj2S0/view" TargetMode="External"/><Relationship Id="rId363" Type="http://schemas.openxmlformats.org/officeDocument/2006/relationships/hyperlink" Target="https://drive.google.com/file/d/1DE97kviXT-3hj-mPkqohYwgjer1eZUEt/view?usp=drive_link" TargetMode="External"/><Relationship Id="rId570" Type="http://schemas.openxmlformats.org/officeDocument/2006/relationships/hyperlink" Target="https://drive.google.com/file/d/1XM56ViSsm-28H781ilJpgfRH-h3HxQCr/view" TargetMode="External"/><Relationship Id="rId2044" Type="http://schemas.openxmlformats.org/officeDocument/2006/relationships/hyperlink" Target="https://drive.google.com/file/d/10HQlUfuCM9rvKh755NA9pHKofaluje0o/view" TargetMode="External"/><Relationship Id="rId223" Type="http://schemas.openxmlformats.org/officeDocument/2006/relationships/hyperlink" Target="https://drive.google.com/file/d/17kFHEbF-AEDFcJjjgAoxnDoBUieKKDg3/view" TargetMode="External"/><Relationship Id="rId430" Type="http://schemas.openxmlformats.org/officeDocument/2006/relationships/hyperlink" Target="https://drive.google.com/file/d/1l032NhkgI8VXW1YdwE6IVXJ95axS_1_N/view?usp=drive_link" TargetMode="External"/><Relationship Id="rId668" Type="http://schemas.openxmlformats.org/officeDocument/2006/relationships/hyperlink" Target="https://drive.google.com/file/d/1pVsRJ1dyo2hYWyHHI4kWWKMR6i84lDfX/view?usp=sharing" TargetMode="External"/><Relationship Id="rId875" Type="http://schemas.openxmlformats.org/officeDocument/2006/relationships/hyperlink" Target="https://drive.google.com/file/d/1j8yRlDYok5MJSeLQ4eUWBEa5wF2-pNRd/view?usp=drive_link" TargetMode="External"/><Relationship Id="rId1060" Type="http://schemas.openxmlformats.org/officeDocument/2006/relationships/hyperlink" Target="https://drive.google.com/file/d/17TfQKd0Cd9yG2mhJV3bja_JAtLRy5Hq5/view?usp=drive_link" TargetMode="External"/><Relationship Id="rId1298" Type="http://schemas.openxmlformats.org/officeDocument/2006/relationships/hyperlink" Target="https://drive.google.com/file/d/19aGB7slFQPfIgI387xmUjRUwIeJi_fXB/view?usp=drive_link" TargetMode="External"/><Relationship Id="rId528" Type="http://schemas.openxmlformats.org/officeDocument/2006/relationships/hyperlink" Target="https://drive.google.com/file/d/1tQyDFiR7dq4GijMcq4Q92uVh9nI1y4mw/view" TargetMode="External"/><Relationship Id="rId735" Type="http://schemas.openxmlformats.org/officeDocument/2006/relationships/hyperlink" Target="https://drive.google.com/file/d/1ObN57YJNOg65CaDV-I6Uf3vEwf4ffCFW/view?usp=drive_link" TargetMode="External"/><Relationship Id="rId942" Type="http://schemas.openxmlformats.org/officeDocument/2006/relationships/hyperlink" Target="https://drive.google.com/file/d/1C77z3tm5EXrMVDwQXL6nGlcUbobUc3K6/view" TargetMode="External"/><Relationship Id="rId1158" Type="http://schemas.openxmlformats.org/officeDocument/2006/relationships/hyperlink" Target="https://drive.google.com/file/d/19xTvun6qzsNy4xAj6wKum7MQ98om515z/view?usp=drive_link" TargetMode="External"/><Relationship Id="rId1365" Type="http://schemas.openxmlformats.org/officeDocument/2006/relationships/hyperlink" Target="https://drive.google.com/file/d/10HQlUfuCM9rvKh755NA9pHKofaluje0o/view" TargetMode="External"/><Relationship Id="rId1572" Type="http://schemas.openxmlformats.org/officeDocument/2006/relationships/hyperlink" Target="https://drive.google.com/file/d/1ruM5f-JPXrFoNb6xNaz40ic4CGr2kGvK/view" TargetMode="External"/><Relationship Id="rId1018" Type="http://schemas.openxmlformats.org/officeDocument/2006/relationships/hyperlink" Target="https://drive.google.com/file/d/1dtmjjVifpdyX31hTWKtbOj-VXJHs1FLR/view?usp=drive_link" TargetMode="External"/><Relationship Id="rId1225" Type="http://schemas.openxmlformats.org/officeDocument/2006/relationships/hyperlink" Target="https://drive.google.com/file/d/1wFL1KQ-QVw5hSLZv1AF-r-UdMul7WJMk/view?usp=drive_link" TargetMode="External"/><Relationship Id="rId1432" Type="http://schemas.openxmlformats.org/officeDocument/2006/relationships/hyperlink" Target="https://drive.google.com/file/d/1bB7YXERU6N6l2CgGXhfHlbgLBpqYC7xS/view?usp=drive_link" TargetMode="External"/><Relationship Id="rId1877" Type="http://schemas.openxmlformats.org/officeDocument/2006/relationships/hyperlink" Target="https://drive.google.com/file/d/1Si-fSzjLqtub6Ffxa9vP4q5-r_GljdPA/view?usp=drive_link" TargetMode="External"/><Relationship Id="rId71" Type="http://schemas.openxmlformats.org/officeDocument/2006/relationships/hyperlink" Target="https://drive.google.com/file/d/16ZFwzklgzbqlTBk2PblSupsG8QWIVKhr/view" TargetMode="External"/><Relationship Id="rId802" Type="http://schemas.openxmlformats.org/officeDocument/2006/relationships/hyperlink" Target="https://drive.google.com/file/d/1a0Y0yLRRfNYWEbl7hjxRwwCR8iQ52iEa/view?usp=drive_link" TargetMode="External"/><Relationship Id="rId1737" Type="http://schemas.openxmlformats.org/officeDocument/2006/relationships/hyperlink" Target="https://drive.google.com/file/d/1PNmp5EMW5WyKjKqULNrxDdbiU7_eGUj0/view?usp=drive_link" TargetMode="External"/><Relationship Id="rId1944" Type="http://schemas.openxmlformats.org/officeDocument/2006/relationships/hyperlink" Target="https://drive.google.com/file/d/1QZ18QaTmJF4nT-dAtMgJlTUA-K3sOYAQ/view?usp=drive_link" TargetMode="External"/><Relationship Id="rId29" Type="http://schemas.openxmlformats.org/officeDocument/2006/relationships/hyperlink" Target="https://drive.google.com/file/d/14_e23Fks39g6eB6scWs8oJVkvBf-w1QV/view" TargetMode="External"/><Relationship Id="rId178" Type="http://schemas.openxmlformats.org/officeDocument/2006/relationships/hyperlink" Target="https://drive.google.com/file/d/16BMdQPUP_243M9ZY1BsJCcqCz75Uhylv/view" TargetMode="External"/><Relationship Id="rId1804" Type="http://schemas.openxmlformats.org/officeDocument/2006/relationships/hyperlink" Target="https://drive.google.com/file/d/1FRRXo6J4o4AZtg9BHSw3llGraq7T31kv/view?usp=drive_link" TargetMode="External"/><Relationship Id="rId385" Type="http://schemas.openxmlformats.org/officeDocument/2006/relationships/hyperlink" Target="https://drive.google.com/file/d/1mdyrvDZwnHDAJR9GoBxTgVEGuoFOKVP7/view?usp=drive_link" TargetMode="External"/><Relationship Id="rId592" Type="http://schemas.openxmlformats.org/officeDocument/2006/relationships/hyperlink" Target="https://drive.google.com/file/d/1TkkF924YYfv_46cDxUoc3DW_cdMcch42/view" TargetMode="External"/><Relationship Id="rId2066" Type="http://schemas.openxmlformats.org/officeDocument/2006/relationships/hyperlink" Target="https://drive.google.com/file/d/1XO6KFN11Xr9Vu-p4z4gv56Vfr7TRSm9W/view?usp=drive_link" TargetMode="External"/><Relationship Id="rId245" Type="http://schemas.openxmlformats.org/officeDocument/2006/relationships/hyperlink" Target="https://drive.google.com/file/d/1Ri-YAEWJjvz1PE2D5W_tY9aB0o-kD3Cx/view" TargetMode="External"/><Relationship Id="rId452" Type="http://schemas.openxmlformats.org/officeDocument/2006/relationships/hyperlink" Target="https://drive.google.com/file/d/1XZELMJDN7oiWnhqZnzMAEUGGr7oqakya/view?usp=drive_link" TargetMode="External"/><Relationship Id="rId897" Type="http://schemas.openxmlformats.org/officeDocument/2006/relationships/hyperlink" Target="https://drive.google.com/file/d/1dMX3W21nvBkM9WPZUIo18OVNIoRxyreY/view?usp=drive_link" TargetMode="External"/><Relationship Id="rId1082" Type="http://schemas.openxmlformats.org/officeDocument/2006/relationships/hyperlink" Target="https://drive.google.com/file/d/1LGG-xHMY2FIvsrUQHdBsimZyc6oVwUHI/view?usp=drive_link" TargetMode="External"/><Relationship Id="rId105" Type="http://schemas.openxmlformats.org/officeDocument/2006/relationships/hyperlink" Target="https://drive.google.com/file/d/1dOSANF0t0AMhLvT5qlmKuF_szpDrFIOV/view" TargetMode="External"/><Relationship Id="rId312" Type="http://schemas.openxmlformats.org/officeDocument/2006/relationships/hyperlink" Target="https://drive.google.com/file/d/1u7fyxEhz5ZBdqEUOis7aQ3eZaoNHO5t6/view" TargetMode="External"/><Relationship Id="rId757" Type="http://schemas.openxmlformats.org/officeDocument/2006/relationships/hyperlink" Target="https://drive.google.com/file/d/1eUqriZfZ8ZcnMu4n6LORw1pcnpQae1-d/view?usp=drive_link" TargetMode="External"/><Relationship Id="rId964" Type="http://schemas.openxmlformats.org/officeDocument/2006/relationships/hyperlink" Target="https://drive.google.com/file/d/1ns9WVi4LIlCy9kRsqLx6fuozbqpfzmaZ/view?usp=drive_link" TargetMode="External"/><Relationship Id="rId1387" Type="http://schemas.openxmlformats.org/officeDocument/2006/relationships/hyperlink" Target="https://drive.google.com/file/d/16iCRVZ9FIxsqJnxI634PDZC4GeoM1QjJ/view?usp=drive_link" TargetMode="External"/><Relationship Id="rId1594" Type="http://schemas.openxmlformats.org/officeDocument/2006/relationships/hyperlink" Target="https://drive.google.com/file/d/1N6JLvInqt6UGVAo8jpPfLxV1anlM3LhC/view" TargetMode="External"/><Relationship Id="rId93" Type="http://schemas.openxmlformats.org/officeDocument/2006/relationships/hyperlink" Target="https://drive.google.com/file/d/1TL9IrzKlPKxuk1hHUSBJEQg3OHu9BPMb/view" TargetMode="External"/><Relationship Id="rId617" Type="http://schemas.openxmlformats.org/officeDocument/2006/relationships/hyperlink" Target="https://drive.google.com/file/d/1y-Ocgzn3Ss07_HRVm38HZw507xBX9Q3K/view" TargetMode="External"/><Relationship Id="rId824" Type="http://schemas.openxmlformats.org/officeDocument/2006/relationships/hyperlink" Target="https://drive.google.com/file/d/12sTUZOMQU8Yb4ZMfjTWU89XE7G6Mx5fV/view?usp=drive_link" TargetMode="External"/><Relationship Id="rId1247" Type="http://schemas.openxmlformats.org/officeDocument/2006/relationships/hyperlink" Target="https://drive.google.com/file/d/1QSpwAu5G5jYzzAO2U4PsRnfbTsKxHd6s/view?usp=drive_link" TargetMode="External"/><Relationship Id="rId1454" Type="http://schemas.openxmlformats.org/officeDocument/2006/relationships/hyperlink" Target="https://drive.google.com/file/d/1Zy0KiYSeP-PDs5KIIeeW5fsWj9p4nkja/view?usp=drive_link" TargetMode="External"/><Relationship Id="rId1661" Type="http://schemas.openxmlformats.org/officeDocument/2006/relationships/hyperlink" Target="https://drive.google.com/file/d/1nRiloij6wjknh-vdXufPMtF9ywgwSqpI/view?usp=drive_link" TargetMode="External"/><Relationship Id="rId1899" Type="http://schemas.openxmlformats.org/officeDocument/2006/relationships/hyperlink" Target="https://drive.google.com/file/d/1EFP77JsHwvOLRKb7NL4f0-WTRLI4zmhV/view?usp=drive_link" TargetMode="External"/><Relationship Id="rId1107" Type="http://schemas.openxmlformats.org/officeDocument/2006/relationships/hyperlink" Target="https://drive.google.com/file/d/1AWxAuRE6Vg50Zv6iozolSxiyZ-AwV82_/view?usp=drive_link" TargetMode="External"/><Relationship Id="rId1314" Type="http://schemas.openxmlformats.org/officeDocument/2006/relationships/hyperlink" Target="https://drive.google.com/file/d/1xvK7oL2060tGjomnxIMM_vkytJCIFbUM/view" TargetMode="External"/><Relationship Id="rId1521" Type="http://schemas.openxmlformats.org/officeDocument/2006/relationships/hyperlink" Target="https://drive.google.com/file/d/1_Jil7Wkfj5WOP-6FE-VdY7qc0mLZ5DUM/view?usp=drive_link" TargetMode="External"/><Relationship Id="rId1759" Type="http://schemas.openxmlformats.org/officeDocument/2006/relationships/hyperlink" Target="https://drive.google.com/file/d/1oxqPS_1tBA-gVsLfO5IQXOGLDroKN7-w/view?usp=drive_link" TargetMode="External"/><Relationship Id="rId1966" Type="http://schemas.openxmlformats.org/officeDocument/2006/relationships/hyperlink" Target="https://drive.google.com/file/d/1La3JnRLTGosBhQtrjluRdPiS-rya-Lxf/view" TargetMode="External"/><Relationship Id="rId1619" Type="http://schemas.openxmlformats.org/officeDocument/2006/relationships/hyperlink" Target="https://drive.google.com/file/d/1jjzR1RyL3evEhn3RbMY2vgThzWgq-fJN/view" TargetMode="External"/><Relationship Id="rId1826" Type="http://schemas.openxmlformats.org/officeDocument/2006/relationships/hyperlink" Target="https://drive.google.com/file/d/10RRCP9PqW1a0aXZkHVOxVr_hGOY01_Ce/view" TargetMode="External"/><Relationship Id="rId20" Type="http://schemas.openxmlformats.org/officeDocument/2006/relationships/hyperlink" Target="https://drive.google.com/file/d/1p2iUJtng5C_UXPw0fI_hg5oznXFeBhpI/view" TargetMode="External"/><Relationship Id="rId267" Type="http://schemas.openxmlformats.org/officeDocument/2006/relationships/hyperlink" Target="https://drive.google.com/file/d/1N4Zo1nyoTRwV-8yeADEdYoewjbxnID-Z/view" TargetMode="External"/><Relationship Id="rId474" Type="http://schemas.openxmlformats.org/officeDocument/2006/relationships/hyperlink" Target="https://drive.google.com/file/d/1CGnDxWakVhMcyf3ArpxC0Xg8NB2NJ04m/view?usp=drive_link" TargetMode="External"/><Relationship Id="rId127" Type="http://schemas.openxmlformats.org/officeDocument/2006/relationships/hyperlink" Target="https://drive.google.com/file/d/1Jq87qjyP8CX6GzfZ6UTJqN8h3tUDVJ4L/view" TargetMode="External"/><Relationship Id="rId681" Type="http://schemas.openxmlformats.org/officeDocument/2006/relationships/hyperlink" Target="https://drive.google.com/file/d/1YYboHNgsShFzYyBHMkUoSzib7zJkM_P6/view" TargetMode="External"/><Relationship Id="rId779" Type="http://schemas.openxmlformats.org/officeDocument/2006/relationships/hyperlink" Target="https://drive.google.com/file/d/1SVtLDrCgd-EGMvj8P0ZCjolJ1bcQnWdH/view?usp=drive_link" TargetMode="External"/><Relationship Id="rId986" Type="http://schemas.openxmlformats.org/officeDocument/2006/relationships/hyperlink" Target="https://drive.google.com/file/d/1hU_NG6jWFnAFsctWfxIixSLdfdg-2vbM/view" TargetMode="External"/><Relationship Id="rId334" Type="http://schemas.openxmlformats.org/officeDocument/2006/relationships/hyperlink" Target="https://drive.google.com/file/d/1hhxNGrt1RWUdQCNORiATApfV6dbwQHYv/view?usp=drive_link" TargetMode="External"/><Relationship Id="rId541" Type="http://schemas.openxmlformats.org/officeDocument/2006/relationships/hyperlink" Target="https://drive.google.com/file/d/1rhCvHfKmw2WQRnaHsokOte7r7Nl3uIJy/view" TargetMode="External"/><Relationship Id="rId639" Type="http://schemas.openxmlformats.org/officeDocument/2006/relationships/hyperlink" Target="https://drive.google.com/file/d/1jRWn6nkUc6PyzKFIrav2bztHDn61jQYs/view" TargetMode="External"/><Relationship Id="rId1171" Type="http://schemas.openxmlformats.org/officeDocument/2006/relationships/hyperlink" Target="https://drive.google.com/file/d/1AjudEJfSeA5pObV4i_-2eZywBMH4FjUH/view" TargetMode="External"/><Relationship Id="rId1269" Type="http://schemas.openxmlformats.org/officeDocument/2006/relationships/hyperlink" Target="https://drive.google.com/file/d/18HTGOY9i7bxWMrMLMgWvctC0TQbGDm_d/view?usp=drive_link" TargetMode="External"/><Relationship Id="rId1476" Type="http://schemas.openxmlformats.org/officeDocument/2006/relationships/hyperlink" Target="https://drive.google.com/file/d/1ivqBk1OAmLirXhfrxLBzeUL_jJxegxDI/view?usp=drive_link" TargetMode="External"/><Relationship Id="rId2015" Type="http://schemas.openxmlformats.org/officeDocument/2006/relationships/hyperlink" Target="https://drive.google.com/file/d/1MQhooDZfb_a8dh1XjYQap8rFcmtl5opU/view" TargetMode="External"/><Relationship Id="rId401" Type="http://schemas.openxmlformats.org/officeDocument/2006/relationships/hyperlink" Target="https://drive.google.com/file/d/1j2tLIzNNUoZkZ243oPB10Uwaw2b3_A58/view?usp=drive_link" TargetMode="External"/><Relationship Id="rId846" Type="http://schemas.openxmlformats.org/officeDocument/2006/relationships/hyperlink" Target="https://drive.google.com/file/d/1j8yRlDYok5MJSeLQ4eUWBEa5wF2-pNRd/view?usp=drive_link" TargetMode="External"/><Relationship Id="rId1031" Type="http://schemas.openxmlformats.org/officeDocument/2006/relationships/hyperlink" Target="https://drive.google.com/file/d/1rB6fHuIxGh5D4VZSJD6ZhvSpEbCfXrnN/view?usp=drive_link" TargetMode="External"/><Relationship Id="rId1129" Type="http://schemas.openxmlformats.org/officeDocument/2006/relationships/hyperlink" Target="https://drive.google.com/file/d/1De6vO_A2TlUNz8pj1sCUy_mHHl1A_xUW/view" TargetMode="External"/><Relationship Id="rId1683" Type="http://schemas.openxmlformats.org/officeDocument/2006/relationships/hyperlink" Target="https://drive.google.com/file/d/1YiebLoAQwQ3DDXk7k09Eme9jE5xzfvGC/view?usp=drive_link" TargetMode="External"/><Relationship Id="rId1890" Type="http://schemas.openxmlformats.org/officeDocument/2006/relationships/hyperlink" Target="https://drive.google.com/file/d/1oKDXnxtrdsnKiXx-rE-IOxBOcPslLQ0_/view?usp=drive_link" TargetMode="External"/><Relationship Id="rId1988" Type="http://schemas.openxmlformats.org/officeDocument/2006/relationships/hyperlink" Target="https://drive.google.com/file/d/197Upk1lRbxo1iH4nl3_asxDxnnQz-xvq/view" TargetMode="External"/><Relationship Id="rId706" Type="http://schemas.openxmlformats.org/officeDocument/2006/relationships/hyperlink" Target="https://drive.google.com/file/d/1oaU6aDLcm-WgPEMXNtdBYkqXGGsSkflq/view?usp=drive_link" TargetMode="External"/><Relationship Id="rId913" Type="http://schemas.openxmlformats.org/officeDocument/2006/relationships/hyperlink" Target="https://drive.google.com/file/d/1XNlB-TCqjbu1MIFEoH3KzWJaFDA0h4Mr/view?usp=drive_link" TargetMode="External"/><Relationship Id="rId1336" Type="http://schemas.openxmlformats.org/officeDocument/2006/relationships/hyperlink" Target="https://drive.google.com/file/d/1zGDlAkBICsrR-ZMduYzZLDdRYy5sHjtH/view?usp=drive_link" TargetMode="External"/><Relationship Id="rId1543" Type="http://schemas.openxmlformats.org/officeDocument/2006/relationships/hyperlink" Target="https://drive.google.com/file/d/1b2eV06jwkZD183bC3zSDazL4_RSDXHSq/view?usp=drive_link" TargetMode="External"/><Relationship Id="rId1750" Type="http://schemas.openxmlformats.org/officeDocument/2006/relationships/hyperlink" Target="https://drive.google.com/file/d/1oGYK0VIxvZWojb4mGJZZsBVC1SfDMY6y/view?usp=drive_link" TargetMode="External"/><Relationship Id="rId42" Type="http://schemas.openxmlformats.org/officeDocument/2006/relationships/hyperlink" Target="https://drive.google.com/file/d/1c3FBPHHZ7t7n-uvjJkQ1bEwKAXm0RkFQ/view" TargetMode="External"/><Relationship Id="rId1403" Type="http://schemas.openxmlformats.org/officeDocument/2006/relationships/hyperlink" Target="https://drive.google.com/file/d/1TDk98vxQ3RO5Vex4gTvzQ8srdHf8VMYQ/view?usp=drive_link" TargetMode="External"/><Relationship Id="rId1610" Type="http://schemas.openxmlformats.org/officeDocument/2006/relationships/hyperlink" Target="https://drive.google.com/file/d/1nvLtx1HJOnLb38HmGIORDb_hqRjZMsuK/view?usp=drive_link" TargetMode="External"/><Relationship Id="rId1848" Type="http://schemas.openxmlformats.org/officeDocument/2006/relationships/hyperlink" Target="https://drive.google.com/file/d/11gAT3uSf6EhqY1gp7ESxBQx3ZJOIXz2O/view" TargetMode="External"/><Relationship Id="rId191" Type="http://schemas.openxmlformats.org/officeDocument/2006/relationships/hyperlink" Target="https://drive.google.com/file/d/1fD7AWmASsFIlXlxUeMDyf0RwmeJ-UJ8T/view" TargetMode="External"/><Relationship Id="rId1708" Type="http://schemas.openxmlformats.org/officeDocument/2006/relationships/hyperlink" Target="https://drive.google.com/file/d/1hqFUNz-YrJL1D-KF62ciGzKLn0jl5v4Y/view?usp=drive_link" TargetMode="External"/><Relationship Id="rId1915" Type="http://schemas.openxmlformats.org/officeDocument/2006/relationships/hyperlink" Target="https://drive.google.com/file/d/1VU2oD951xXfxe0_lC75k2-XwxUlhDyj9/view?usp=drive_link" TargetMode="External"/><Relationship Id="rId289" Type="http://schemas.openxmlformats.org/officeDocument/2006/relationships/hyperlink" Target="https://drive.google.com/file/d/1p2iUJtng5C_UXPw0fI_hg5oznXFeBhpI/view" TargetMode="External"/><Relationship Id="rId496" Type="http://schemas.openxmlformats.org/officeDocument/2006/relationships/hyperlink" Target="https://drive.google.com/file/d/1E_lw9TkbspjWKBlfCTRgy2po44C1TCJP/view?usp=drive_link" TargetMode="External"/><Relationship Id="rId149" Type="http://schemas.openxmlformats.org/officeDocument/2006/relationships/hyperlink" Target="https://drive.google.com/file/d/1PN5QKrWfuLNLtg-y5ctP3wPnqv2s1Rlm/view" TargetMode="External"/><Relationship Id="rId356" Type="http://schemas.openxmlformats.org/officeDocument/2006/relationships/hyperlink" Target="https://drive.google.com/file/d/1LSdEMIAx0nOnLCMaT-0CJD9nxONTEfbb/view?usp=drive_link" TargetMode="External"/><Relationship Id="rId563" Type="http://schemas.openxmlformats.org/officeDocument/2006/relationships/hyperlink" Target="https://drive.google.com/file/d/1rhCvHfKmw2WQRnaHsokOte7r7Nl3uIJy/view" TargetMode="External"/><Relationship Id="rId770" Type="http://schemas.openxmlformats.org/officeDocument/2006/relationships/hyperlink" Target="https://drive.google.com/file/d/1xtKK1s6-PHzFzBwpapa8NlHm2NARujAZ/view?usp=drive_link" TargetMode="External"/><Relationship Id="rId1193" Type="http://schemas.openxmlformats.org/officeDocument/2006/relationships/hyperlink" Target="https://drive.google.com/file/d/11gAT3uSf6EhqY1gp7ESxBQx3ZJOIXz2O/view" TargetMode="External"/><Relationship Id="rId2037" Type="http://schemas.openxmlformats.org/officeDocument/2006/relationships/hyperlink" Target="https://drive.google.com/file/d/10HQlUfuCM9rvKh755NA9pHKofaluje0o/view" TargetMode="External"/><Relationship Id="rId216" Type="http://schemas.openxmlformats.org/officeDocument/2006/relationships/hyperlink" Target="https://drive.google.com/file/d/17kFHEbF-AEDFcJjjgAoxnDoBUieKKDg3/view" TargetMode="External"/><Relationship Id="rId423" Type="http://schemas.openxmlformats.org/officeDocument/2006/relationships/hyperlink" Target="https://drive.google.com/file/d/1l032NhkgI8VXW1YdwE6IVXJ95axS_1_N/view?usp=drive_link" TargetMode="External"/><Relationship Id="rId868" Type="http://schemas.openxmlformats.org/officeDocument/2006/relationships/hyperlink" Target="https://drive.google.com/file/d/1rOTt3bC6ZLN5P-SA_JVctRcIj9J1mxVr/view?usp=drive_link" TargetMode="External"/><Relationship Id="rId1053" Type="http://schemas.openxmlformats.org/officeDocument/2006/relationships/hyperlink" Target="https://drive.google.com/file/d/17TfQKd0Cd9yG2mhJV3bja_JAtLRy5Hq5/view?usp=drive_link" TargetMode="External"/><Relationship Id="rId1260" Type="http://schemas.openxmlformats.org/officeDocument/2006/relationships/hyperlink" Target="https://drive.google.com/file/d/1Fr7FnU1zhPXLqSCHSNAy1t-LB8P_O5uZ/view?usp=drive_link" TargetMode="External"/><Relationship Id="rId1498" Type="http://schemas.openxmlformats.org/officeDocument/2006/relationships/hyperlink" Target="https://drive.google.com/file/d/1nd2LuxXC_tnKKOUoZp-2rCmz6m31uExe/view?usp=drive_link" TargetMode="External"/><Relationship Id="rId630" Type="http://schemas.openxmlformats.org/officeDocument/2006/relationships/hyperlink" Target="https://drive.google.com/file/d/1jRWn6nkUc6PyzKFIrav2bztHDn61jQYs/view" TargetMode="External"/><Relationship Id="rId728" Type="http://schemas.openxmlformats.org/officeDocument/2006/relationships/hyperlink" Target="https://drive.google.com/file/d/1hvQKcWIheA72v1UtBckv-ww6mLtFEX5e/view?usp=drive_link" TargetMode="External"/><Relationship Id="rId935" Type="http://schemas.openxmlformats.org/officeDocument/2006/relationships/hyperlink" Target="https://drive.google.com/file/d/1C77z3tm5EXrMVDwQXL6nGlcUbobUc3K6/view" TargetMode="External"/><Relationship Id="rId1358" Type="http://schemas.openxmlformats.org/officeDocument/2006/relationships/hyperlink" Target="https://drive.google.com/file/d/1MQhooDZfb_a8dh1XjYQap8rFcmtl5opU/view" TargetMode="External"/><Relationship Id="rId1565" Type="http://schemas.openxmlformats.org/officeDocument/2006/relationships/hyperlink" Target="https://drive.google.com/file/d/1xxrE3LPgzlDH2hVcRgO9_8Tj9dwrwVwk/view?usp=drive_link" TargetMode="External"/><Relationship Id="rId1772" Type="http://schemas.openxmlformats.org/officeDocument/2006/relationships/hyperlink" Target="https://drive.google.com/file/d/1Q6MU9kG1fczWg0z99j87JV0I8dZyJDIP/view" TargetMode="External"/><Relationship Id="rId64" Type="http://schemas.openxmlformats.org/officeDocument/2006/relationships/hyperlink" Target="https://drive.google.com/file/d/1aotzsm6c1YRrRltmEBM3La85GahLY-Sa/view" TargetMode="External"/><Relationship Id="rId1120" Type="http://schemas.openxmlformats.org/officeDocument/2006/relationships/hyperlink" Target="https://drive.google.com/file/d/1AWxAuRE6Vg50Zv6iozolSxiyZ-AwV82_/view?usp=drive_link" TargetMode="External"/><Relationship Id="rId1218" Type="http://schemas.openxmlformats.org/officeDocument/2006/relationships/hyperlink" Target="https://drive.google.com/file/d/1qRnd6QBDXGDZrXClC7fkscnVjqbMHsCo/view?usp=drive_link" TargetMode="External"/><Relationship Id="rId1425" Type="http://schemas.openxmlformats.org/officeDocument/2006/relationships/hyperlink" Target="https://drive.google.com/file/d/1FFvziYQynsq9IGYLQaJ37iQbYGYyI7tt/view?usp=drive_link" TargetMode="External"/><Relationship Id="rId1632" Type="http://schemas.openxmlformats.org/officeDocument/2006/relationships/hyperlink" Target="https://drive.google.com/file/d/1jjzR1RyL3evEhn3RbMY2vgThzWgq-fJN/view" TargetMode="External"/><Relationship Id="rId1937" Type="http://schemas.openxmlformats.org/officeDocument/2006/relationships/hyperlink" Target="https://drive.google.com/file/d/1862llNXCy3_gI0LM41mc5JpDXdHEOV2P/view?usp=drive_link" TargetMode="External"/><Relationship Id="rId280" Type="http://schemas.openxmlformats.org/officeDocument/2006/relationships/hyperlink" Target="https://drive.google.com/file/d/1u7fyxEhz5ZBdqEUOis7aQ3eZaoNHO5t6/view" TargetMode="External"/><Relationship Id="rId140" Type="http://schemas.openxmlformats.org/officeDocument/2006/relationships/hyperlink" Target="https://drive.google.com/file/d/11ckN00HUeGC8mZ4NTbuNo3XBAKRafCzJ/view" TargetMode="External"/><Relationship Id="rId378" Type="http://schemas.openxmlformats.org/officeDocument/2006/relationships/hyperlink" Target="https://drive.google.com/file/d/1eSxlhhtsJOyik_7Sfm5xJHDz0O_y42HO/view?usp=drive_link" TargetMode="External"/><Relationship Id="rId585" Type="http://schemas.openxmlformats.org/officeDocument/2006/relationships/hyperlink" Target="https://drive.google.com/file/d/1TkkF924YYfv_46cDxUoc3DW_cdMcch42/view" TargetMode="External"/><Relationship Id="rId792" Type="http://schemas.openxmlformats.org/officeDocument/2006/relationships/hyperlink" Target="https://drive.google.com/file/d/1SQaSL7hmUFSKHN8i7pVPvx3STLMqAOAw/view?usp=drive_link" TargetMode="External"/><Relationship Id="rId2059" Type="http://schemas.openxmlformats.org/officeDocument/2006/relationships/hyperlink" Target="https://drive.google.com/file/d/1PENkN1gZNt6kuWDXStzbi8Z0DiwcY8HX/view?usp=drive_link" TargetMode="External"/><Relationship Id="rId6" Type="http://schemas.openxmlformats.org/officeDocument/2006/relationships/hyperlink" Target="https://drive.google.com/file/d/1Jq87qjyP8CX6GzfZ6UTJqN8h3tUDVJ4L/view" TargetMode="External"/><Relationship Id="rId238" Type="http://schemas.openxmlformats.org/officeDocument/2006/relationships/hyperlink" Target="https://drive.google.com/file/d/1fD7AWmASsFIlXlxUeMDyf0RwmeJ-UJ8T/view" TargetMode="External"/><Relationship Id="rId445" Type="http://schemas.openxmlformats.org/officeDocument/2006/relationships/hyperlink" Target="https://drive.google.com/file/d/1iRpGkfGlUpy_9sZc0sYjyX4pKKrv-yKh/view?usp=drive_link" TargetMode="External"/><Relationship Id="rId652" Type="http://schemas.openxmlformats.org/officeDocument/2006/relationships/hyperlink" Target="https://drive.google.com/file/d/1iBr6b26MBv3-qs2HfZPBv-_SZMciRoSv/view" TargetMode="External"/><Relationship Id="rId1075" Type="http://schemas.openxmlformats.org/officeDocument/2006/relationships/hyperlink" Target="https://drive.google.com/file/d/1LGG-xHMY2FIvsrUQHdBsimZyc6oVwUHI/view?usp=drive_link" TargetMode="External"/><Relationship Id="rId1282" Type="http://schemas.openxmlformats.org/officeDocument/2006/relationships/hyperlink" Target="https://drive.google.com/file/d/1_yjMQo6gzbHLiIya48Wdfww-Xb1eVGfK/view?usp=drive_link" TargetMode="External"/><Relationship Id="rId305" Type="http://schemas.openxmlformats.org/officeDocument/2006/relationships/hyperlink" Target="https://drive.google.com/file/d/1N4Zo1nyoTRwV-8yeADEdYoewjbxnID-Z/view?usp=drive_link" TargetMode="External"/><Relationship Id="rId512" Type="http://schemas.openxmlformats.org/officeDocument/2006/relationships/hyperlink" Target="https://drive.google.com/file/d/1zxbs_azC4N6-X3OZD0Sz6VP6Xjewm9-8/view" TargetMode="External"/><Relationship Id="rId957" Type="http://schemas.openxmlformats.org/officeDocument/2006/relationships/hyperlink" Target="https://drive.google.com/file/d/1Ea4IsWWBHCZ29uRy7Zxp0SvMnOmdjCvn/view" TargetMode="External"/><Relationship Id="rId1142" Type="http://schemas.openxmlformats.org/officeDocument/2006/relationships/hyperlink" Target="https://drive.google.com/file/d/1gB5Fi3nL6FCTnmd91Ei3_QQJ9QXEVQuG/view" TargetMode="External"/><Relationship Id="rId1587" Type="http://schemas.openxmlformats.org/officeDocument/2006/relationships/hyperlink" Target="https://drive.google.com/file/d/1N6JLvInqt6UGVAo8jpPfLxV1anlM3LhC/view" TargetMode="External"/><Relationship Id="rId1794" Type="http://schemas.openxmlformats.org/officeDocument/2006/relationships/hyperlink" Target="https://drive.google.com/file/d/1-9vqHAxMY7EOdGCf_1JiVVh1sMtEsHwD/view?usp=drive_link" TargetMode="External"/><Relationship Id="rId86" Type="http://schemas.openxmlformats.org/officeDocument/2006/relationships/hyperlink" Target="https://drive.google.com/file/d/1Xx52lP-CL3Mjgh7XgJuGe8OZtl_A0Kie/view" TargetMode="External"/><Relationship Id="rId817" Type="http://schemas.openxmlformats.org/officeDocument/2006/relationships/hyperlink" Target="https://drive.google.com/file/d/14YXw1eE_uNUTiyyJLFE-3TZXAvUd7kRa/view?usp=drive_link" TargetMode="External"/><Relationship Id="rId1002" Type="http://schemas.openxmlformats.org/officeDocument/2006/relationships/hyperlink" Target="https://drive.google.com/file/d/1jjzR1RyL3evEhn3RbMY2vgThzWgq-fJN/view" TargetMode="External"/><Relationship Id="rId1447" Type="http://schemas.openxmlformats.org/officeDocument/2006/relationships/hyperlink" Target="https://drive.google.com/file/d/1nxqhANLSmBJ-olV0_wGYRyXJpm4XiNGD/view?usp=drive_link" TargetMode="External"/><Relationship Id="rId1654" Type="http://schemas.openxmlformats.org/officeDocument/2006/relationships/hyperlink" Target="https://drive.google.com/file/d/1uEFxmPjjwD8Nqb0QvhaTsvG7Fe2EVwdA/view?usp=drive_link" TargetMode="External"/><Relationship Id="rId1861" Type="http://schemas.openxmlformats.org/officeDocument/2006/relationships/hyperlink" Target="https://drive.google.com/file/d/12tCRalajPMVE-onCQiXS7R_4zEPBFs_C/view?usp=drive_link" TargetMode="External"/><Relationship Id="rId1307" Type="http://schemas.openxmlformats.org/officeDocument/2006/relationships/hyperlink" Target="https://drive.google.com/file/d/1xvK7oL2060tGjomnxIMM_vkytJCIFbUM/view" TargetMode="External"/><Relationship Id="rId1514" Type="http://schemas.openxmlformats.org/officeDocument/2006/relationships/hyperlink" Target="https://drive.google.com/file/d/1_Jil7Wkfj5WOP-6FE-VdY7qc0mLZ5DUM/view?usp=drive_link" TargetMode="External"/><Relationship Id="rId1721" Type="http://schemas.openxmlformats.org/officeDocument/2006/relationships/hyperlink" Target="https://drive.google.com/file/d/1U_VfOs-qUWoEMVHPtt9sq2AZH--X8AwT/view?usp=drive_link" TargetMode="External"/><Relationship Id="rId1959" Type="http://schemas.openxmlformats.org/officeDocument/2006/relationships/hyperlink" Target="https://drive.google.com/file/d/1m_ZcOGPlgePKQ5iHcOHOG_LcxNkDkiJ-/view?usp=drive_link" TargetMode="External"/><Relationship Id="rId13" Type="http://schemas.openxmlformats.org/officeDocument/2006/relationships/hyperlink" Target="https://drive.google.com/file/d/1Xv5IhBhdmlrvaY32k_gxD4v2dwCxj2S0/view" TargetMode="External"/><Relationship Id="rId1819" Type="http://schemas.openxmlformats.org/officeDocument/2006/relationships/hyperlink" Target="https://drive.google.com/file/d/10RRCP9PqW1a0aXZkHVOxVr_hGOY01_Ce/view" TargetMode="External"/><Relationship Id="rId162" Type="http://schemas.openxmlformats.org/officeDocument/2006/relationships/hyperlink" Target="https://drive.google.com/file/d/1Xv5IhBhdmlrvaY32k_gxD4v2dwCxj2S0/view" TargetMode="External"/><Relationship Id="rId467" Type="http://schemas.openxmlformats.org/officeDocument/2006/relationships/hyperlink" Target="https://drive.google.com/file/d/1CGnDxWakVhMcyf3ArpxC0Xg8NB2NJ04m/view?usp=drive_link" TargetMode="External"/><Relationship Id="rId1097" Type="http://schemas.openxmlformats.org/officeDocument/2006/relationships/hyperlink" Target="https://drive.google.com/file/d/1XDJ17puSEKXRlcpoac80pcUkSirH5iqT/view?usp=drive_link" TargetMode="External"/><Relationship Id="rId2050" Type="http://schemas.openxmlformats.org/officeDocument/2006/relationships/hyperlink" Target="https://drive.google.com/file/d/1mRE_86OJyxRYZgYUPJM_u7Ak456wW--d/view?usp=drive_link" TargetMode="External"/><Relationship Id="rId674" Type="http://schemas.openxmlformats.org/officeDocument/2006/relationships/hyperlink" Target="https://drive.google.com/file/d/1pVsRJ1dyo2hYWyHHI4kWWKMR6i84lDfX/view?usp=sharing" TargetMode="External"/><Relationship Id="rId881" Type="http://schemas.openxmlformats.org/officeDocument/2006/relationships/hyperlink" Target="https://drive.google.com/file/d/1UDZ3DSBMcsK5rQzLJk4M0--CngCzKop9/view?usp=drive_link" TargetMode="External"/><Relationship Id="rId979" Type="http://schemas.openxmlformats.org/officeDocument/2006/relationships/hyperlink" Target="https://drive.google.com/file/d/1hU_NG6jWFnAFsctWfxIixSLdfdg-2vbM/view" TargetMode="External"/><Relationship Id="rId327" Type="http://schemas.openxmlformats.org/officeDocument/2006/relationships/hyperlink" Target="https://drive.google.com/file/d/1auczJq74YC7zQtmuh6xlGQH7tRkhMdYG/view?usp=drive_link" TargetMode="External"/><Relationship Id="rId534" Type="http://schemas.openxmlformats.org/officeDocument/2006/relationships/hyperlink" Target="https://drive.google.com/file/d/1KD8Xfrs6ZPDDeNsgaKv-b1oJyOORtcmH/view" TargetMode="External"/><Relationship Id="rId741" Type="http://schemas.openxmlformats.org/officeDocument/2006/relationships/hyperlink" Target="https://drive.google.com/file/d/1ObN57YJNOg65CaDV-I6Uf3vEwf4ffCFW/view?usp=drive_link" TargetMode="External"/><Relationship Id="rId839" Type="http://schemas.openxmlformats.org/officeDocument/2006/relationships/hyperlink" Target="https://drive.google.com/file/d/1q1S8kM3uWaJrbD9mRZ_cWxaj0alzeKgN/view?usp=drive_link" TargetMode="External"/><Relationship Id="rId1164" Type="http://schemas.openxmlformats.org/officeDocument/2006/relationships/hyperlink" Target="https://drive.google.com/file/d/1AjudEJfSeA5pObV4i_-2eZywBMH4FjUH/view" TargetMode="External"/><Relationship Id="rId1371" Type="http://schemas.openxmlformats.org/officeDocument/2006/relationships/hyperlink" Target="https://drive.google.com/file/d/10HQlUfuCM9rvKh755NA9pHKofaluje0o/view" TargetMode="External"/><Relationship Id="rId1469" Type="http://schemas.openxmlformats.org/officeDocument/2006/relationships/hyperlink" Target="https://drive.google.com/file/d/1ivqBk1OAmLirXhfrxLBzeUL_jJxegxDI/view?usp=drive_link" TargetMode="External"/><Relationship Id="rId2008" Type="http://schemas.openxmlformats.org/officeDocument/2006/relationships/hyperlink" Target="https://drive.google.com/file/d/1PBCEYtD7A6r3bmKeU8hWJH7w8BXVVzH1/view" TargetMode="External"/><Relationship Id="rId601" Type="http://schemas.openxmlformats.org/officeDocument/2006/relationships/hyperlink" Target="https://drive.google.com/file/d/12FCTiQHROItKTuE1paH0D-F5NmHrtpx8/view" TargetMode="External"/><Relationship Id="rId1024" Type="http://schemas.openxmlformats.org/officeDocument/2006/relationships/hyperlink" Target="https://drive.google.com/file/d/1dtmjjVifpdyX31hTWKtbOj-VXJHs1FLR/view?usp=drive_link" TargetMode="External"/><Relationship Id="rId1231" Type="http://schemas.openxmlformats.org/officeDocument/2006/relationships/hyperlink" Target="https://drive.google.com/file/d/1wFL1KQ-QVw5hSLZv1AF-r-UdMul7WJMk/view?usp=drive_link" TargetMode="External"/><Relationship Id="rId1676" Type="http://schemas.openxmlformats.org/officeDocument/2006/relationships/hyperlink" Target="https://drive.google.com/file/d/1YiebLoAQwQ3DDXk7k09Eme9jE5xzfvGC/view?usp=drive_link" TargetMode="External"/><Relationship Id="rId1883" Type="http://schemas.openxmlformats.org/officeDocument/2006/relationships/hyperlink" Target="https://drive.google.com/file/d/1Si-fSzjLqtub6Ffxa9vP4q5-r_GljdPA/view?usp=drive_link" TargetMode="External"/><Relationship Id="rId906" Type="http://schemas.openxmlformats.org/officeDocument/2006/relationships/hyperlink" Target="https://drive.google.com/file/d/1N4Zo1nyoTRwV-8yeADEdYoewjbxnID-Z/view?usp=drive_link" TargetMode="External"/><Relationship Id="rId1329" Type="http://schemas.openxmlformats.org/officeDocument/2006/relationships/hyperlink" Target="https://drive.google.com/file/d/1zGDlAkBICsrR-ZMduYzZLDdRYy5sHjtH/view?usp=drive_link" TargetMode="External"/><Relationship Id="rId1536" Type="http://schemas.openxmlformats.org/officeDocument/2006/relationships/hyperlink" Target="https://drive.google.com/file/d/1b2eV06jwkZD183bC3zSDazL4_RSDXHSq/view?usp=drive_link" TargetMode="External"/><Relationship Id="rId1743" Type="http://schemas.openxmlformats.org/officeDocument/2006/relationships/hyperlink" Target="https://drive.google.com/file/d/1PNmp5EMW5WyKjKqULNrxDdbiU7_eGUj0/view?usp=drive_link" TargetMode="External"/><Relationship Id="rId1950" Type="http://schemas.openxmlformats.org/officeDocument/2006/relationships/hyperlink" Target="https://drive.google.com/file/d/1QZ18QaTmJF4nT-dAtMgJlTUA-K3sOYAQ/view?usp=drive_link" TargetMode="External"/><Relationship Id="rId35" Type="http://schemas.openxmlformats.org/officeDocument/2006/relationships/hyperlink" Target="https://drive.google.com/file/d/1erAewuQjYKuSzO2J7M_BGEAM7u-DEnI2/view" TargetMode="External"/><Relationship Id="rId1603" Type="http://schemas.openxmlformats.org/officeDocument/2006/relationships/hyperlink" Target="https://drive.google.com/file/d/1nvLtx1HJOnLb38HmGIORDb_hqRjZMsuK/view?usp=drive_link" TargetMode="External"/><Relationship Id="rId1810" Type="http://schemas.openxmlformats.org/officeDocument/2006/relationships/hyperlink" Target="https://drive.google.com/file/d/1AjudEJfSeA5pObV4i_-2eZywBMH4FjUH/view" TargetMode="External"/><Relationship Id="rId184" Type="http://schemas.openxmlformats.org/officeDocument/2006/relationships/hyperlink" Target="https://drive.google.com/file/d/1xNwrwZ-kLTM_YhVN0HOVWrlrlMM1DCgm/view" TargetMode="External"/><Relationship Id="rId391" Type="http://schemas.openxmlformats.org/officeDocument/2006/relationships/hyperlink" Target="https://drive.google.com/file/d/1HbIMSG327H4IroIIbzG-UoNFRHW9d4tq/view?usp=drive_link" TargetMode="External"/><Relationship Id="rId1908" Type="http://schemas.openxmlformats.org/officeDocument/2006/relationships/hyperlink" Target="https://drive.google.com/file/d/1EFP77JsHwvOLRKb7NL4f0-WTRLI4zmhV/view?usp=drive_link" TargetMode="External"/><Relationship Id="rId2072" Type="http://schemas.openxmlformats.org/officeDocument/2006/relationships/hyperlink" Target="https://drive.google.com/file/d/1l3XQXS4Q2FCMyGl__1oip2yGbK6ML46S/view?usp=drive_link" TargetMode="External"/><Relationship Id="rId251" Type="http://schemas.openxmlformats.org/officeDocument/2006/relationships/hyperlink" Target="https://drive.google.com/file/d/17kFHEbF-AEDFcJjjgAoxnDoBUieKKDg3/view" TargetMode="External"/><Relationship Id="rId489" Type="http://schemas.openxmlformats.org/officeDocument/2006/relationships/hyperlink" Target="https://drive.google.com/file/d/1hmXY9RLSychgJTsAJz7iOoJsrTTIp1VT/view?usp=drive_link" TargetMode="External"/><Relationship Id="rId696" Type="http://schemas.openxmlformats.org/officeDocument/2006/relationships/hyperlink" Target="https://drive.google.com/file/d/1SQaSL7hmUFSKHN8i7pVPvx3STLMqAOAw/view?usp=drive_link" TargetMode="External"/><Relationship Id="rId349" Type="http://schemas.openxmlformats.org/officeDocument/2006/relationships/hyperlink" Target="https://drive.google.com/file/d/1txs_xJtZSRV3s1r41GM6nzBz3ZapFemu/view?usp=drive_link" TargetMode="External"/><Relationship Id="rId556" Type="http://schemas.openxmlformats.org/officeDocument/2006/relationships/hyperlink" Target="https://drive.google.com/file/d/1rhCvHfKmw2WQRnaHsokOte7r7Nl3uIJy/view" TargetMode="External"/><Relationship Id="rId763" Type="http://schemas.openxmlformats.org/officeDocument/2006/relationships/hyperlink" Target="https://drive.google.com/file/d/1xtKK1s6-PHzFzBwpapa8NlHm2NARujAZ/view?usp=drive_link" TargetMode="External"/><Relationship Id="rId1186" Type="http://schemas.openxmlformats.org/officeDocument/2006/relationships/hyperlink" Target="https://drive.google.com/file/d/10RRCP9PqW1a0aXZkHVOxVr_hGOY01_Ce/view" TargetMode="External"/><Relationship Id="rId1393" Type="http://schemas.openxmlformats.org/officeDocument/2006/relationships/hyperlink" Target="https://drive.google.com/file/d/16iCRVZ9FIxsqJnxI634PDZC4GeoM1QjJ/view?usp=drive_link" TargetMode="External"/><Relationship Id="rId111" Type="http://schemas.openxmlformats.org/officeDocument/2006/relationships/hyperlink" Target="https://drive.google.com/file/d/1XRwotDLG4Wn7ltT3YhUdshMCpqVktKT8/view" TargetMode="External"/><Relationship Id="rId209" Type="http://schemas.openxmlformats.org/officeDocument/2006/relationships/hyperlink" Target="https://drive.google.com/file/d/1Ri-YAEWJjvz1PE2D5W_tY9aB0o-kD3Cx/view" TargetMode="External"/><Relationship Id="rId416" Type="http://schemas.openxmlformats.org/officeDocument/2006/relationships/hyperlink" Target="https://drive.google.com/file/d/1Mz-UnKO6rFVDA_Sts8kV4Nb6AFgcY8xZ/view?usp=drive_link" TargetMode="External"/><Relationship Id="rId970" Type="http://schemas.openxmlformats.org/officeDocument/2006/relationships/hyperlink" Target="https://drive.google.com/file/d/1dRnOElIobWmdZEkO8BRVE7TU1yvuxQXW/view?usp=drive_link" TargetMode="External"/><Relationship Id="rId1046" Type="http://schemas.openxmlformats.org/officeDocument/2006/relationships/hyperlink" Target="https://drive.google.com/file/d/1EShm-JCEBeUL9t9jvi_3B6OF8gY5AK0w/view?usp=drive_link" TargetMode="External"/><Relationship Id="rId1253" Type="http://schemas.openxmlformats.org/officeDocument/2006/relationships/hyperlink" Target="https://drive.google.com/file/d/1QSpwAu5G5jYzzAO2U4PsRnfbTsKxHd6s/view?usp=drive_link" TargetMode="External"/><Relationship Id="rId1698" Type="http://schemas.openxmlformats.org/officeDocument/2006/relationships/hyperlink" Target="https://drive.google.com/file/d/18gvd1UBIqDir1Ui4hKFDzLdKhiyxJeTK/view?usp=drive_link" TargetMode="External"/><Relationship Id="rId623" Type="http://schemas.openxmlformats.org/officeDocument/2006/relationships/hyperlink" Target="https://drive.google.com/file/d/1YYboHNgsShFzYyBHMkUoSzib7zJkM_P6/view" TargetMode="External"/><Relationship Id="rId830" Type="http://schemas.openxmlformats.org/officeDocument/2006/relationships/hyperlink" Target="https://drive.google.com/file/d/12sTUZOMQU8Yb4ZMfjTWU89XE7G6Mx5fV/view?usp=drive_link" TargetMode="External"/><Relationship Id="rId928" Type="http://schemas.openxmlformats.org/officeDocument/2006/relationships/hyperlink" Target="https://drive.google.com/file/d/1N22qwC0vrqCOzXJ46mu1iA931nPdVUdV/view?usp=drive_link" TargetMode="External"/><Relationship Id="rId1460" Type="http://schemas.openxmlformats.org/officeDocument/2006/relationships/hyperlink" Target="https://drive.google.com/file/d/1YilrYlrEBR5j4gXQtSjyi1aNfDAiAnEu/view?usp=drive_link" TargetMode="External"/><Relationship Id="rId1558" Type="http://schemas.openxmlformats.org/officeDocument/2006/relationships/hyperlink" Target="https://drive.google.com/file/d/1xxrE3LPgzlDH2hVcRgO9_8Tj9dwrwVwk/view?usp=drive_link" TargetMode="External"/><Relationship Id="rId1765" Type="http://schemas.openxmlformats.org/officeDocument/2006/relationships/hyperlink" Target="https://drive.google.com/file/d/1oxqPS_1tBA-gVsLfO5IQXOGLDroKN7-w/view?usp=drive_link" TargetMode="External"/><Relationship Id="rId57" Type="http://schemas.openxmlformats.org/officeDocument/2006/relationships/hyperlink" Target="https://drive.google.com/file/d/1aotzsm6c1YRrRltmEBM3La85GahLY-Sa/view" TargetMode="External"/><Relationship Id="rId1113" Type="http://schemas.openxmlformats.org/officeDocument/2006/relationships/hyperlink" Target="https://drive.google.com/file/d/1AWxAuRE6Vg50Zv6iozolSxiyZ-AwV82_/view?usp=drive_link" TargetMode="External"/><Relationship Id="rId1320" Type="http://schemas.openxmlformats.org/officeDocument/2006/relationships/hyperlink" Target="https://drive.google.com/file/d/1p6hIUtd-nvQqhm5QfcZ7_NmYe6thw_QN/view?usp=drive_link" TargetMode="External"/><Relationship Id="rId1418" Type="http://schemas.openxmlformats.org/officeDocument/2006/relationships/hyperlink" Target="https://drive.google.com/file/d/1IobvhS63KW7w3xiQvQNpxHjV7ZiZaVbc/view?usp=drive_link" TargetMode="External"/><Relationship Id="rId1972" Type="http://schemas.openxmlformats.org/officeDocument/2006/relationships/hyperlink" Target="https://drive.google.com/file/d/1La3JnRLTGosBhQtrjluRdPiS-rya-Lxf/view" TargetMode="External"/><Relationship Id="rId1625" Type="http://schemas.openxmlformats.org/officeDocument/2006/relationships/hyperlink" Target="https://drive.google.com/file/d/1jjzR1RyL3evEhn3RbMY2vgThzWgq-fJN/view" TargetMode="External"/><Relationship Id="rId1832" Type="http://schemas.openxmlformats.org/officeDocument/2006/relationships/hyperlink" Target="https://drive.google.com/file/d/10RRCP9PqW1a0aXZkHVOxVr_hGOY01_Ce/view" TargetMode="External"/><Relationship Id="rId273" Type="http://schemas.openxmlformats.org/officeDocument/2006/relationships/hyperlink" Target="https://drive.google.com/file/d/1N4Zo1nyoTRwV-8yeADEdYoewjbxnID-Z/view?usp=drive_link" TargetMode="External"/><Relationship Id="rId480" Type="http://schemas.openxmlformats.org/officeDocument/2006/relationships/hyperlink" Target="https://drive.google.com/file/d/1hmXY9RLSychgJTsAJz7iOoJsrTTIp1VT/view?usp=drive_link" TargetMode="External"/><Relationship Id="rId133" Type="http://schemas.openxmlformats.org/officeDocument/2006/relationships/hyperlink" Target="https://drive.google.com/file/d/1Jq87qjyP8CX6GzfZ6UTJqN8h3tUDVJ4L/view" TargetMode="External"/><Relationship Id="rId340" Type="http://schemas.openxmlformats.org/officeDocument/2006/relationships/hyperlink" Target="https://drive.google.com/file/d/1hhxNGrt1RWUdQCNORiATApfV6dbwQHYv/view?usp=drive_link" TargetMode="External"/><Relationship Id="rId578" Type="http://schemas.openxmlformats.org/officeDocument/2006/relationships/hyperlink" Target="https://drive.google.com/file/d/1XM56ViSsm-28H781ilJpgfRH-h3HxQCr/view" TargetMode="External"/><Relationship Id="rId785" Type="http://schemas.openxmlformats.org/officeDocument/2006/relationships/hyperlink" Target="https://drive.google.com/file/d/1SQaSL7hmUFSKHN8i7pVPvx3STLMqAOAw/view?usp=drive_link" TargetMode="External"/><Relationship Id="rId992" Type="http://schemas.openxmlformats.org/officeDocument/2006/relationships/hyperlink" Target="https://drive.google.com/file/d/1jjzR1RyL3evEhn3RbMY2vgThzWgq-fJN/view" TargetMode="External"/><Relationship Id="rId2021" Type="http://schemas.openxmlformats.org/officeDocument/2006/relationships/hyperlink" Target="https://drive.google.com/file/d/1MQhooDZfb_a8dh1XjYQap8rFcmtl5opU/view" TargetMode="External"/><Relationship Id="rId200" Type="http://schemas.openxmlformats.org/officeDocument/2006/relationships/hyperlink" Target="https://drive.google.com/file/d/1fD7AWmASsFIlXlxUeMDyf0RwmeJ-UJ8T/view" TargetMode="External"/><Relationship Id="rId438" Type="http://schemas.openxmlformats.org/officeDocument/2006/relationships/hyperlink" Target="https://drive.google.com/file/d/1iRpGkfGlUpy_9sZc0sYjyX4pKKrv-yKh/view?usp=drive_link" TargetMode="External"/><Relationship Id="rId645" Type="http://schemas.openxmlformats.org/officeDocument/2006/relationships/hyperlink" Target="https://drive.google.com/file/d/1iBr6b26MBv3-qs2HfZPBv-_SZMciRoSv/view" TargetMode="External"/><Relationship Id="rId852" Type="http://schemas.openxmlformats.org/officeDocument/2006/relationships/hyperlink" Target="https://drive.google.com/file/d/1j8yRlDYok5MJSeLQ4eUWBEa5wF2-pNRd/view?usp=drive_link" TargetMode="External"/><Relationship Id="rId1068" Type="http://schemas.openxmlformats.org/officeDocument/2006/relationships/hyperlink" Target="https://drive.google.com/file/d/1lHsS9HToAAkVgzUpu0SvP6Q74MdwpNaD/view?usp=drive_link" TargetMode="External"/><Relationship Id="rId1275" Type="http://schemas.openxmlformats.org/officeDocument/2006/relationships/hyperlink" Target="https://drive.google.com/file/d/18HTGOY9i7bxWMrMLMgWvctC0TQbGDm_d/view?usp=drive_link" TargetMode="External"/><Relationship Id="rId1482" Type="http://schemas.openxmlformats.org/officeDocument/2006/relationships/hyperlink" Target="https://drive.google.com/file/d/1fUENaPvI5EGQBpB2AP1I0ESrESO08iWA/view?usp=drive_link" TargetMode="External"/><Relationship Id="rId505" Type="http://schemas.openxmlformats.org/officeDocument/2006/relationships/hyperlink" Target="https://drive.google.com/file/d/1tQyDFiR7dq4GijMcq4Q92uVh9nI1y4mw/view" TargetMode="External"/><Relationship Id="rId712" Type="http://schemas.openxmlformats.org/officeDocument/2006/relationships/hyperlink" Target="https://drive.google.com/file/d/1oaU6aDLcm-WgPEMXNtdBYkqXGGsSkflq/view?usp=drive_link" TargetMode="External"/><Relationship Id="rId1135" Type="http://schemas.openxmlformats.org/officeDocument/2006/relationships/hyperlink" Target="https://drive.google.com/file/d/1gB5Fi3nL6FCTnmd91Ei3_QQJ9QXEVQuG/view" TargetMode="External"/><Relationship Id="rId1342" Type="http://schemas.openxmlformats.org/officeDocument/2006/relationships/hyperlink" Target="https://drive.google.com/file/d/1PBCEYtD7A6r3bmKeU8hWJH7w8BXVVzH1/view" TargetMode="External"/><Relationship Id="rId1787" Type="http://schemas.openxmlformats.org/officeDocument/2006/relationships/hyperlink" Target="https://drive.google.com/file/d/1qZSXHwjD6UiZLiCnVCCPpTfeEZz74aAs/view" TargetMode="External"/><Relationship Id="rId1994" Type="http://schemas.openxmlformats.org/officeDocument/2006/relationships/hyperlink" Target="https://drive.google.com/file/d/1BakHXePkW3JZxwSnUkqqZxtPshE0ewsY/view?usp=drive_link" TargetMode="External"/><Relationship Id="rId79" Type="http://schemas.openxmlformats.org/officeDocument/2006/relationships/hyperlink" Target="https://drive.google.com/file/d/14_e23Fks39g6eB6scWs8oJVkvBf-w1QV/view" TargetMode="External"/><Relationship Id="rId1202" Type="http://schemas.openxmlformats.org/officeDocument/2006/relationships/hyperlink" Target="https://drive.google.com/file/d/11gAT3uSf6EhqY1gp7ESxBQx3ZJOIXz2O/view" TargetMode="External"/><Relationship Id="rId1647" Type="http://schemas.openxmlformats.org/officeDocument/2006/relationships/hyperlink" Target="https://drive.google.com/file/d/1P8dv2yDVWK28813AIv4m4F9tgxPrdqDO/view" TargetMode="External"/><Relationship Id="rId1854" Type="http://schemas.openxmlformats.org/officeDocument/2006/relationships/hyperlink" Target="https://drive.google.com/file/d/18smY9gvWxQDfgihbZYRWZ76-V_fFiVyk/view?usp=drive_link" TargetMode="External"/><Relationship Id="rId1507" Type="http://schemas.openxmlformats.org/officeDocument/2006/relationships/hyperlink" Target="https://drive.google.com/file/d/1W-gf0VbzbihbaBDbivu-eAIuFgmf1g2H/view?usp=drive_link" TargetMode="External"/><Relationship Id="rId1714" Type="http://schemas.openxmlformats.org/officeDocument/2006/relationships/hyperlink" Target="https://drive.google.com/file/d/1U_VfOs-qUWoEMVHPtt9sq2AZH--X8AwT/view?usp=drive_link" TargetMode="External"/><Relationship Id="rId295" Type="http://schemas.openxmlformats.org/officeDocument/2006/relationships/hyperlink" Target="https://drive.google.com/file/d/1N4Zo1nyoTRwV-8yeADEdYoewjbxnID-Z/view" TargetMode="External"/><Relationship Id="rId1921" Type="http://schemas.openxmlformats.org/officeDocument/2006/relationships/hyperlink" Target="https://drive.google.com/file/d/1-kULF92O7kA2Vy-9i1BZzi1_0bIC323S/view?usp=drive_link" TargetMode="External"/><Relationship Id="rId155" Type="http://schemas.openxmlformats.org/officeDocument/2006/relationships/hyperlink" Target="https://drive.google.com/file/d/1Xv5IhBhdmlrvaY32k_gxD4v2dwCxj2S0/view" TargetMode="External"/><Relationship Id="rId362" Type="http://schemas.openxmlformats.org/officeDocument/2006/relationships/hyperlink" Target="https://drive.google.com/file/d/1DE97kviXT-3hj-mPkqohYwgjer1eZUEt/view?usp=drive_link" TargetMode="External"/><Relationship Id="rId1297" Type="http://schemas.openxmlformats.org/officeDocument/2006/relationships/hyperlink" Target="https://drive.google.com/file/d/19aGB7slFQPfIgI387xmUjRUwIeJi_fXB/view?usp=drive_link" TargetMode="External"/><Relationship Id="rId2043" Type="http://schemas.openxmlformats.org/officeDocument/2006/relationships/hyperlink" Target="https://drive.google.com/file/d/10HQlUfuCM9rvKh755NA9pHKofaluje0o/view" TargetMode="External"/><Relationship Id="rId222" Type="http://schemas.openxmlformats.org/officeDocument/2006/relationships/hyperlink" Target="https://drive.google.com/file/d/17kFHEbF-AEDFcJjjgAoxnDoBUieKKDg3/view" TargetMode="External"/><Relationship Id="rId667" Type="http://schemas.openxmlformats.org/officeDocument/2006/relationships/hyperlink" Target="https://drive.google.com/file/d/1pVsRJ1dyo2hYWyHHI4kWWKMR6i84lDfX/view?usp=sharing" TargetMode="External"/><Relationship Id="rId874" Type="http://schemas.openxmlformats.org/officeDocument/2006/relationships/hyperlink" Target="https://drive.google.com/file/d/1Kj7pGsto2d8qxWBBNeFSXHt0ZCv3amEr/view?usp=drive_link" TargetMode="External"/><Relationship Id="rId527" Type="http://schemas.openxmlformats.org/officeDocument/2006/relationships/hyperlink" Target="https://drive.google.com/file/d/1tQyDFiR7dq4GijMcq4Q92uVh9nI1y4mw/view" TargetMode="External"/><Relationship Id="rId734" Type="http://schemas.openxmlformats.org/officeDocument/2006/relationships/hyperlink" Target="https://drive.google.com/file/d/1ObN57YJNOg65CaDV-I6Uf3vEwf4ffCFW/view?usp=drive_link" TargetMode="External"/><Relationship Id="rId941" Type="http://schemas.openxmlformats.org/officeDocument/2006/relationships/hyperlink" Target="https://drive.google.com/file/d/1C77z3tm5EXrMVDwQXL6nGlcUbobUc3K6/view" TargetMode="External"/><Relationship Id="rId1157" Type="http://schemas.openxmlformats.org/officeDocument/2006/relationships/hyperlink" Target="https://drive.google.com/file/d/19xTvun6qzsNy4xAj6wKum7MQ98om515z/view?usp=drive_link" TargetMode="External"/><Relationship Id="rId1364" Type="http://schemas.openxmlformats.org/officeDocument/2006/relationships/hyperlink" Target="https://drive.google.com/file/d/10HQlUfuCM9rvKh755NA9pHKofaluje0o/view" TargetMode="External"/><Relationship Id="rId1571" Type="http://schemas.openxmlformats.org/officeDocument/2006/relationships/hyperlink" Target="https://drive.google.com/file/d/1ruM5f-JPXrFoNb6xNaz40ic4CGr2kGvK/view" TargetMode="External"/><Relationship Id="rId70" Type="http://schemas.openxmlformats.org/officeDocument/2006/relationships/hyperlink" Target="https://drive.google.com/file/d/16ZFwzklgzbqlTBk2PblSupsG8QWIVKhr/view" TargetMode="External"/><Relationship Id="rId801" Type="http://schemas.openxmlformats.org/officeDocument/2006/relationships/hyperlink" Target="https://drive.google.com/file/d/1a0Y0yLRRfNYWEbl7hjxRwwCR8iQ52iEa/view?usp=drive_link" TargetMode="External"/><Relationship Id="rId1017" Type="http://schemas.openxmlformats.org/officeDocument/2006/relationships/hyperlink" Target="https://drive.google.com/file/d/1dtmjjVifpdyX31hTWKtbOj-VXJHs1FLR/view?usp=drive_link" TargetMode="External"/><Relationship Id="rId1224" Type="http://schemas.openxmlformats.org/officeDocument/2006/relationships/hyperlink" Target="https://drive.google.com/file/d/1qRnd6QBDXGDZrXClC7fkscnVjqbMHsCo/view?usp=drive_link" TargetMode="External"/><Relationship Id="rId1431" Type="http://schemas.openxmlformats.org/officeDocument/2006/relationships/hyperlink" Target="https://drive.google.com/file/d/1bB7YXERU6N6l2CgGXhfHlbgLBpqYC7xS/view?usp=drive_link" TargetMode="External"/><Relationship Id="rId1669" Type="http://schemas.openxmlformats.org/officeDocument/2006/relationships/hyperlink" Target="https://drive.google.com/file/d/1ErzZnaGRbRgYHrCEwMv-7ly4fAk80jPD/view?usp=drive_link" TargetMode="External"/><Relationship Id="rId1876" Type="http://schemas.openxmlformats.org/officeDocument/2006/relationships/hyperlink" Target="https://drive.google.com/file/d/1Si-fSzjLqtub6Ffxa9vP4q5-r_GljdPA/view?usp=drive_link" TargetMode="External"/><Relationship Id="rId1529" Type="http://schemas.openxmlformats.org/officeDocument/2006/relationships/hyperlink" Target="https://drive.google.com/file/d/1XjKaIIKxhd8oZqb19P6albr-80-RL-hK/view?usp=drive_link" TargetMode="External"/><Relationship Id="rId1736" Type="http://schemas.openxmlformats.org/officeDocument/2006/relationships/hyperlink" Target="https://drive.google.com/file/d/1PNmp5EMW5WyKjKqULNrxDdbiU7_eGUj0/view?usp=drive_link" TargetMode="External"/><Relationship Id="rId1943" Type="http://schemas.openxmlformats.org/officeDocument/2006/relationships/hyperlink" Target="https://drive.google.com/file/d/1QZ18QaTmJF4nT-dAtMgJlTUA-K3sOYAQ/view?usp=drive_link" TargetMode="External"/><Relationship Id="rId28" Type="http://schemas.openxmlformats.org/officeDocument/2006/relationships/hyperlink" Target="https://drive.google.com/file/d/16ZFwzklgzbqlTBk2PblSupsG8QWIVKhr/view" TargetMode="External"/><Relationship Id="rId1803" Type="http://schemas.openxmlformats.org/officeDocument/2006/relationships/hyperlink" Target="https://drive.google.com/file/d/1FRRXo6J4o4AZtg9BHSw3llGraq7T31kv/view?usp=drive_link" TargetMode="External"/><Relationship Id="rId177" Type="http://schemas.openxmlformats.org/officeDocument/2006/relationships/hyperlink" Target="https://drive.google.com/file/d/1ubpEtvc1oWuPQhwTMdh21fiJQLJ6YQjL/view" TargetMode="External"/><Relationship Id="rId384" Type="http://schemas.openxmlformats.org/officeDocument/2006/relationships/hyperlink" Target="https://drive.google.com/file/d/1mdyrvDZwnHDAJR9GoBxTgVEGuoFOKVP7/view?usp=drive_link" TargetMode="External"/><Relationship Id="rId591" Type="http://schemas.openxmlformats.org/officeDocument/2006/relationships/hyperlink" Target="https://drive.google.com/file/d/1TkkF924YYfv_46cDxUoc3DW_cdMcch42/view" TargetMode="External"/><Relationship Id="rId2065" Type="http://schemas.openxmlformats.org/officeDocument/2006/relationships/hyperlink" Target="https://drive.google.com/file/d/1PENkN1gZNt6kuWDXStzbi8Z0DiwcY8HX/view?usp=drive_link" TargetMode="External"/><Relationship Id="rId244" Type="http://schemas.openxmlformats.org/officeDocument/2006/relationships/hyperlink" Target="https://drive.google.com/file/d/1Ri-YAEWJjvz1PE2D5W_tY9aB0o-kD3Cx/view" TargetMode="External"/><Relationship Id="rId689" Type="http://schemas.openxmlformats.org/officeDocument/2006/relationships/hyperlink" Target="https://drive.google.com/file/d/12sTUZOMQU8Yb4ZMfjTWU89XE7G6Mx5fV/view?usp=drive_link" TargetMode="External"/><Relationship Id="rId896" Type="http://schemas.openxmlformats.org/officeDocument/2006/relationships/hyperlink" Target="https://drive.google.com/file/d/1dMX3W21nvBkM9WPZUIo18OVNIoRxyreY/view?usp=drive_link" TargetMode="External"/><Relationship Id="rId1081" Type="http://schemas.openxmlformats.org/officeDocument/2006/relationships/hyperlink" Target="https://drive.google.com/file/d/1LGG-xHMY2FIvsrUQHdBsimZyc6oVwUHI/view?usp=drive_link" TargetMode="External"/><Relationship Id="rId451" Type="http://schemas.openxmlformats.org/officeDocument/2006/relationships/hyperlink" Target="https://drive.google.com/file/d/1XZELMJDN7oiWnhqZnzMAEUGGr7oqakya/view?usp=drive_link" TargetMode="External"/><Relationship Id="rId549" Type="http://schemas.openxmlformats.org/officeDocument/2006/relationships/hyperlink" Target="https://drive.google.com/file/d/1_9wvDD0xzarupnO-MkGQjPWkgNEleRMr/view" TargetMode="External"/><Relationship Id="rId756" Type="http://schemas.openxmlformats.org/officeDocument/2006/relationships/hyperlink" Target="https://drive.google.com/file/d/1eUqriZfZ8ZcnMu4n6LORw1pcnpQae1-d/view?usp=drive_link" TargetMode="External"/><Relationship Id="rId1179" Type="http://schemas.openxmlformats.org/officeDocument/2006/relationships/hyperlink" Target="https://drive.google.com/file/d/10RRCP9PqW1a0aXZkHVOxVr_hGOY01_Ce/view" TargetMode="External"/><Relationship Id="rId1386" Type="http://schemas.openxmlformats.org/officeDocument/2006/relationships/hyperlink" Target="https://drive.google.com/file/d/1OXVVqgSOAs7Kf0OYXBLzBzLajLz35A4_/view?usp=drive_link" TargetMode="External"/><Relationship Id="rId1593" Type="http://schemas.openxmlformats.org/officeDocument/2006/relationships/hyperlink" Target="https://drive.google.com/file/d/1N6JLvInqt6UGVAo8jpPfLxV1anlM3LhC/view" TargetMode="External"/><Relationship Id="rId104" Type="http://schemas.openxmlformats.org/officeDocument/2006/relationships/hyperlink" Target="https://drive.google.com/file/d/1mjk5nvW4b1WflrBJK-EEPQRX1KlRm6e2/view" TargetMode="External"/><Relationship Id="rId311" Type="http://schemas.openxmlformats.org/officeDocument/2006/relationships/hyperlink" Target="https://drive.google.com/file/d/1u7fyxEhz5ZBdqEUOis7aQ3eZaoNHO5t6/view" TargetMode="External"/><Relationship Id="rId409" Type="http://schemas.openxmlformats.org/officeDocument/2006/relationships/hyperlink" Target="https://drive.google.com/file/d/1d7EUl2nVrW2pVWhjsLWPCnuUAtvGF_0w/view?usp=drive_link" TargetMode="External"/><Relationship Id="rId963" Type="http://schemas.openxmlformats.org/officeDocument/2006/relationships/hyperlink" Target="https://drive.google.com/file/d/1ns9WVi4LIlCy9kRsqLx6fuozbqpfzmaZ/view?usp=drive_link" TargetMode="External"/><Relationship Id="rId1039" Type="http://schemas.openxmlformats.org/officeDocument/2006/relationships/hyperlink" Target="https://drive.google.com/file/d/1EShm-JCEBeUL9t9jvi_3B6OF8gY5AK0w/view?usp=drive_link" TargetMode="External"/><Relationship Id="rId1246" Type="http://schemas.openxmlformats.org/officeDocument/2006/relationships/hyperlink" Target="https://drive.google.com/file/d/1g0qE64GhrUOttT19f46pAEKIpTihMBf3/view?usp=drive_link" TargetMode="External"/><Relationship Id="rId1898" Type="http://schemas.openxmlformats.org/officeDocument/2006/relationships/hyperlink" Target="https://drive.google.com/file/d/1oKDXnxtrdsnKiXx-rE-IOxBOcPslLQ0_/view?usp=drive_link" TargetMode="External"/><Relationship Id="rId92" Type="http://schemas.openxmlformats.org/officeDocument/2006/relationships/hyperlink" Target="https://drive.google.com/file/d/1TL9IrzKlPKxuk1hHUSBJEQg3OHu9BPMb/view" TargetMode="External"/><Relationship Id="rId616" Type="http://schemas.openxmlformats.org/officeDocument/2006/relationships/hyperlink" Target="https://drive.google.com/file/d/1y-Ocgzn3Ss07_HRVm38HZw507xBX9Q3K/view" TargetMode="External"/><Relationship Id="rId823" Type="http://schemas.openxmlformats.org/officeDocument/2006/relationships/hyperlink" Target="https://drive.google.com/file/d/12sTUZOMQU8Yb4ZMfjTWU89XE7G6Mx5fV/view?usp=drive_link" TargetMode="External"/><Relationship Id="rId1453" Type="http://schemas.openxmlformats.org/officeDocument/2006/relationships/hyperlink" Target="https://drive.google.com/file/d/1Zy0KiYSeP-PDs5KIIeeW5fsWj9p4nkja/view?usp=drive_link" TargetMode="External"/><Relationship Id="rId1660" Type="http://schemas.openxmlformats.org/officeDocument/2006/relationships/hyperlink" Target="https://drive.google.com/file/d/1nRiloij6wjknh-vdXufPMtF9ywgwSqpI/view?usp=drive_link" TargetMode="External"/><Relationship Id="rId1758" Type="http://schemas.openxmlformats.org/officeDocument/2006/relationships/hyperlink" Target="https://drive.google.com/file/d/1oxqPS_1tBA-gVsLfO5IQXOGLDroKN7-w/view?usp=drive_link" TargetMode="External"/><Relationship Id="rId1106" Type="http://schemas.openxmlformats.org/officeDocument/2006/relationships/hyperlink" Target="https://drive.google.com/file/d/1XDJ17puSEKXRlcpoac80pcUkSirH5iqT/view?usp=drive_link" TargetMode="External"/><Relationship Id="rId1313" Type="http://schemas.openxmlformats.org/officeDocument/2006/relationships/hyperlink" Target="https://drive.google.com/file/d/1xvK7oL2060tGjomnxIMM_vkytJCIFbUM/view" TargetMode="External"/><Relationship Id="rId1520" Type="http://schemas.openxmlformats.org/officeDocument/2006/relationships/hyperlink" Target="https://drive.google.com/file/d/1_Jil7Wkfj5WOP-6FE-VdY7qc0mLZ5DUM/view?usp=drive_link" TargetMode="External"/><Relationship Id="rId1965" Type="http://schemas.openxmlformats.org/officeDocument/2006/relationships/hyperlink" Target="https://drive.google.com/file/d/1La3JnRLTGosBhQtrjluRdPiS-rya-Lxf/view" TargetMode="External"/><Relationship Id="rId1618" Type="http://schemas.openxmlformats.org/officeDocument/2006/relationships/hyperlink" Target="https://drive.google.com/file/d/1jjzR1RyL3evEhn3RbMY2vgThzWgq-fJN/view" TargetMode="External"/><Relationship Id="rId1825" Type="http://schemas.openxmlformats.org/officeDocument/2006/relationships/hyperlink" Target="https://drive.google.com/file/d/10RRCP9PqW1a0aXZkHVOxVr_hGOY01_Ce/view" TargetMode="External"/><Relationship Id="rId199" Type="http://schemas.openxmlformats.org/officeDocument/2006/relationships/hyperlink" Target="https://drive.google.com/file/d/1fD7AWmASsFIlXlxUeMDyf0RwmeJ-UJ8T/view" TargetMode="External"/><Relationship Id="rId266" Type="http://schemas.openxmlformats.org/officeDocument/2006/relationships/hyperlink" Target="https://drive.google.com/file/d/1N4Zo1nyoTRwV-8yeADEdYoewjbxnID-Z/view" TargetMode="External"/><Relationship Id="rId473" Type="http://schemas.openxmlformats.org/officeDocument/2006/relationships/hyperlink" Target="https://drive.google.com/file/d/1CGnDxWakVhMcyf3ArpxC0Xg8NB2NJ04m/view?usp=drive_link" TargetMode="External"/><Relationship Id="rId680" Type="http://schemas.openxmlformats.org/officeDocument/2006/relationships/hyperlink" Target="https://drive.google.com/file/d/1y-Ocgzn3Ss07_HRVm38HZw507xBX9Q3K/view" TargetMode="External"/><Relationship Id="rId126" Type="http://schemas.openxmlformats.org/officeDocument/2006/relationships/hyperlink" Target="https://drive.google.com/file/d/1Jq87qjyP8CX6GzfZ6UTJqN8h3tUDVJ4L/view" TargetMode="External"/><Relationship Id="rId333" Type="http://schemas.openxmlformats.org/officeDocument/2006/relationships/hyperlink" Target="https://drive.google.com/file/d/1hhxNGrt1RWUdQCNORiATApfV6dbwQHYv/view?usp=drive_link" TargetMode="External"/><Relationship Id="rId540" Type="http://schemas.openxmlformats.org/officeDocument/2006/relationships/hyperlink" Target="https://drive.google.com/file/d/1_9wvDD0xzarupnO-MkGQjPWkgNEleRMr/view" TargetMode="External"/><Relationship Id="rId778" Type="http://schemas.openxmlformats.org/officeDocument/2006/relationships/hyperlink" Target="https://drive.google.com/file/d/1SVtLDrCgd-EGMvj8P0ZCjolJ1bcQnWdH/view?usp=drive_link" TargetMode="External"/><Relationship Id="rId985" Type="http://schemas.openxmlformats.org/officeDocument/2006/relationships/hyperlink" Target="https://drive.google.com/file/d/1hU_NG6jWFnAFsctWfxIixSLdfdg-2vbM/view" TargetMode="External"/><Relationship Id="rId1170" Type="http://schemas.openxmlformats.org/officeDocument/2006/relationships/hyperlink" Target="https://drive.google.com/file/d/1AjudEJfSeA5pObV4i_-2eZywBMH4FjUH/view" TargetMode="External"/><Relationship Id="rId2014" Type="http://schemas.openxmlformats.org/officeDocument/2006/relationships/hyperlink" Target="https://drive.google.com/file/d/1MQhooDZfb_a8dh1XjYQap8rFcmtl5opU/view" TargetMode="External"/><Relationship Id="rId638" Type="http://schemas.openxmlformats.org/officeDocument/2006/relationships/hyperlink" Target="https://drive.google.com/file/d/1jRWn6nkUc6PyzKFIrav2bztHDn61jQYs/view" TargetMode="External"/><Relationship Id="rId845" Type="http://schemas.openxmlformats.org/officeDocument/2006/relationships/hyperlink" Target="https://drive.google.com/file/d/1j8yRlDYok5MJSeLQ4eUWBEa5wF2-pNRd/view?usp=drive_link" TargetMode="External"/><Relationship Id="rId1030" Type="http://schemas.openxmlformats.org/officeDocument/2006/relationships/hyperlink" Target="https://drive.google.com/file/d/1rB6fHuIxGh5D4VZSJD6ZhvSpEbCfXrnN/view?usp=drive_link" TargetMode="External"/><Relationship Id="rId1268" Type="http://schemas.openxmlformats.org/officeDocument/2006/relationships/hyperlink" Target="https://drive.google.com/file/d/1Fr7FnU1zhPXLqSCHSNAy1t-LB8P_O5uZ/view?usp=drive_link" TargetMode="External"/><Relationship Id="rId1475" Type="http://schemas.openxmlformats.org/officeDocument/2006/relationships/hyperlink" Target="https://drive.google.com/file/d/1ivqBk1OAmLirXhfrxLBzeUL_jJxegxDI/view?usp=drive_link" TargetMode="External"/><Relationship Id="rId1682" Type="http://schemas.openxmlformats.org/officeDocument/2006/relationships/hyperlink" Target="https://drive.google.com/file/d/1YiebLoAQwQ3DDXk7k09Eme9jE5xzfvGC/view?usp=drive_link" TargetMode="External"/><Relationship Id="rId400" Type="http://schemas.openxmlformats.org/officeDocument/2006/relationships/hyperlink" Target="https://drive.google.com/file/d/1j2tLIzNNUoZkZ243oPB10Uwaw2b3_A58/view?usp=drive_link" TargetMode="External"/><Relationship Id="rId705" Type="http://schemas.openxmlformats.org/officeDocument/2006/relationships/hyperlink" Target="https://drive.google.com/file/d/1oaU6aDLcm-WgPEMXNtdBYkqXGGsSkflq/view?usp=drive_link" TargetMode="External"/><Relationship Id="rId1128" Type="http://schemas.openxmlformats.org/officeDocument/2006/relationships/hyperlink" Target="https://drive.google.com/file/d/1De6vO_A2TlUNz8pj1sCUy_mHHl1A_xUW/view" TargetMode="External"/><Relationship Id="rId1335" Type="http://schemas.openxmlformats.org/officeDocument/2006/relationships/hyperlink" Target="https://drive.google.com/file/d/1zGDlAkBICsrR-ZMduYzZLDdRYy5sHjtH/view?usp=drive_link" TargetMode="External"/><Relationship Id="rId1542" Type="http://schemas.openxmlformats.org/officeDocument/2006/relationships/hyperlink" Target="https://drive.google.com/file/d/1b2eV06jwkZD183bC3zSDazL4_RSDXHSq/view?usp=drive_link" TargetMode="External"/><Relationship Id="rId1987" Type="http://schemas.openxmlformats.org/officeDocument/2006/relationships/hyperlink" Target="https://drive.google.com/file/d/197Upk1lRbxo1iH4nl3_asxDxnnQz-xvq/view" TargetMode="External"/><Relationship Id="rId912" Type="http://schemas.openxmlformats.org/officeDocument/2006/relationships/hyperlink" Target="https://drive.google.com/file/d/1XNlB-TCqjbu1MIFEoH3KzWJaFDA0h4Mr/view?usp=drive_link" TargetMode="External"/><Relationship Id="rId1847" Type="http://schemas.openxmlformats.org/officeDocument/2006/relationships/hyperlink" Target="https://drive.google.com/file/d/11gAT3uSf6EhqY1gp7ESxBQx3ZJOIXz2O/view" TargetMode="External"/><Relationship Id="rId41" Type="http://schemas.openxmlformats.org/officeDocument/2006/relationships/hyperlink" Target="https://drive.google.com/file/d/1c3FBPHHZ7t7n-uvjJkQ1bEwKAXm0RkFQ/view" TargetMode="External"/><Relationship Id="rId1402" Type="http://schemas.openxmlformats.org/officeDocument/2006/relationships/hyperlink" Target="https://drive.google.com/file/d/1TDk98vxQ3RO5Vex4gTvzQ8srdHf8VMYQ/view?usp=drive_link" TargetMode="External"/><Relationship Id="rId1707" Type="http://schemas.openxmlformats.org/officeDocument/2006/relationships/hyperlink" Target="https://drive.google.com/file/d/1hqFUNz-YrJL1D-KF62ciGzKLn0jl5v4Y/view?usp=drive_link" TargetMode="External"/><Relationship Id="rId190" Type="http://schemas.openxmlformats.org/officeDocument/2006/relationships/hyperlink" Target="https://drive.google.com/file/d/17kFHEbF-AEDFcJjjgAoxnDoBUieKKDg3/view" TargetMode="External"/><Relationship Id="rId288" Type="http://schemas.openxmlformats.org/officeDocument/2006/relationships/hyperlink" Target="https://drive.google.com/file/d/1p2iUJtng5C_UXPw0fI_hg5oznXFeBhpI/view" TargetMode="External"/><Relationship Id="rId1914" Type="http://schemas.openxmlformats.org/officeDocument/2006/relationships/hyperlink" Target="https://drive.google.com/file/d/1VU2oD951xXfxe0_lC75k2-XwxUlhDyj9/view?usp=drive_link" TargetMode="External"/><Relationship Id="rId495" Type="http://schemas.openxmlformats.org/officeDocument/2006/relationships/hyperlink" Target="https://drive.google.com/file/d/1E_lw9TkbspjWKBlfCTRgy2po44C1TCJP/view?usp=drive_link" TargetMode="External"/><Relationship Id="rId148" Type="http://schemas.openxmlformats.org/officeDocument/2006/relationships/hyperlink" Target="https://drive.google.com/file/d/1PN5QKrWfuLNLtg-y5ctP3wPnqv2s1Rlm/view" TargetMode="External"/><Relationship Id="rId355" Type="http://schemas.openxmlformats.org/officeDocument/2006/relationships/hyperlink" Target="https://drive.google.com/file/d/1LSdEMIAx0nOnLCMaT-0CJD9nxONTEfbb/view?usp=drive_link" TargetMode="External"/><Relationship Id="rId562" Type="http://schemas.openxmlformats.org/officeDocument/2006/relationships/hyperlink" Target="https://drive.google.com/file/d/1rhCvHfKmw2WQRnaHsokOte7r7Nl3uIJy/view" TargetMode="External"/><Relationship Id="rId1192" Type="http://schemas.openxmlformats.org/officeDocument/2006/relationships/hyperlink" Target="https://drive.google.com/file/d/11gAT3uSf6EhqY1gp7ESxBQx3ZJOIXz2O/view" TargetMode="External"/><Relationship Id="rId2036" Type="http://schemas.openxmlformats.org/officeDocument/2006/relationships/hyperlink" Target="https://drive.google.com/file/d/10HQlUfuCM9rvKh755NA9pHKofaluje0o/view" TargetMode="External"/><Relationship Id="rId215" Type="http://schemas.openxmlformats.org/officeDocument/2006/relationships/hyperlink" Target="https://drive.google.com/file/d/17kFHEbF-AEDFcJjjgAoxnDoBUieKKDg3/view" TargetMode="External"/><Relationship Id="rId422" Type="http://schemas.openxmlformats.org/officeDocument/2006/relationships/hyperlink" Target="https://drive.google.com/file/d/1ISoQA3fZJl3c0SFy1tNoIXbnwnuAAjGb/view?usp=drive_link" TargetMode="External"/><Relationship Id="rId867" Type="http://schemas.openxmlformats.org/officeDocument/2006/relationships/hyperlink" Target="https://drive.google.com/file/d/1rOTt3bC6ZLN5P-SA_JVctRcIj9J1mxVr/view?usp=drive_link" TargetMode="External"/><Relationship Id="rId1052" Type="http://schemas.openxmlformats.org/officeDocument/2006/relationships/hyperlink" Target="https://drive.google.com/file/d/17TfQKd0Cd9yG2mhJV3bja_JAtLRy5Hq5/view?usp=drive_link" TargetMode="External"/><Relationship Id="rId1497" Type="http://schemas.openxmlformats.org/officeDocument/2006/relationships/hyperlink" Target="https://drive.google.com/file/d/1nd2LuxXC_tnKKOUoZp-2rCmz6m31uExe/view?usp=drive_link" TargetMode="External"/><Relationship Id="rId727" Type="http://schemas.openxmlformats.org/officeDocument/2006/relationships/hyperlink" Target="https://drive.google.com/file/d/1hvQKcWIheA72v1UtBckv-ww6mLtFEX5e/view?usp=drive_link" TargetMode="External"/><Relationship Id="rId934" Type="http://schemas.openxmlformats.org/officeDocument/2006/relationships/hyperlink" Target="https://drive.google.com/file/d/1N22qwC0vrqCOzXJ46mu1iA931nPdVUdV/view?usp=drive_link" TargetMode="External"/><Relationship Id="rId1357" Type="http://schemas.openxmlformats.org/officeDocument/2006/relationships/hyperlink" Target="https://drive.google.com/file/d/1MQhooDZfb_a8dh1XjYQap8rFcmtl5opU/view" TargetMode="External"/><Relationship Id="rId1564" Type="http://schemas.openxmlformats.org/officeDocument/2006/relationships/hyperlink" Target="https://drive.google.com/file/d/1xxrE3LPgzlDH2hVcRgO9_8Tj9dwrwVwk/view?usp=drive_link" TargetMode="External"/><Relationship Id="rId1771" Type="http://schemas.openxmlformats.org/officeDocument/2006/relationships/hyperlink" Target="https://drive.google.com/file/d/1Q6MU9kG1fczWg0z99j87JV0I8dZyJDIP/view" TargetMode="External"/><Relationship Id="rId63" Type="http://schemas.openxmlformats.org/officeDocument/2006/relationships/hyperlink" Target="https://drive.google.com/file/d/1aotzsm6c1YRrRltmEBM3La85GahLY-Sa/view" TargetMode="External"/><Relationship Id="rId1217" Type="http://schemas.openxmlformats.org/officeDocument/2006/relationships/hyperlink" Target="https://drive.google.com/file/d/1qRnd6QBDXGDZrXClC7fkscnVjqbMHsCo/view?usp=drive_link" TargetMode="External"/><Relationship Id="rId1424" Type="http://schemas.openxmlformats.org/officeDocument/2006/relationships/hyperlink" Target="https://drive.google.com/file/d/1FFvziYQynsq9IGYLQaJ37iQbYGYyI7tt/view?usp=drive_link" TargetMode="External"/><Relationship Id="rId1631" Type="http://schemas.openxmlformats.org/officeDocument/2006/relationships/hyperlink" Target="https://drive.google.com/file/d/1jjzR1RyL3evEhn3RbMY2vgThzWgq-fJN/view" TargetMode="External"/><Relationship Id="rId1869" Type="http://schemas.openxmlformats.org/officeDocument/2006/relationships/hyperlink" Target="https://drive.google.com/file/d/12tCRalajPMVE-onCQiXS7R_4zEPBFs_C/view?usp=drive_link" TargetMode="External"/><Relationship Id="rId1729" Type="http://schemas.openxmlformats.org/officeDocument/2006/relationships/hyperlink" Target="https://drive.google.com/file/d/1eggsoLAPcrdATW-qSGgu_m3YksjLLiJO/view?usp=drive_link" TargetMode="External"/><Relationship Id="rId1936" Type="http://schemas.openxmlformats.org/officeDocument/2006/relationships/hyperlink" Target="https://drive.google.com/file/d/1862llNXCy3_gI0LM41mc5JpDXdHEOV2P/view?usp=drive_link" TargetMode="External"/><Relationship Id="rId377" Type="http://schemas.openxmlformats.org/officeDocument/2006/relationships/hyperlink" Target="https://drive.google.com/file/d/1eSxlhhtsJOyik_7Sfm5xJHDz0O_y42HO/view?usp=drive_link" TargetMode="External"/><Relationship Id="rId584" Type="http://schemas.openxmlformats.org/officeDocument/2006/relationships/hyperlink" Target="https://drive.google.com/file/d/1y-Ocgzn3Ss07_HRVm38HZw507xBX9Q3K/view" TargetMode="External"/><Relationship Id="rId2058" Type="http://schemas.openxmlformats.org/officeDocument/2006/relationships/hyperlink" Target="https://drive.google.com/file/d/1TDJpApdYNq3AlENLBb73U5oWwKK28DF1/view?usp=drive_link" TargetMode="External"/><Relationship Id="rId5" Type="http://schemas.openxmlformats.org/officeDocument/2006/relationships/hyperlink" Target="https://drive.google.com/file/d/19ZTyE2xeT2sZ01YGBhW0hDNK1zkOgzov/view" TargetMode="External"/><Relationship Id="rId237" Type="http://schemas.openxmlformats.org/officeDocument/2006/relationships/hyperlink" Target="https://drive.google.com/file/d/1fD7AWmASsFIlXlxUeMDyf0RwmeJ-UJ8T/view" TargetMode="External"/><Relationship Id="rId791" Type="http://schemas.openxmlformats.org/officeDocument/2006/relationships/hyperlink" Target="https://drive.google.com/file/d/1SQaSL7hmUFSKHN8i7pVPvx3STLMqAOAw/view?usp=drive_link" TargetMode="External"/><Relationship Id="rId889" Type="http://schemas.openxmlformats.org/officeDocument/2006/relationships/hyperlink" Target="https://drive.google.com/file/d/1bYy1Ayup9OPnx4Ey4guSJ9WrktD4_Ot6/view?usp=drive_link" TargetMode="External"/><Relationship Id="rId1074" Type="http://schemas.openxmlformats.org/officeDocument/2006/relationships/hyperlink" Target="https://drive.google.com/file/d/1LGG-xHMY2FIvsrUQHdBsimZyc6oVwUHI/view?usp=drive_link" TargetMode="External"/><Relationship Id="rId444" Type="http://schemas.openxmlformats.org/officeDocument/2006/relationships/hyperlink" Target="https://drive.google.com/file/d/1iRpGkfGlUpy_9sZc0sYjyX4pKKrv-yKh/view?usp=drive_link" TargetMode="External"/><Relationship Id="rId651" Type="http://schemas.openxmlformats.org/officeDocument/2006/relationships/hyperlink" Target="https://drive.google.com/file/d/1iBr6b26MBv3-qs2HfZPBv-_SZMciRoSv/view" TargetMode="External"/><Relationship Id="rId749" Type="http://schemas.openxmlformats.org/officeDocument/2006/relationships/hyperlink" Target="https://drive.google.com/file/d/17_08NSWt7_gBt9GqJ59cc4phZ7kJIzsK/view?usp=drive_link" TargetMode="External"/><Relationship Id="rId1281" Type="http://schemas.openxmlformats.org/officeDocument/2006/relationships/hyperlink" Target="https://drive.google.com/file/d/19aGB7slFQPfIgI387xmUjRUwIeJi_fXB/view?usp=drive_link" TargetMode="External"/><Relationship Id="rId1379" Type="http://schemas.openxmlformats.org/officeDocument/2006/relationships/hyperlink" Target="https://drive.google.com/file/d/1OXVVqgSOAs7Kf0OYXBLzBzLajLz35A4_/view?usp=drive_link" TargetMode="External"/><Relationship Id="rId1586" Type="http://schemas.openxmlformats.org/officeDocument/2006/relationships/hyperlink" Target="https://drive.google.com/file/d/1N6JLvInqt6UGVAo8jpPfLxV1anlM3LhC/view" TargetMode="External"/><Relationship Id="rId304" Type="http://schemas.openxmlformats.org/officeDocument/2006/relationships/hyperlink" Target="https://drive.google.com/file/d/1N4Zo1nyoTRwV-8yeADEdYoewjbxnID-Z/view?usp=drive_link" TargetMode="External"/><Relationship Id="rId511" Type="http://schemas.openxmlformats.org/officeDocument/2006/relationships/hyperlink" Target="https://drive.google.com/file/d/1zxbs_azC4N6-X3OZD0Sz6VP6Xjewm9-8/view" TargetMode="External"/><Relationship Id="rId609" Type="http://schemas.openxmlformats.org/officeDocument/2006/relationships/hyperlink" Target="https://drive.google.com/file/d/1y-Ocgzn3Ss07_HRVm38HZw507xBX9Q3K/view" TargetMode="External"/><Relationship Id="rId956" Type="http://schemas.openxmlformats.org/officeDocument/2006/relationships/hyperlink" Target="https://drive.google.com/file/d/1Ea4IsWWBHCZ29uRy7Zxp0SvMnOmdjCvn/view" TargetMode="External"/><Relationship Id="rId1141" Type="http://schemas.openxmlformats.org/officeDocument/2006/relationships/hyperlink" Target="https://drive.google.com/file/d/1gB5Fi3nL6FCTnmd91Ei3_QQJ9QXEVQuG/view" TargetMode="External"/><Relationship Id="rId1239" Type="http://schemas.openxmlformats.org/officeDocument/2006/relationships/hyperlink" Target="https://drive.google.com/file/d/1g0qE64GhrUOttT19f46pAEKIpTihMBf3/view?usp=drive_link" TargetMode="External"/><Relationship Id="rId1793" Type="http://schemas.openxmlformats.org/officeDocument/2006/relationships/hyperlink" Target="https://drive.google.com/file/d/1-9vqHAxMY7EOdGCf_1JiVVh1sMtEsHwD/view?usp=drive_link" TargetMode="External"/><Relationship Id="rId85" Type="http://schemas.openxmlformats.org/officeDocument/2006/relationships/hyperlink" Target="https://drive.google.com/file/d/1Xx52lP-CL3Mjgh7XgJuGe8OZtl_A0Kie/view" TargetMode="External"/><Relationship Id="rId816" Type="http://schemas.openxmlformats.org/officeDocument/2006/relationships/hyperlink" Target="https://drive.google.com/file/d/14YXw1eE_uNUTiyyJLFE-3TZXAvUd7kRa/view?usp=drive_link" TargetMode="External"/><Relationship Id="rId1001" Type="http://schemas.openxmlformats.org/officeDocument/2006/relationships/hyperlink" Target="https://drive.google.com/file/d/1jjzR1RyL3evEhn3RbMY2vgThzWgq-fJN/view" TargetMode="External"/><Relationship Id="rId1446" Type="http://schemas.openxmlformats.org/officeDocument/2006/relationships/hyperlink" Target="https://drive.google.com/file/d/1nxqhANLSmBJ-olV0_wGYRyXJpm4XiNGD/view?usp=drive_link" TargetMode="External"/><Relationship Id="rId1653" Type="http://schemas.openxmlformats.org/officeDocument/2006/relationships/hyperlink" Target="https://drive.google.com/file/d/1uEFxmPjjwD8Nqb0QvhaTsvG7Fe2EVwdA/view?usp=drive_link" TargetMode="External"/><Relationship Id="rId1860" Type="http://schemas.openxmlformats.org/officeDocument/2006/relationships/hyperlink" Target="https://drive.google.com/file/d/1DZ00kl6N0YvT2ZAXdhcx9VQ5hnPKYmSP/view?usp=drive_link" TargetMode="External"/><Relationship Id="rId1306" Type="http://schemas.openxmlformats.org/officeDocument/2006/relationships/hyperlink" Target="https://drive.google.com/file/d/19aGB7slFQPfIgI387xmUjRUwIeJi_fXB/view?usp=drive_link" TargetMode="External"/><Relationship Id="rId1513" Type="http://schemas.openxmlformats.org/officeDocument/2006/relationships/hyperlink" Target="https://drive.google.com/file/d/1W-gf0VbzbihbaBDbivu-eAIuFgmf1g2H/view?usp=drive_link" TargetMode="External"/><Relationship Id="rId1720" Type="http://schemas.openxmlformats.org/officeDocument/2006/relationships/hyperlink" Target="https://drive.google.com/file/d/1U_VfOs-qUWoEMVHPtt9sq2AZH--X8AwT/view?usp=drive_link" TargetMode="External"/><Relationship Id="rId1958" Type="http://schemas.openxmlformats.org/officeDocument/2006/relationships/hyperlink" Target="https://drive.google.com/file/d/1m_ZcOGPlgePKQ5iHcOHOG_LcxNkDkiJ-/view?usp=drive_link" TargetMode="External"/><Relationship Id="rId12" Type="http://schemas.openxmlformats.org/officeDocument/2006/relationships/hyperlink" Target="https://drive.google.com/file/d/1PN5QKrWfuLNLtg-y5ctP3wPnqv2s1Rlm/view" TargetMode="External"/><Relationship Id="rId1818" Type="http://schemas.openxmlformats.org/officeDocument/2006/relationships/hyperlink" Target="https://drive.google.com/file/d/10RRCP9PqW1a0aXZkHVOxVr_hGOY01_Ce/view" TargetMode="External"/><Relationship Id="rId161" Type="http://schemas.openxmlformats.org/officeDocument/2006/relationships/hyperlink" Target="https://drive.google.com/file/d/1Xv5IhBhdmlrvaY32k_gxD4v2dwCxj2S0/view" TargetMode="External"/><Relationship Id="rId399" Type="http://schemas.openxmlformats.org/officeDocument/2006/relationships/hyperlink" Target="https://drive.google.com/file/d/1j2tLIzNNUoZkZ243oPB10Uwaw2b3_A58/view?usp=drive_link" TargetMode="External"/><Relationship Id="rId259" Type="http://schemas.openxmlformats.org/officeDocument/2006/relationships/hyperlink" Target="https://drive.google.com/file/d/17kFHEbF-AEDFcJjjgAoxnDoBUieKKDg3/view" TargetMode="External"/><Relationship Id="rId466" Type="http://schemas.openxmlformats.org/officeDocument/2006/relationships/hyperlink" Target="https://drive.google.com/file/d/1CGnDxWakVhMcyf3ArpxC0Xg8NB2NJ04m/view?usp=drive_link" TargetMode="External"/><Relationship Id="rId673" Type="http://schemas.openxmlformats.org/officeDocument/2006/relationships/hyperlink" Target="https://drive.google.com/file/d/1pVsRJ1dyo2hYWyHHI4kWWKMR6i84lDfX/view?usp=sharing" TargetMode="External"/><Relationship Id="rId880" Type="http://schemas.openxmlformats.org/officeDocument/2006/relationships/hyperlink" Target="https://drive.google.com/file/d/1UDZ3DSBMcsK5rQzLJk4M0--CngCzKop9/view?usp=drive_link" TargetMode="External"/><Relationship Id="rId1096" Type="http://schemas.openxmlformats.org/officeDocument/2006/relationships/hyperlink" Target="https://drive.google.com/file/d/1XDJ17puSEKXRlcpoac80pcUkSirH5iqT/view?usp=drive_link" TargetMode="External"/><Relationship Id="rId119" Type="http://schemas.openxmlformats.org/officeDocument/2006/relationships/hyperlink" Target="https://drive.google.com/file/d/19ZTyE2xeT2sZ01YGBhW0hDNK1zkOgzov/view" TargetMode="External"/><Relationship Id="rId326" Type="http://schemas.openxmlformats.org/officeDocument/2006/relationships/hyperlink" Target="https://drive.google.com/file/d/1auczJq74YC7zQtmuh6xlGQH7tRkhMdYG/view?usp=drive_link" TargetMode="External"/><Relationship Id="rId533" Type="http://schemas.openxmlformats.org/officeDocument/2006/relationships/hyperlink" Target="https://drive.google.com/file/d/1KD8Xfrs6ZPDDeNsgaKv-b1oJyOORtcmH/view" TargetMode="External"/><Relationship Id="rId978" Type="http://schemas.openxmlformats.org/officeDocument/2006/relationships/hyperlink" Target="https://drive.google.com/file/d/1hU_NG6jWFnAFsctWfxIixSLdfdg-2vbM/view" TargetMode="External"/><Relationship Id="rId1163" Type="http://schemas.openxmlformats.org/officeDocument/2006/relationships/hyperlink" Target="https://drive.google.com/file/d/19xTvun6qzsNy4xAj6wKum7MQ98om515z/view?usp=drive_link" TargetMode="External"/><Relationship Id="rId1370" Type="http://schemas.openxmlformats.org/officeDocument/2006/relationships/hyperlink" Target="https://drive.google.com/file/d/10HQlUfuCM9rvKh755NA9pHKofaluje0o/view" TargetMode="External"/><Relationship Id="rId2007" Type="http://schemas.openxmlformats.org/officeDocument/2006/relationships/hyperlink" Target="https://drive.google.com/file/d/1AoH0Y4ciTRcsU5X6S4aZ3HZiPs325E2e/view?usp=drive_link" TargetMode="External"/><Relationship Id="rId740" Type="http://schemas.openxmlformats.org/officeDocument/2006/relationships/hyperlink" Target="https://drive.google.com/file/d/1ObN57YJNOg65CaDV-I6Uf3vEwf4ffCFW/view?usp=drive_link" TargetMode="External"/><Relationship Id="rId838" Type="http://schemas.openxmlformats.org/officeDocument/2006/relationships/hyperlink" Target="https://drive.google.com/file/d/1q1S8kM3uWaJrbD9mRZ_cWxaj0alzeKgN/view?usp=drive_link" TargetMode="External"/><Relationship Id="rId1023" Type="http://schemas.openxmlformats.org/officeDocument/2006/relationships/hyperlink" Target="https://drive.google.com/file/d/1dtmjjVifpdyX31hTWKtbOj-VXJHs1FLR/view?usp=drive_link" TargetMode="External"/><Relationship Id="rId1468" Type="http://schemas.openxmlformats.org/officeDocument/2006/relationships/hyperlink" Target="https://drive.google.com/file/d/1ivqBk1OAmLirXhfrxLBzeUL_jJxegxDI/view?usp=drive_link" TargetMode="External"/><Relationship Id="rId1675" Type="http://schemas.openxmlformats.org/officeDocument/2006/relationships/hyperlink" Target="https://drive.google.com/file/d/1YiebLoAQwQ3DDXk7k09Eme9jE5xzfvGC/view?usp=drive_link" TargetMode="External"/><Relationship Id="rId1882" Type="http://schemas.openxmlformats.org/officeDocument/2006/relationships/hyperlink" Target="https://drive.google.com/file/d/1Si-fSzjLqtub6Ffxa9vP4q5-r_GljdPA/view?usp=drive_link" TargetMode="External"/><Relationship Id="rId600" Type="http://schemas.openxmlformats.org/officeDocument/2006/relationships/hyperlink" Target="https://drive.google.com/file/d/12FCTiQHROItKTuE1paH0D-F5NmHrtpx8/view" TargetMode="External"/><Relationship Id="rId1230" Type="http://schemas.openxmlformats.org/officeDocument/2006/relationships/hyperlink" Target="https://drive.google.com/file/d/1wFL1KQ-QVw5hSLZv1AF-r-UdMul7WJMk/view?usp=drive_link" TargetMode="External"/><Relationship Id="rId1328" Type="http://schemas.openxmlformats.org/officeDocument/2006/relationships/hyperlink" Target="https://drive.google.com/file/d/1zGDlAkBICsrR-ZMduYzZLDdRYy5sHjtH/view?usp=drive_link" TargetMode="External"/><Relationship Id="rId1535" Type="http://schemas.openxmlformats.org/officeDocument/2006/relationships/hyperlink" Target="https://drive.google.com/file/d/1XjKaIIKxhd8oZqb19P6albr-80-RL-hK/view?usp=drive_link" TargetMode="External"/><Relationship Id="rId905" Type="http://schemas.openxmlformats.org/officeDocument/2006/relationships/hyperlink" Target="https://drive.google.com/file/d/1dMX3W21nvBkM9WPZUIo18OVNIoRxyreY/view?usp=drive_link" TargetMode="External"/><Relationship Id="rId1742" Type="http://schemas.openxmlformats.org/officeDocument/2006/relationships/hyperlink" Target="https://drive.google.com/file/d/1PNmp5EMW5WyKjKqULNrxDdbiU7_eGUj0/view?usp=drive_link" TargetMode="External"/><Relationship Id="rId34" Type="http://schemas.openxmlformats.org/officeDocument/2006/relationships/hyperlink" Target="https://drive.google.com/file/d/1erAewuQjYKuSzO2J7M_BGEAM7u-DEnI2/view" TargetMode="External"/><Relationship Id="rId1602" Type="http://schemas.openxmlformats.org/officeDocument/2006/relationships/hyperlink" Target="https://drive.google.com/file/d/1nvLtx1HJOnLb38HmGIORDb_hqRjZMsuK/view?usp=drive_link" TargetMode="External"/><Relationship Id="rId183" Type="http://schemas.openxmlformats.org/officeDocument/2006/relationships/hyperlink" Target="https://drive.google.com/file/d/1xNwrwZ-kLTM_YhVN0HOVWrlrlMM1DCgm/view" TargetMode="External"/><Relationship Id="rId390" Type="http://schemas.openxmlformats.org/officeDocument/2006/relationships/hyperlink" Target="https://drive.google.com/file/d/1HbIMSG327H4IroIIbzG-UoNFRHW9d4tq/view?usp=drive_link" TargetMode="External"/><Relationship Id="rId1907" Type="http://schemas.openxmlformats.org/officeDocument/2006/relationships/hyperlink" Target="https://drive.google.com/file/d/1EFP77JsHwvOLRKb7NL4f0-WTRLI4zmhV/view?usp=drive_link" TargetMode="External"/><Relationship Id="rId2071" Type="http://schemas.openxmlformats.org/officeDocument/2006/relationships/hyperlink" Target="https://drive.google.com/file/d/1W509JmdVlzeICueDgcivjNXJagqJa2qz/view?usp=drive_link" TargetMode="External"/><Relationship Id="rId250" Type="http://schemas.openxmlformats.org/officeDocument/2006/relationships/hyperlink" Target="https://drive.google.com/file/d/1Ri-YAEWJjvz1PE2D5W_tY9aB0o-kD3Cx/view" TargetMode="External"/><Relationship Id="rId488" Type="http://schemas.openxmlformats.org/officeDocument/2006/relationships/hyperlink" Target="https://drive.google.com/file/d/1hmXY9RLSychgJTsAJz7iOoJsrTTIp1VT/view?usp=drive_link" TargetMode="External"/><Relationship Id="rId695" Type="http://schemas.openxmlformats.org/officeDocument/2006/relationships/hyperlink" Target="https://drive.google.com/file/d/1SVtLDrCgd-EGMvj8P0ZCjolJ1bcQnWdH/view?usp=drive_link" TargetMode="External"/><Relationship Id="rId110" Type="http://schemas.openxmlformats.org/officeDocument/2006/relationships/hyperlink" Target="https://drive.google.com/file/d/1OnwdPVGGVlXHeDo0NSoyMOqv2DdSXlPD/view" TargetMode="External"/><Relationship Id="rId348" Type="http://schemas.openxmlformats.org/officeDocument/2006/relationships/hyperlink" Target="https://drive.google.com/file/d/1txs_xJtZSRV3s1r41GM6nzBz3ZapFemu/view?usp=drive_link" TargetMode="External"/><Relationship Id="rId555" Type="http://schemas.openxmlformats.org/officeDocument/2006/relationships/hyperlink" Target="https://drive.google.com/file/d/1_9wvDD0xzarupnO-MkGQjPWkgNEleRMr/view" TargetMode="External"/><Relationship Id="rId762" Type="http://schemas.openxmlformats.org/officeDocument/2006/relationships/hyperlink" Target="https://drive.google.com/file/d/1eUqriZfZ8ZcnMu4n6LORw1pcnpQae1-d/view?usp=drive_link" TargetMode="External"/><Relationship Id="rId1185" Type="http://schemas.openxmlformats.org/officeDocument/2006/relationships/hyperlink" Target="https://drive.google.com/file/d/10RRCP9PqW1a0aXZkHVOxVr_hGOY01_Ce/view" TargetMode="External"/><Relationship Id="rId1392" Type="http://schemas.openxmlformats.org/officeDocument/2006/relationships/hyperlink" Target="https://drive.google.com/file/d/16iCRVZ9FIxsqJnxI634PDZC4GeoM1QjJ/view?usp=drive_link" TargetMode="External"/><Relationship Id="rId2029" Type="http://schemas.openxmlformats.org/officeDocument/2006/relationships/hyperlink" Target="https://drive.google.com/file/d/1MQhooDZfb_a8dh1XjYQap8rFcmtl5opU/view" TargetMode="External"/><Relationship Id="rId208" Type="http://schemas.openxmlformats.org/officeDocument/2006/relationships/hyperlink" Target="https://drive.google.com/file/d/1Ri-YAEWJjvz1PE2D5W_tY9aB0o-kD3Cx/view" TargetMode="External"/><Relationship Id="rId415" Type="http://schemas.openxmlformats.org/officeDocument/2006/relationships/hyperlink" Target="https://drive.google.com/file/d/1Mz-UnKO6rFVDA_Sts8kV4Nb6AFgcY8xZ/view?usp=drive_link" TargetMode="External"/><Relationship Id="rId622" Type="http://schemas.openxmlformats.org/officeDocument/2006/relationships/hyperlink" Target="https://drive.google.com/file/d/1YYboHNgsShFzYyBHMkUoSzib7zJkM_P6/view" TargetMode="External"/><Relationship Id="rId1045" Type="http://schemas.openxmlformats.org/officeDocument/2006/relationships/hyperlink" Target="https://drive.google.com/file/d/1EShm-JCEBeUL9t9jvi_3B6OF8gY5AK0w/view?usp=drive_link" TargetMode="External"/><Relationship Id="rId1252" Type="http://schemas.openxmlformats.org/officeDocument/2006/relationships/hyperlink" Target="https://drive.google.com/file/d/1QSpwAu5G5jYzzAO2U4PsRnfbTsKxHd6s/view?usp=drive_link" TargetMode="External"/><Relationship Id="rId1697" Type="http://schemas.openxmlformats.org/officeDocument/2006/relationships/hyperlink" Target="https://drive.google.com/file/d/18gvd1UBIqDir1Ui4hKFDzLdKhiyxJeTK/view?usp=drive_link" TargetMode="External"/><Relationship Id="rId927" Type="http://schemas.openxmlformats.org/officeDocument/2006/relationships/hyperlink" Target="https://drive.google.com/file/d/1N22qwC0vrqCOzXJ46mu1iA931nPdVUdV/view?usp=drive_link" TargetMode="External"/><Relationship Id="rId1112" Type="http://schemas.openxmlformats.org/officeDocument/2006/relationships/hyperlink" Target="https://drive.google.com/file/d/1AWxAuRE6Vg50Zv6iozolSxiyZ-AwV82_/view?usp=drive_link" TargetMode="External"/><Relationship Id="rId1557" Type="http://schemas.openxmlformats.org/officeDocument/2006/relationships/hyperlink" Target="https://drive.google.com/file/d/13q2lrMXyrD-jFwOUSAmyXAyHguPjfyop/view?usp=drive_link" TargetMode="External"/><Relationship Id="rId1764" Type="http://schemas.openxmlformats.org/officeDocument/2006/relationships/hyperlink" Target="https://drive.google.com/file/d/1oxqPS_1tBA-gVsLfO5IQXOGLDroKN7-w/view?usp=drive_link" TargetMode="External"/><Relationship Id="rId1971" Type="http://schemas.openxmlformats.org/officeDocument/2006/relationships/hyperlink" Target="https://drive.google.com/file/d/1La3JnRLTGosBhQtrjluRdPiS-rya-Lxf/view" TargetMode="External"/><Relationship Id="rId56" Type="http://schemas.openxmlformats.org/officeDocument/2006/relationships/hyperlink" Target="https://drive.google.com/file/d/1iggJgkxEIi33_uzKlp_ENRo47YLn90I8/view" TargetMode="External"/><Relationship Id="rId1417" Type="http://schemas.openxmlformats.org/officeDocument/2006/relationships/hyperlink" Target="https://drive.google.com/file/d/1IobvhS63KW7w3xiQvQNpxHjV7ZiZaVbc/view?usp=drive_link" TargetMode="External"/><Relationship Id="rId1624" Type="http://schemas.openxmlformats.org/officeDocument/2006/relationships/hyperlink" Target="https://drive.google.com/file/d/1jjzR1RyL3evEhn3RbMY2vgThzWgq-fJN/view" TargetMode="External"/><Relationship Id="rId1831" Type="http://schemas.openxmlformats.org/officeDocument/2006/relationships/hyperlink" Target="https://drive.google.com/file/d/10RRCP9PqW1a0aXZkHVOxVr_hGOY01_Ce/view" TargetMode="External"/><Relationship Id="rId1929" Type="http://schemas.openxmlformats.org/officeDocument/2006/relationships/hyperlink" Target="https://drive.google.com/file/d/1-kULF92O7kA2Vy-9i1BZzi1_0bIC323S/view?usp=drive_link" TargetMode="External"/><Relationship Id="rId272" Type="http://schemas.openxmlformats.org/officeDocument/2006/relationships/hyperlink" Target="https://drive.google.com/file/d/1N4Zo1nyoTRwV-8yeADEdYoewjbxnID-Z/view?usp=drive_link" TargetMode="External"/><Relationship Id="rId577" Type="http://schemas.openxmlformats.org/officeDocument/2006/relationships/hyperlink" Target="https://drive.google.com/file/d/1XM56ViSsm-28H781ilJpgfRH-h3HxQCr/view" TargetMode="External"/><Relationship Id="rId132" Type="http://schemas.openxmlformats.org/officeDocument/2006/relationships/hyperlink" Target="https://drive.google.com/file/d/1Jq87qjyP8CX6GzfZ6UTJqN8h3tUDVJ4L/view" TargetMode="External"/><Relationship Id="rId784" Type="http://schemas.openxmlformats.org/officeDocument/2006/relationships/hyperlink" Target="https://drive.google.com/file/d/1SQaSL7hmUFSKHN8i7pVPvx3STLMqAOAw/view?usp=drive_link" TargetMode="External"/><Relationship Id="rId991" Type="http://schemas.openxmlformats.org/officeDocument/2006/relationships/hyperlink" Target="https://drive.google.com/file/d/1jjzR1RyL3evEhn3RbMY2vgThzWgq-fJN/view" TargetMode="External"/><Relationship Id="rId1067" Type="http://schemas.openxmlformats.org/officeDocument/2006/relationships/hyperlink" Target="https://drive.google.com/file/d/1lHsS9HToAAkVgzUpu0SvP6Q74MdwpNaD/view?usp=drive_link" TargetMode="External"/><Relationship Id="rId2020" Type="http://schemas.openxmlformats.org/officeDocument/2006/relationships/hyperlink" Target="https://drive.google.com/file/d/1MQhooDZfb_a8dh1XjYQap8rFcmtl5opU/view" TargetMode="External"/><Relationship Id="rId437" Type="http://schemas.openxmlformats.org/officeDocument/2006/relationships/hyperlink" Target="https://drive.google.com/file/d/1iRpGkfGlUpy_9sZc0sYjyX4pKKrv-yKh/view?usp=drive_link" TargetMode="External"/><Relationship Id="rId644" Type="http://schemas.openxmlformats.org/officeDocument/2006/relationships/hyperlink" Target="https://drive.google.com/file/d/1iBr6b26MBv3-qs2HfZPBv-_SZMciRoSv/view" TargetMode="External"/><Relationship Id="rId851" Type="http://schemas.openxmlformats.org/officeDocument/2006/relationships/hyperlink" Target="https://drive.google.com/file/d/1j8yRlDYok5MJSeLQ4eUWBEa5wF2-pNRd/view?usp=drive_link" TargetMode="External"/><Relationship Id="rId1274" Type="http://schemas.openxmlformats.org/officeDocument/2006/relationships/hyperlink" Target="https://drive.google.com/file/d/18HTGOY9i7bxWMrMLMgWvctC0TQbGDm_d/view?usp=drive_link" TargetMode="External"/><Relationship Id="rId1481" Type="http://schemas.openxmlformats.org/officeDocument/2006/relationships/hyperlink" Target="https://drive.google.com/file/d/1fUENaPvI5EGQBpB2AP1I0ESrESO08iWA/view?usp=drive_link" TargetMode="External"/><Relationship Id="rId1579" Type="http://schemas.openxmlformats.org/officeDocument/2006/relationships/hyperlink" Target="https://drive.google.com/file/d/1ruM5f-JPXrFoNb6xNaz40ic4CGr2kGvK/view" TargetMode="External"/><Relationship Id="rId504" Type="http://schemas.openxmlformats.org/officeDocument/2006/relationships/hyperlink" Target="https://drive.google.com/file/d/1zxbs_azC4N6-X3OZD0Sz6VP6Xjewm9-8/view" TargetMode="External"/><Relationship Id="rId711" Type="http://schemas.openxmlformats.org/officeDocument/2006/relationships/hyperlink" Target="https://drive.google.com/file/d/1oaU6aDLcm-WgPEMXNtdBYkqXGGsSkflq/view?usp=drive_link" TargetMode="External"/><Relationship Id="rId949" Type="http://schemas.openxmlformats.org/officeDocument/2006/relationships/hyperlink" Target="https://drive.google.com/file/d/1Ea4IsWWBHCZ29uRy7Zxp0SvMnOmdjCvn/view" TargetMode="External"/><Relationship Id="rId1134" Type="http://schemas.openxmlformats.org/officeDocument/2006/relationships/hyperlink" Target="https://drive.google.com/file/d/1gB5Fi3nL6FCTnmd91Ei3_QQJ9QXEVQuG/view" TargetMode="External"/><Relationship Id="rId1341" Type="http://schemas.openxmlformats.org/officeDocument/2006/relationships/hyperlink" Target="https://drive.google.com/file/d/1PBCEYtD7A6r3bmKeU8hWJH7w8BXVVzH1/view" TargetMode="External"/><Relationship Id="rId1786" Type="http://schemas.openxmlformats.org/officeDocument/2006/relationships/hyperlink" Target="https://drive.google.com/file/d/1qZSXHwjD6UiZLiCnVCCPpTfeEZz74aAs/view" TargetMode="External"/><Relationship Id="rId1993" Type="http://schemas.openxmlformats.org/officeDocument/2006/relationships/hyperlink" Target="https://drive.google.com/file/d/1BakHXePkW3JZxwSnUkqqZxtPshE0ewsY/view?usp=drive_link" TargetMode="External"/><Relationship Id="rId78" Type="http://schemas.openxmlformats.org/officeDocument/2006/relationships/hyperlink" Target="https://drive.google.com/file/d/14_e23Fks39g6eB6scWs8oJVkvBf-w1QV/view" TargetMode="External"/><Relationship Id="rId809" Type="http://schemas.openxmlformats.org/officeDocument/2006/relationships/hyperlink" Target="https://drive.google.com/file/d/1fVGTywNnBvbe_-XZ6i9qc-4BCJw5nmT1/view?usp=drive_link" TargetMode="External"/><Relationship Id="rId1201" Type="http://schemas.openxmlformats.org/officeDocument/2006/relationships/hyperlink" Target="https://drive.google.com/file/d/11gAT3uSf6EhqY1gp7ESxBQx3ZJOIXz2O/view" TargetMode="External"/><Relationship Id="rId1439" Type="http://schemas.openxmlformats.org/officeDocument/2006/relationships/hyperlink" Target="https://drive.google.com/file/d/1bB7YXERU6N6l2CgGXhfHlbgLBpqYC7xS/view?usp=drive_link" TargetMode="External"/><Relationship Id="rId1646" Type="http://schemas.openxmlformats.org/officeDocument/2006/relationships/hyperlink" Target="https://drive.google.com/file/d/1P8dv2yDVWK28813AIv4m4F9tgxPrdqDO/view" TargetMode="External"/><Relationship Id="rId1853" Type="http://schemas.openxmlformats.org/officeDocument/2006/relationships/hyperlink" Target="https://drive.google.com/file/d/18smY9gvWxQDfgihbZYRWZ76-V_fFiVyk/view?usp=drive_link" TargetMode="External"/><Relationship Id="rId1506" Type="http://schemas.openxmlformats.org/officeDocument/2006/relationships/hyperlink" Target="https://drive.google.com/file/d/1W-gf0VbzbihbaBDbivu-eAIuFgmf1g2H/view?usp=drive_link" TargetMode="External"/><Relationship Id="rId1713" Type="http://schemas.openxmlformats.org/officeDocument/2006/relationships/hyperlink" Target="https://drive.google.com/file/d/1U_VfOs-qUWoEMVHPtt9sq2AZH--X8AwT/view?usp=drive_link" TargetMode="External"/><Relationship Id="rId1920" Type="http://schemas.openxmlformats.org/officeDocument/2006/relationships/hyperlink" Target="https://drive.google.com/file/d/1VU2oD951xXfxe0_lC75k2-XwxUlhDyj9/view?usp=drive_link" TargetMode="External"/><Relationship Id="rId294" Type="http://schemas.openxmlformats.org/officeDocument/2006/relationships/hyperlink" Target="https://drive.google.com/file/d/1N4Zo1nyoTRwV-8yeADEdYoewjbxnID-Z/view" TargetMode="External"/><Relationship Id="rId154" Type="http://schemas.openxmlformats.org/officeDocument/2006/relationships/hyperlink" Target="https://drive.google.com/file/d/1PN5QKrWfuLNLtg-y5ctP3wPnqv2s1Rlm/view" TargetMode="External"/><Relationship Id="rId361" Type="http://schemas.openxmlformats.org/officeDocument/2006/relationships/hyperlink" Target="https://drive.google.com/file/d/1DE97kviXT-3hj-mPkqohYwgjer1eZUEt/view?usp=drive_link" TargetMode="External"/><Relationship Id="rId599" Type="http://schemas.openxmlformats.org/officeDocument/2006/relationships/hyperlink" Target="https://drive.google.com/file/d/12FCTiQHROItKTuE1paH0D-F5NmHrtpx8/view" TargetMode="External"/><Relationship Id="rId2042" Type="http://schemas.openxmlformats.org/officeDocument/2006/relationships/hyperlink" Target="https://drive.google.com/file/d/10HQlUfuCM9rvKh755NA9pHKofaluje0o/view" TargetMode="External"/><Relationship Id="rId459" Type="http://schemas.openxmlformats.org/officeDocument/2006/relationships/hyperlink" Target="https://drive.google.com/file/d/1CGnDxWakVhMcyf3ArpxC0Xg8NB2NJ04m/view?usp=drive_link" TargetMode="External"/><Relationship Id="rId666" Type="http://schemas.openxmlformats.org/officeDocument/2006/relationships/hyperlink" Target="https://drive.google.com/file/d/1pVsRJ1dyo2hYWyHHI4kWWKMR6i84lDfX/view?usp=sharing" TargetMode="External"/><Relationship Id="rId873" Type="http://schemas.openxmlformats.org/officeDocument/2006/relationships/hyperlink" Target="https://drive.google.com/file/d/1rOTt3bC6ZLN5P-SA_JVctRcIj9J1mxVr/view?usp=drive_link" TargetMode="External"/><Relationship Id="rId1089" Type="http://schemas.openxmlformats.org/officeDocument/2006/relationships/hyperlink" Target="https://drive.google.com/file/d/1bSZghuFPNMDy724R2VmzwB1Jr2rl9y3T/view?usp=drive_link" TargetMode="External"/><Relationship Id="rId1296" Type="http://schemas.openxmlformats.org/officeDocument/2006/relationships/hyperlink" Target="https://drive.google.com/file/d/19aGB7slFQPfIgI387xmUjRUwIeJi_fXB/view?usp=drive_link" TargetMode="External"/><Relationship Id="rId221" Type="http://schemas.openxmlformats.org/officeDocument/2006/relationships/hyperlink" Target="https://drive.google.com/file/d/17kFHEbF-AEDFcJjjgAoxnDoBUieKKDg3/view" TargetMode="External"/><Relationship Id="rId319" Type="http://schemas.openxmlformats.org/officeDocument/2006/relationships/hyperlink" Target="https://drive.google.com/file/d/1p2iUJtng5C_UXPw0fI_hg5oznXFeBhpI/view" TargetMode="External"/><Relationship Id="rId526" Type="http://schemas.openxmlformats.org/officeDocument/2006/relationships/hyperlink" Target="https://drive.google.com/file/d/1tQyDFiR7dq4GijMcq4Q92uVh9nI1y4mw/view" TargetMode="External"/><Relationship Id="rId1156" Type="http://schemas.openxmlformats.org/officeDocument/2006/relationships/hyperlink" Target="https://drive.google.com/file/d/19xTvun6qzsNy4xAj6wKum7MQ98om515z/view?usp=drive_link" TargetMode="External"/><Relationship Id="rId1363" Type="http://schemas.openxmlformats.org/officeDocument/2006/relationships/hyperlink" Target="https://drive.google.com/file/d/10HQlUfuCM9rvKh755NA9pHKofaluje0o/view" TargetMode="External"/><Relationship Id="rId733" Type="http://schemas.openxmlformats.org/officeDocument/2006/relationships/hyperlink" Target="https://drive.google.com/file/d/1ObN57YJNOg65CaDV-I6Uf3vEwf4ffCFW/view?usp=drive_link" TargetMode="External"/><Relationship Id="rId940" Type="http://schemas.openxmlformats.org/officeDocument/2006/relationships/hyperlink" Target="https://drive.google.com/file/d/1C77z3tm5EXrMVDwQXL6nGlcUbobUc3K6/view" TargetMode="External"/><Relationship Id="rId1016" Type="http://schemas.openxmlformats.org/officeDocument/2006/relationships/hyperlink" Target="https://drive.google.com/file/d/1P8dv2yDVWK28813AIv4m4F9tgxPrdqDO/view" TargetMode="External"/><Relationship Id="rId1570" Type="http://schemas.openxmlformats.org/officeDocument/2006/relationships/hyperlink" Target="https://drive.google.com/file/d/1ruM5f-JPXrFoNb6xNaz40ic4CGr2kGvK/view" TargetMode="External"/><Relationship Id="rId1668" Type="http://schemas.openxmlformats.org/officeDocument/2006/relationships/hyperlink" Target="https://drive.google.com/file/d/1ErzZnaGRbRgYHrCEwMv-7ly4fAk80jPD/view?usp=drive_link" TargetMode="External"/><Relationship Id="rId1875" Type="http://schemas.openxmlformats.org/officeDocument/2006/relationships/hyperlink" Target="https://drive.google.com/file/d/1Si-fSzjLqtub6Ffxa9vP4q5-r_GljdPA/view?usp=drive_link" TargetMode="External"/><Relationship Id="rId800" Type="http://schemas.openxmlformats.org/officeDocument/2006/relationships/hyperlink" Target="https://drive.google.com/file/d/1a0Y0yLRRfNYWEbl7hjxRwwCR8iQ52iEa/view?usp=drive_link" TargetMode="External"/><Relationship Id="rId1223" Type="http://schemas.openxmlformats.org/officeDocument/2006/relationships/hyperlink" Target="https://drive.google.com/file/d/1qRnd6QBDXGDZrXClC7fkscnVjqbMHsCo/view?usp=drive_link" TargetMode="External"/><Relationship Id="rId1430" Type="http://schemas.openxmlformats.org/officeDocument/2006/relationships/hyperlink" Target="https://drive.google.com/file/d/1FFvziYQynsq9IGYLQaJ37iQbYGYyI7tt/view?usp=drive_link" TargetMode="External"/><Relationship Id="rId1528" Type="http://schemas.openxmlformats.org/officeDocument/2006/relationships/hyperlink" Target="https://drive.google.com/file/d/1XjKaIIKxhd8oZqb19P6albr-80-RL-hK/view?usp=drive_link" TargetMode="External"/><Relationship Id="rId1735" Type="http://schemas.openxmlformats.org/officeDocument/2006/relationships/hyperlink" Target="https://drive.google.com/file/d/1PNmp5EMW5WyKjKqULNrxDdbiU7_eGUj0/view?usp=drive_link" TargetMode="External"/><Relationship Id="rId1942" Type="http://schemas.openxmlformats.org/officeDocument/2006/relationships/hyperlink" Target="https://drive.google.com/file/d/1862llNXCy3_gI0LM41mc5JpDXdHEOV2P/view?usp=drive_link" TargetMode="External"/><Relationship Id="rId27" Type="http://schemas.openxmlformats.org/officeDocument/2006/relationships/hyperlink" Target="https://drive.google.com/file/d/1aotzsm6c1YRrRltmEBM3La85GahLY-Sa/view" TargetMode="External"/><Relationship Id="rId1802" Type="http://schemas.openxmlformats.org/officeDocument/2006/relationships/hyperlink" Target="https://drive.google.com/file/d/1FRRXo6J4o4AZtg9BHSw3llGraq7T31kv/view?usp=drive_link" TargetMode="External"/><Relationship Id="rId176" Type="http://schemas.openxmlformats.org/officeDocument/2006/relationships/hyperlink" Target="https://drive.google.com/file/d/1ubpEtvc1oWuPQhwTMdh21fiJQLJ6YQjL/view" TargetMode="External"/><Relationship Id="rId383" Type="http://schemas.openxmlformats.org/officeDocument/2006/relationships/hyperlink" Target="https://drive.google.com/file/d/1mdyrvDZwnHDAJR9GoBxTgVEGuoFOKVP7/view?usp=drive_link" TargetMode="External"/><Relationship Id="rId590" Type="http://schemas.openxmlformats.org/officeDocument/2006/relationships/hyperlink" Target="https://drive.google.com/file/d/1TkkF924YYfv_46cDxUoc3DW_cdMcch42/view" TargetMode="External"/><Relationship Id="rId2064" Type="http://schemas.openxmlformats.org/officeDocument/2006/relationships/hyperlink" Target="https://drive.google.com/file/d/1PENkN1gZNt6kuWDXStzbi8Z0DiwcY8HX/view?usp=drive_link" TargetMode="External"/><Relationship Id="rId243" Type="http://schemas.openxmlformats.org/officeDocument/2006/relationships/hyperlink" Target="https://drive.google.com/file/d/1Ri-YAEWJjvz1PE2D5W_tY9aB0o-kD3Cx/view" TargetMode="External"/><Relationship Id="rId450" Type="http://schemas.openxmlformats.org/officeDocument/2006/relationships/hyperlink" Target="https://drive.google.com/file/d/1XZELMJDN7oiWnhqZnzMAEUGGr7oqakya/view?usp=drive_link" TargetMode="External"/><Relationship Id="rId688" Type="http://schemas.openxmlformats.org/officeDocument/2006/relationships/hyperlink" Target="https://drive.google.com/file/d/1dMX3W21nvBkM9WPZUIo18OVNIoRxyreY/view?usp=drive_link" TargetMode="External"/><Relationship Id="rId895" Type="http://schemas.openxmlformats.org/officeDocument/2006/relationships/hyperlink" Target="https://drive.google.com/file/d/1bYy1Ayup9OPnx4Ey4guSJ9WrktD4_Ot6/view?usp=drive_link" TargetMode="External"/><Relationship Id="rId1080" Type="http://schemas.openxmlformats.org/officeDocument/2006/relationships/hyperlink" Target="https://drive.google.com/file/d/1LGG-xHMY2FIvsrUQHdBsimZyc6oVwUHI/view?usp=drive_link" TargetMode="External"/><Relationship Id="rId103" Type="http://schemas.openxmlformats.org/officeDocument/2006/relationships/hyperlink" Target="https://drive.google.com/file/d/1mjk5nvW4b1WflrBJK-EEPQRX1KlRm6e2/view" TargetMode="External"/><Relationship Id="rId310" Type="http://schemas.openxmlformats.org/officeDocument/2006/relationships/hyperlink" Target="https://drive.google.com/file/d/1u7fyxEhz5ZBdqEUOis7aQ3eZaoNHO5t6/view" TargetMode="External"/><Relationship Id="rId548" Type="http://schemas.openxmlformats.org/officeDocument/2006/relationships/hyperlink" Target="https://drive.google.com/file/d/1_9wvDD0xzarupnO-MkGQjPWkgNEleRMr/view" TargetMode="External"/><Relationship Id="rId755" Type="http://schemas.openxmlformats.org/officeDocument/2006/relationships/hyperlink" Target="https://drive.google.com/file/d/1eUqriZfZ8ZcnMu4n6LORw1pcnpQae1-d/view?usp=drive_link" TargetMode="External"/><Relationship Id="rId962" Type="http://schemas.openxmlformats.org/officeDocument/2006/relationships/hyperlink" Target="https://drive.google.com/file/d/1ns9WVi4LIlCy9kRsqLx6fuozbqpfzmaZ/view?usp=drive_link" TargetMode="External"/><Relationship Id="rId1178" Type="http://schemas.openxmlformats.org/officeDocument/2006/relationships/hyperlink" Target="https://drive.google.com/file/d/10RRCP9PqW1a0aXZkHVOxVr_hGOY01_Ce/view" TargetMode="External"/><Relationship Id="rId1385" Type="http://schemas.openxmlformats.org/officeDocument/2006/relationships/hyperlink" Target="https://drive.google.com/file/d/1OXVVqgSOAs7Kf0OYXBLzBzLajLz35A4_/view?usp=drive_link" TargetMode="External"/><Relationship Id="rId1592" Type="http://schemas.openxmlformats.org/officeDocument/2006/relationships/hyperlink" Target="https://drive.google.com/file/d/1N6JLvInqt6UGVAo8jpPfLxV1anlM3LhC/view" TargetMode="External"/><Relationship Id="rId91" Type="http://schemas.openxmlformats.org/officeDocument/2006/relationships/hyperlink" Target="https://drive.google.com/file/d/1TL9IrzKlPKxuk1hHUSBJEQg3OHu9BPMb/view" TargetMode="External"/><Relationship Id="rId408" Type="http://schemas.openxmlformats.org/officeDocument/2006/relationships/hyperlink" Target="https://drive.google.com/file/d/1d7EUl2nVrW2pVWhjsLWPCnuUAtvGF_0w/view?usp=drive_link" TargetMode="External"/><Relationship Id="rId615" Type="http://schemas.openxmlformats.org/officeDocument/2006/relationships/hyperlink" Target="https://drive.google.com/file/d/1y-Ocgzn3Ss07_HRVm38HZw507xBX9Q3K/view" TargetMode="External"/><Relationship Id="rId822" Type="http://schemas.openxmlformats.org/officeDocument/2006/relationships/hyperlink" Target="https://drive.google.com/file/d/14YXw1eE_uNUTiyyJLFE-3TZXAvUd7kRa/view?usp=drive_link" TargetMode="External"/><Relationship Id="rId1038" Type="http://schemas.openxmlformats.org/officeDocument/2006/relationships/hyperlink" Target="https://drive.google.com/file/d/1rB6fHuIxGh5D4VZSJD6ZhvSpEbCfXrnN/view?usp=drive_link" TargetMode="External"/><Relationship Id="rId1245" Type="http://schemas.openxmlformats.org/officeDocument/2006/relationships/hyperlink" Target="https://drive.google.com/file/d/1g0qE64GhrUOttT19f46pAEKIpTihMBf3/view?usp=drive_link" TargetMode="External"/><Relationship Id="rId1452" Type="http://schemas.openxmlformats.org/officeDocument/2006/relationships/hyperlink" Target="https://drive.google.com/file/d/1nxqhANLSmBJ-olV0_wGYRyXJpm4XiNGD/view?usp=drive_link" TargetMode="External"/><Relationship Id="rId1897" Type="http://schemas.openxmlformats.org/officeDocument/2006/relationships/hyperlink" Target="https://drive.google.com/file/d/1oKDXnxtrdsnKiXx-rE-IOxBOcPslLQ0_/view?usp=drive_link" TargetMode="External"/><Relationship Id="rId1105" Type="http://schemas.openxmlformats.org/officeDocument/2006/relationships/hyperlink" Target="https://drive.google.com/file/d/1XDJ17puSEKXRlcpoac80pcUkSirH5iqT/view?usp=drive_link" TargetMode="External"/><Relationship Id="rId1312" Type="http://schemas.openxmlformats.org/officeDocument/2006/relationships/hyperlink" Target="https://drive.google.com/file/d/1xvK7oL2060tGjomnxIMM_vkytJCIFbUM/view" TargetMode="External"/><Relationship Id="rId1757" Type="http://schemas.openxmlformats.org/officeDocument/2006/relationships/hyperlink" Target="https://drive.google.com/file/d/1oxqPS_1tBA-gVsLfO5IQXOGLDroKN7-w/view?usp=drive_link" TargetMode="External"/><Relationship Id="rId1964" Type="http://schemas.openxmlformats.org/officeDocument/2006/relationships/hyperlink" Target="https://drive.google.com/file/d/1m_ZcOGPlgePKQ5iHcOHOG_LcxNkDkiJ-/view?usp=drive_link" TargetMode="External"/><Relationship Id="rId49" Type="http://schemas.openxmlformats.org/officeDocument/2006/relationships/hyperlink" Target="https://drive.google.com/file/d/1iggJgkxEIi33_uzKlp_ENRo47YLn90I8/view" TargetMode="External"/><Relationship Id="rId1617" Type="http://schemas.openxmlformats.org/officeDocument/2006/relationships/hyperlink" Target="https://drive.google.com/file/d/1jjzR1RyL3evEhn3RbMY2vgThzWgq-fJN/view" TargetMode="External"/><Relationship Id="rId1824" Type="http://schemas.openxmlformats.org/officeDocument/2006/relationships/hyperlink" Target="https://drive.google.com/file/d/10RRCP9PqW1a0aXZkHVOxVr_hGOY01_Ce/view" TargetMode="External"/><Relationship Id="rId198" Type="http://schemas.openxmlformats.org/officeDocument/2006/relationships/hyperlink" Target="https://drive.google.com/file/d/1fD7AWmASsFIlXlxUeMDyf0RwmeJ-UJ8T/view" TargetMode="External"/><Relationship Id="rId2086" Type="http://schemas.microsoft.com/office/2017/10/relationships/threadedComment" Target="../threadedComments/threadedComment1.xml"/><Relationship Id="rId265" Type="http://schemas.openxmlformats.org/officeDocument/2006/relationships/hyperlink" Target="https://drive.google.com/file/d/1N4Zo1nyoTRwV-8yeADEdYoewjbxnID-Z/view" TargetMode="External"/><Relationship Id="rId472" Type="http://schemas.openxmlformats.org/officeDocument/2006/relationships/hyperlink" Target="https://drive.google.com/file/d/1CGnDxWakVhMcyf3ArpxC0Xg8NB2NJ04m/view?usp=drive_link" TargetMode="External"/><Relationship Id="rId125" Type="http://schemas.openxmlformats.org/officeDocument/2006/relationships/hyperlink" Target="https://drive.google.com/file/d/19ZTyE2xeT2sZ01YGBhW0hDNK1zkOgzov/view" TargetMode="External"/><Relationship Id="rId332" Type="http://schemas.openxmlformats.org/officeDocument/2006/relationships/hyperlink" Target="https://drive.google.com/file/d/1hhxNGrt1RWUdQCNORiATApfV6dbwQHYv/view?usp=drive_link" TargetMode="External"/><Relationship Id="rId777" Type="http://schemas.openxmlformats.org/officeDocument/2006/relationships/hyperlink" Target="https://drive.google.com/file/d/1SVtLDrCgd-EGMvj8P0ZCjolJ1bcQnWdH/view?usp=drive_link" TargetMode="External"/><Relationship Id="rId984" Type="http://schemas.openxmlformats.org/officeDocument/2006/relationships/hyperlink" Target="https://drive.google.com/file/d/1hU_NG6jWFnAFsctWfxIixSLdfdg-2vbM/view" TargetMode="External"/><Relationship Id="rId2013" Type="http://schemas.openxmlformats.org/officeDocument/2006/relationships/hyperlink" Target="https://drive.google.com/file/d/1MQhooDZfb_a8dh1XjYQap8rFcmtl5opU/view" TargetMode="External"/><Relationship Id="rId637" Type="http://schemas.openxmlformats.org/officeDocument/2006/relationships/hyperlink" Target="https://drive.google.com/file/d/1jRWn6nkUc6PyzKFIrav2bztHDn61jQYs/view" TargetMode="External"/><Relationship Id="rId844" Type="http://schemas.openxmlformats.org/officeDocument/2006/relationships/hyperlink" Target="https://drive.google.com/file/d/1j8yRlDYok5MJSeLQ4eUWBEa5wF2-pNRd/view?usp=drive_link" TargetMode="External"/><Relationship Id="rId1267" Type="http://schemas.openxmlformats.org/officeDocument/2006/relationships/hyperlink" Target="https://drive.google.com/file/d/1Fr7FnU1zhPXLqSCHSNAy1t-LB8P_O5uZ/view?usp=drive_link" TargetMode="External"/><Relationship Id="rId1474" Type="http://schemas.openxmlformats.org/officeDocument/2006/relationships/hyperlink" Target="https://drive.google.com/file/d/1ivqBk1OAmLirXhfrxLBzeUL_jJxegxDI/view?usp=drive_link" TargetMode="External"/><Relationship Id="rId1681" Type="http://schemas.openxmlformats.org/officeDocument/2006/relationships/hyperlink" Target="https://drive.google.com/file/d/1YiebLoAQwQ3DDXk7k09Eme9jE5xzfvGC/view?usp=drive_link" TargetMode="External"/><Relationship Id="rId704" Type="http://schemas.openxmlformats.org/officeDocument/2006/relationships/hyperlink" Target="https://drive.google.com/file/d/1oaU6aDLcm-WgPEMXNtdBYkqXGGsSkflq/view?usp=drive_link" TargetMode="External"/><Relationship Id="rId911" Type="http://schemas.openxmlformats.org/officeDocument/2006/relationships/hyperlink" Target="https://drive.google.com/file/d/1XNlB-TCqjbu1MIFEoH3KzWJaFDA0h4Mr/view?usp=drive_link" TargetMode="External"/><Relationship Id="rId1127" Type="http://schemas.openxmlformats.org/officeDocument/2006/relationships/hyperlink" Target="https://drive.google.com/file/d/1De6vO_A2TlUNz8pj1sCUy_mHHl1A_xUW/view" TargetMode="External"/><Relationship Id="rId1334" Type="http://schemas.openxmlformats.org/officeDocument/2006/relationships/hyperlink" Target="https://drive.google.com/file/d/1zGDlAkBICsrR-ZMduYzZLDdRYy5sHjtH/view?usp=drive_link" TargetMode="External"/><Relationship Id="rId1541" Type="http://schemas.openxmlformats.org/officeDocument/2006/relationships/hyperlink" Target="https://drive.google.com/file/d/1b2eV06jwkZD183bC3zSDazL4_RSDXHSq/view?usp=drive_link" TargetMode="External"/><Relationship Id="rId1779" Type="http://schemas.openxmlformats.org/officeDocument/2006/relationships/hyperlink" Target="https://drive.google.com/file/d/1Q6MU9kG1fczWg0z99j87JV0I8dZyJDIP/view" TargetMode="External"/><Relationship Id="rId1986" Type="http://schemas.openxmlformats.org/officeDocument/2006/relationships/hyperlink" Target="https://drive.google.com/file/d/197Upk1lRbxo1iH4nl3_asxDxnnQz-xvq/view" TargetMode="External"/><Relationship Id="rId40" Type="http://schemas.openxmlformats.org/officeDocument/2006/relationships/hyperlink" Target="https://drive.google.com/file/d/1erAewuQjYKuSzO2J7M_BGEAM7u-DEnI2/view" TargetMode="External"/><Relationship Id="rId1401" Type="http://schemas.openxmlformats.org/officeDocument/2006/relationships/hyperlink" Target="https://drive.google.com/file/d/1TDk98vxQ3RO5Vex4gTvzQ8srdHf8VMYQ/view?usp=drive_link" TargetMode="External"/><Relationship Id="rId1639" Type="http://schemas.openxmlformats.org/officeDocument/2006/relationships/hyperlink" Target="https://drive.google.com/file/d/1P8dv2yDVWK28813AIv4m4F9tgxPrdqDO/view" TargetMode="External"/><Relationship Id="rId1846" Type="http://schemas.openxmlformats.org/officeDocument/2006/relationships/hyperlink" Target="https://drive.google.com/file/d/11gAT3uSf6EhqY1gp7ESxBQx3ZJOIXz2O/view" TargetMode="External"/><Relationship Id="rId1706" Type="http://schemas.openxmlformats.org/officeDocument/2006/relationships/hyperlink" Target="https://drive.google.com/file/d/1hqFUNz-YrJL1D-KF62ciGzKLn0jl5v4Y/view?usp=drive_link" TargetMode="External"/><Relationship Id="rId1913" Type="http://schemas.openxmlformats.org/officeDocument/2006/relationships/hyperlink" Target="https://drive.google.com/file/d/1VU2oD951xXfxe0_lC75k2-XwxUlhDyj9/view?usp=drive_link" TargetMode="External"/><Relationship Id="rId287" Type="http://schemas.openxmlformats.org/officeDocument/2006/relationships/hyperlink" Target="https://drive.google.com/file/d/1p2iUJtng5C_UXPw0fI_hg5oznXFeBhpI/view" TargetMode="External"/><Relationship Id="rId494" Type="http://schemas.openxmlformats.org/officeDocument/2006/relationships/hyperlink" Target="https://drive.google.com/file/d/1E_lw9TkbspjWKBlfCTRgy2po44C1TCJP/view?usp=drive_link" TargetMode="External"/><Relationship Id="rId147" Type="http://schemas.openxmlformats.org/officeDocument/2006/relationships/hyperlink" Target="https://drive.google.com/file/d/1PN5QKrWfuLNLtg-y5ctP3wPnqv2s1Rlm/view" TargetMode="External"/><Relationship Id="rId354" Type="http://schemas.openxmlformats.org/officeDocument/2006/relationships/hyperlink" Target="https://drive.google.com/file/d/1LSdEMIAx0nOnLCMaT-0CJD9nxONTEfbb/view?usp=drive_link" TargetMode="External"/><Relationship Id="rId799" Type="http://schemas.openxmlformats.org/officeDocument/2006/relationships/hyperlink" Target="https://drive.google.com/file/d/1a0Y0yLRRfNYWEbl7hjxRwwCR8iQ52iEa/view?usp=drive_link" TargetMode="External"/><Relationship Id="rId1191" Type="http://schemas.openxmlformats.org/officeDocument/2006/relationships/hyperlink" Target="https://drive.google.com/file/d/11gAT3uSf6EhqY1gp7ESxBQx3ZJOIXz2O/view" TargetMode="External"/><Relationship Id="rId2035" Type="http://schemas.openxmlformats.org/officeDocument/2006/relationships/hyperlink" Target="https://drive.google.com/file/d/10HQlUfuCM9rvKh755NA9pHKofaluje0o/view" TargetMode="External"/><Relationship Id="rId561" Type="http://schemas.openxmlformats.org/officeDocument/2006/relationships/hyperlink" Target="https://drive.google.com/file/d/1rhCvHfKmw2WQRnaHsokOte7r7Nl3uIJy/view" TargetMode="External"/><Relationship Id="rId659" Type="http://schemas.openxmlformats.org/officeDocument/2006/relationships/hyperlink" Target="https://drive.google.com/file/d/1q4cCVCNG__x2eJpAiRLTqR7FTiIzCqW_/view" TargetMode="External"/><Relationship Id="rId866" Type="http://schemas.openxmlformats.org/officeDocument/2006/relationships/hyperlink" Target="https://drive.google.com/file/d/1rOTt3bC6ZLN5P-SA_JVctRcIj9J1mxVr/view?usp=drive_link" TargetMode="External"/><Relationship Id="rId1289" Type="http://schemas.openxmlformats.org/officeDocument/2006/relationships/hyperlink" Target="https://drive.google.com/file/d/1_yjMQo6gzbHLiIya48Wdfww-Xb1eVGfK/view?usp=drive_link" TargetMode="External"/><Relationship Id="rId1496" Type="http://schemas.openxmlformats.org/officeDocument/2006/relationships/hyperlink" Target="https://drive.google.com/file/d/1nd2LuxXC_tnKKOUoZp-2rCmz6m31uExe/view?usp=drive_link" TargetMode="External"/><Relationship Id="rId214" Type="http://schemas.openxmlformats.org/officeDocument/2006/relationships/hyperlink" Target="https://drive.google.com/file/d/1Ri-YAEWJjvz1PE2D5W_tY9aB0o-kD3Cx/view" TargetMode="External"/><Relationship Id="rId421" Type="http://schemas.openxmlformats.org/officeDocument/2006/relationships/hyperlink" Target="https://drive.google.com/file/d/1ISoQA3fZJl3c0SFy1tNoIXbnwnuAAjGb/view?usp=drive_link" TargetMode="External"/><Relationship Id="rId519" Type="http://schemas.openxmlformats.org/officeDocument/2006/relationships/hyperlink" Target="https://drive.google.com/file/d/1tQyDFiR7dq4GijMcq4Q92uVh9nI1y4mw/view" TargetMode="External"/><Relationship Id="rId1051" Type="http://schemas.openxmlformats.org/officeDocument/2006/relationships/hyperlink" Target="https://drive.google.com/file/d/17TfQKd0Cd9yG2mhJV3bja_JAtLRy5Hq5/view?usp=drive_link" TargetMode="External"/><Relationship Id="rId1149" Type="http://schemas.openxmlformats.org/officeDocument/2006/relationships/hyperlink" Target="https://drive.google.com/file/d/1l1qtJWULZ9Ls8rKQ1VUw4meyuzKWs1jT/view?usp=drive_link" TargetMode="External"/><Relationship Id="rId1356" Type="http://schemas.openxmlformats.org/officeDocument/2006/relationships/hyperlink" Target="https://drive.google.com/file/d/1MQhooDZfb_a8dh1XjYQap8rFcmtl5opU/view" TargetMode="External"/><Relationship Id="rId726" Type="http://schemas.openxmlformats.org/officeDocument/2006/relationships/hyperlink" Target="https://drive.google.com/file/d/1hvQKcWIheA72v1UtBckv-ww6mLtFEX5e/view?usp=drive_link" TargetMode="External"/><Relationship Id="rId933" Type="http://schemas.openxmlformats.org/officeDocument/2006/relationships/hyperlink" Target="https://drive.google.com/file/d/1N22qwC0vrqCOzXJ46mu1iA931nPdVUdV/view?usp=drive_link" TargetMode="External"/><Relationship Id="rId1009" Type="http://schemas.openxmlformats.org/officeDocument/2006/relationships/hyperlink" Target="https://drive.google.com/file/d/1P8dv2yDVWK28813AIv4m4F9tgxPrdqDO/view" TargetMode="External"/><Relationship Id="rId1563" Type="http://schemas.openxmlformats.org/officeDocument/2006/relationships/hyperlink" Target="https://drive.google.com/file/d/1xxrE3LPgzlDH2hVcRgO9_8Tj9dwrwVwk/view?usp=drive_link" TargetMode="External"/><Relationship Id="rId1770" Type="http://schemas.openxmlformats.org/officeDocument/2006/relationships/hyperlink" Target="https://drive.google.com/file/d/1Q6MU9kG1fczWg0z99j87JV0I8dZyJDIP/view" TargetMode="External"/><Relationship Id="rId1868" Type="http://schemas.openxmlformats.org/officeDocument/2006/relationships/hyperlink" Target="https://drive.google.com/file/d/12tCRalajPMVE-onCQiXS7R_4zEPBFs_C/view?usp=drive_link" TargetMode="External"/><Relationship Id="rId62" Type="http://schemas.openxmlformats.org/officeDocument/2006/relationships/hyperlink" Target="https://drive.google.com/file/d/1aotzsm6c1YRrRltmEBM3La85GahLY-Sa/view" TargetMode="External"/><Relationship Id="rId1216" Type="http://schemas.openxmlformats.org/officeDocument/2006/relationships/hyperlink" Target="https://drive.google.com/file/d/1qRnd6QBDXGDZrXClC7fkscnVjqbMHsCo/view?usp=drive_link" TargetMode="External"/><Relationship Id="rId1423" Type="http://schemas.openxmlformats.org/officeDocument/2006/relationships/hyperlink" Target="https://drive.google.com/file/d/1FFvziYQynsq9IGYLQaJ37iQbYGYyI7tt/view?usp=drive_link" TargetMode="External"/><Relationship Id="rId1630" Type="http://schemas.openxmlformats.org/officeDocument/2006/relationships/hyperlink" Target="https://drive.google.com/file/d/1jjzR1RyL3evEhn3RbMY2vgThzWgq-fJN/view" TargetMode="External"/><Relationship Id="rId1728" Type="http://schemas.openxmlformats.org/officeDocument/2006/relationships/hyperlink" Target="https://drive.google.com/file/d/1eggsoLAPcrdATW-qSGgu_m3YksjLLiJO/view?usp=drive_link" TargetMode="External"/><Relationship Id="rId1935" Type="http://schemas.openxmlformats.org/officeDocument/2006/relationships/hyperlink" Target="https://drive.google.com/file/d/1862llNXCy3_gI0LM41mc5JpDXdHEOV2P/view?usp=drive_link" TargetMode="External"/><Relationship Id="rId169" Type="http://schemas.openxmlformats.org/officeDocument/2006/relationships/hyperlink" Target="https://drive.google.com/file/d/1cGFZl0t3lci1ilX5gjjOKnRFdDklY_8G/view" TargetMode="External"/><Relationship Id="rId376" Type="http://schemas.openxmlformats.org/officeDocument/2006/relationships/hyperlink" Target="https://drive.google.com/file/d/1-uqOeguQnsVTKjN4CUm_DKAjRsf3GvNl/view?usp=drive_link" TargetMode="External"/><Relationship Id="rId583" Type="http://schemas.openxmlformats.org/officeDocument/2006/relationships/hyperlink" Target="https://drive.google.com/file/d/12FCTiQHROItKTuE1paH0D-F5NmHrtpx8/view" TargetMode="External"/><Relationship Id="rId790" Type="http://schemas.openxmlformats.org/officeDocument/2006/relationships/hyperlink" Target="https://drive.google.com/file/d/1SQaSL7hmUFSKHN8i7pVPvx3STLMqAOAw/view?usp=drive_link" TargetMode="External"/><Relationship Id="rId2057" Type="http://schemas.openxmlformats.org/officeDocument/2006/relationships/hyperlink" Target="https://drive.google.com/file/d/1TDJpApdYNq3AlENLBb73U5oWwKK28DF1/view?usp=drive_link" TargetMode="External"/><Relationship Id="rId4" Type="http://schemas.openxmlformats.org/officeDocument/2006/relationships/hyperlink" Target="https://drive.google.com/file/d/1XRwotDLG4Wn7ltT3YhUdshMCpqVktKT8/view" TargetMode="External"/><Relationship Id="rId236" Type="http://schemas.openxmlformats.org/officeDocument/2006/relationships/hyperlink" Target="https://drive.google.com/file/d/1fD7AWmASsFIlXlxUeMDyf0RwmeJ-UJ8T/view" TargetMode="External"/><Relationship Id="rId443" Type="http://schemas.openxmlformats.org/officeDocument/2006/relationships/hyperlink" Target="https://drive.google.com/file/d/1iRpGkfGlUpy_9sZc0sYjyX4pKKrv-yKh/view?usp=drive_link" TargetMode="External"/><Relationship Id="rId650" Type="http://schemas.openxmlformats.org/officeDocument/2006/relationships/hyperlink" Target="https://drive.google.com/file/d/1iBr6b26MBv3-qs2HfZPBv-_SZMciRoSv/view" TargetMode="External"/><Relationship Id="rId888" Type="http://schemas.openxmlformats.org/officeDocument/2006/relationships/hyperlink" Target="https://drive.google.com/file/d/1bYy1Ayup9OPnx4Ey4guSJ9WrktD4_Ot6/view?usp=drive_link" TargetMode="External"/><Relationship Id="rId1073" Type="http://schemas.openxmlformats.org/officeDocument/2006/relationships/hyperlink" Target="https://drive.google.com/file/d/1LGG-xHMY2FIvsrUQHdBsimZyc6oVwUHI/view?usp=drive_link" TargetMode="External"/><Relationship Id="rId1280" Type="http://schemas.openxmlformats.org/officeDocument/2006/relationships/hyperlink" Target="https://drive.google.com/file/d/1_yjMQo6gzbHLiIya48Wdfww-Xb1eVGfK/view?usp=drive_link" TargetMode="External"/><Relationship Id="rId303" Type="http://schemas.openxmlformats.org/officeDocument/2006/relationships/hyperlink" Target="https://drive.google.com/file/d/1N4Zo1nyoTRwV-8yeADEdYoewjbxnID-Z/view?usp=drive_link" TargetMode="External"/><Relationship Id="rId748" Type="http://schemas.openxmlformats.org/officeDocument/2006/relationships/hyperlink" Target="https://drive.google.com/file/d/17_08NSWt7_gBt9GqJ59cc4phZ7kJIzsK/view?usp=drive_link" TargetMode="External"/><Relationship Id="rId955" Type="http://schemas.openxmlformats.org/officeDocument/2006/relationships/hyperlink" Target="https://drive.google.com/file/d/1Ea4IsWWBHCZ29uRy7Zxp0SvMnOmdjCvn/view" TargetMode="External"/><Relationship Id="rId1140" Type="http://schemas.openxmlformats.org/officeDocument/2006/relationships/hyperlink" Target="https://drive.google.com/file/d/1gB5Fi3nL6FCTnmd91Ei3_QQJ9QXEVQuG/view" TargetMode="External"/><Relationship Id="rId1378" Type="http://schemas.openxmlformats.org/officeDocument/2006/relationships/hyperlink" Target="https://drive.google.com/file/d/1OXVVqgSOAs7Kf0OYXBLzBzLajLz35A4_/view?usp=drive_link" TargetMode="External"/><Relationship Id="rId1585" Type="http://schemas.openxmlformats.org/officeDocument/2006/relationships/hyperlink" Target="https://drive.google.com/file/d/1N6JLvInqt6UGVAo8jpPfLxV1anlM3LhC/view" TargetMode="External"/><Relationship Id="rId1792" Type="http://schemas.openxmlformats.org/officeDocument/2006/relationships/hyperlink" Target="https://drive.google.com/file/d/1qZSXHwjD6UiZLiCnVCCPpTfeEZz74aAs/view" TargetMode="External"/><Relationship Id="rId84" Type="http://schemas.openxmlformats.org/officeDocument/2006/relationships/hyperlink" Target="https://drive.google.com/file/d/1Xx52lP-CL3Mjgh7XgJuGe8OZtl_A0Kie/view" TargetMode="External"/><Relationship Id="rId510" Type="http://schemas.openxmlformats.org/officeDocument/2006/relationships/hyperlink" Target="https://drive.google.com/file/d/1zxbs_azC4N6-X3OZD0Sz6VP6Xjewm9-8/view" TargetMode="External"/><Relationship Id="rId608" Type="http://schemas.openxmlformats.org/officeDocument/2006/relationships/hyperlink" Target="https://drive.google.com/file/d/1y-Ocgzn3Ss07_HRVm38HZw507xBX9Q3K/view" TargetMode="External"/><Relationship Id="rId815" Type="http://schemas.openxmlformats.org/officeDocument/2006/relationships/hyperlink" Target="https://drive.google.com/file/d/14YXw1eE_uNUTiyyJLFE-3TZXAvUd7kRa/view?usp=drive_link" TargetMode="External"/><Relationship Id="rId1238" Type="http://schemas.openxmlformats.org/officeDocument/2006/relationships/hyperlink" Target="https://drive.google.com/file/d/1g0qE64GhrUOttT19f46pAEKIpTihMBf3/view?usp=drive_link" TargetMode="External"/><Relationship Id="rId1445" Type="http://schemas.openxmlformats.org/officeDocument/2006/relationships/hyperlink" Target="https://drive.google.com/file/d/1nxqhANLSmBJ-olV0_wGYRyXJpm4XiNGD/view?usp=drive_link" TargetMode="External"/><Relationship Id="rId1652" Type="http://schemas.openxmlformats.org/officeDocument/2006/relationships/hyperlink" Target="https://drive.google.com/file/d/1uEFxmPjjwD8Nqb0QvhaTsvG7Fe2EVwdA/view?usp=drive_link" TargetMode="External"/><Relationship Id="rId1000" Type="http://schemas.openxmlformats.org/officeDocument/2006/relationships/hyperlink" Target="https://drive.google.com/file/d/1jjzR1RyL3evEhn3RbMY2vgThzWgq-fJN/view" TargetMode="External"/><Relationship Id="rId1305" Type="http://schemas.openxmlformats.org/officeDocument/2006/relationships/hyperlink" Target="https://drive.google.com/file/d/19aGB7slFQPfIgI387xmUjRUwIeJi_fXB/view?usp=drive_link" TargetMode="External"/><Relationship Id="rId1957" Type="http://schemas.openxmlformats.org/officeDocument/2006/relationships/hyperlink" Target="https://drive.google.com/file/d/1m_ZcOGPlgePKQ5iHcOHOG_LcxNkDkiJ-/view?usp=drive_link" TargetMode="External"/><Relationship Id="rId1512" Type="http://schemas.openxmlformats.org/officeDocument/2006/relationships/hyperlink" Target="https://drive.google.com/file/d/1W-gf0VbzbihbaBDbivu-eAIuFgmf1g2H/view?usp=drive_link" TargetMode="External"/><Relationship Id="rId1817" Type="http://schemas.openxmlformats.org/officeDocument/2006/relationships/hyperlink" Target="https://drive.google.com/file/d/10RRCP9PqW1a0aXZkHVOxVr_hGOY01_Ce/view" TargetMode="External"/><Relationship Id="rId11" Type="http://schemas.openxmlformats.org/officeDocument/2006/relationships/hyperlink" Target="https://drive.google.com/file/d/1xNwrwZ-kLTM_YhVN0HOVWrlrlMM1DCgm/view" TargetMode="External"/><Relationship Id="rId398" Type="http://schemas.openxmlformats.org/officeDocument/2006/relationships/hyperlink" Target="https://drive.google.com/file/d/1j2tLIzNNUoZkZ243oPB10Uwaw2b3_A58/view?usp=drive_link" TargetMode="External"/><Relationship Id="rId2079" Type="http://schemas.openxmlformats.org/officeDocument/2006/relationships/hyperlink" Target="https://drive.google.com/file/d/1l3XQXS4Q2FCMyGl__1oip2yGbK6ML46S/view?usp=drive_link" TargetMode="External"/><Relationship Id="rId160" Type="http://schemas.openxmlformats.org/officeDocument/2006/relationships/hyperlink" Target="https://drive.google.com/file/d/1Xv5IhBhdmlrvaY32k_gxD4v2dwCxj2S0/view" TargetMode="External"/><Relationship Id="rId258" Type="http://schemas.openxmlformats.org/officeDocument/2006/relationships/hyperlink" Target="https://drive.google.com/file/d/17kFHEbF-AEDFcJjjgAoxnDoBUieKKDg3/view" TargetMode="External"/><Relationship Id="rId465" Type="http://schemas.openxmlformats.org/officeDocument/2006/relationships/hyperlink" Target="https://drive.google.com/file/d/1CGnDxWakVhMcyf3ArpxC0Xg8NB2NJ04m/view?usp=drive_link" TargetMode="External"/><Relationship Id="rId672" Type="http://schemas.openxmlformats.org/officeDocument/2006/relationships/hyperlink" Target="https://drive.google.com/file/d/1pVsRJ1dyo2hYWyHHI4kWWKMR6i84lDfX/view?usp=sharing" TargetMode="External"/><Relationship Id="rId1095" Type="http://schemas.openxmlformats.org/officeDocument/2006/relationships/hyperlink" Target="https://drive.google.com/file/d/1AWxAuRE6Vg50Zv6iozolSxiyZ-AwV82_/view?usp=drive_link" TargetMode="External"/><Relationship Id="rId118" Type="http://schemas.openxmlformats.org/officeDocument/2006/relationships/hyperlink" Target="https://drive.google.com/file/d/19ZTyE2xeT2sZ01YGBhW0hDNK1zkOgzov/view" TargetMode="External"/><Relationship Id="rId325" Type="http://schemas.openxmlformats.org/officeDocument/2006/relationships/hyperlink" Target="https://drive.google.com/file/d/1auczJq74YC7zQtmuh6xlGQH7tRkhMdYG/view?usp=drive_link" TargetMode="External"/><Relationship Id="rId532" Type="http://schemas.openxmlformats.org/officeDocument/2006/relationships/hyperlink" Target="https://drive.google.com/file/d/1KD8Xfrs6ZPDDeNsgaKv-b1oJyOORtcmH/view" TargetMode="External"/><Relationship Id="rId977" Type="http://schemas.openxmlformats.org/officeDocument/2006/relationships/hyperlink" Target="https://drive.google.com/file/d/1dRnOElIobWmdZEkO8BRVE7TU1yvuxQXW/view?usp=drive_link" TargetMode="External"/><Relationship Id="rId1162" Type="http://schemas.openxmlformats.org/officeDocument/2006/relationships/hyperlink" Target="https://drive.google.com/file/d/19xTvun6qzsNy4xAj6wKum7MQ98om515z/view?usp=drive_link" TargetMode="External"/><Relationship Id="rId2006" Type="http://schemas.openxmlformats.org/officeDocument/2006/relationships/hyperlink" Target="https://drive.google.com/file/d/1AoH0Y4ciTRcsU5X6S4aZ3HZiPs325E2e/view?usp=drive_link" TargetMode="External"/><Relationship Id="rId837" Type="http://schemas.openxmlformats.org/officeDocument/2006/relationships/hyperlink" Target="https://drive.google.com/file/d/1q1S8kM3uWaJrbD9mRZ_cWxaj0alzeKgN/view?usp=drive_link" TargetMode="External"/><Relationship Id="rId1022" Type="http://schemas.openxmlformats.org/officeDocument/2006/relationships/hyperlink" Target="https://drive.google.com/file/d/1dtmjjVifpdyX31hTWKtbOj-VXJHs1FLR/view?usp=drive_link" TargetMode="External"/><Relationship Id="rId1467" Type="http://schemas.openxmlformats.org/officeDocument/2006/relationships/hyperlink" Target="https://drive.google.com/file/d/1ivqBk1OAmLirXhfrxLBzeUL_jJxegxDI/view?usp=drive_link" TargetMode="External"/><Relationship Id="rId1674" Type="http://schemas.openxmlformats.org/officeDocument/2006/relationships/hyperlink" Target="https://drive.google.com/file/d/1ErzZnaGRbRgYHrCEwMv-7ly4fAk80jPD/view?usp=drive_link" TargetMode="External"/><Relationship Id="rId1881" Type="http://schemas.openxmlformats.org/officeDocument/2006/relationships/hyperlink" Target="https://drive.google.com/file/d/1Si-fSzjLqtub6Ffxa9vP4q5-r_GljdPA/view?usp=drive_link" TargetMode="External"/><Relationship Id="rId904" Type="http://schemas.openxmlformats.org/officeDocument/2006/relationships/hyperlink" Target="https://drive.google.com/file/d/1dMX3W21nvBkM9WPZUIo18OVNIoRxyreY/view?usp=drive_link" TargetMode="External"/><Relationship Id="rId1327" Type="http://schemas.openxmlformats.org/officeDocument/2006/relationships/hyperlink" Target="https://drive.google.com/file/d/1zGDlAkBICsrR-ZMduYzZLDdRYy5sHjtH/view?usp=drive_link" TargetMode="External"/><Relationship Id="rId1534" Type="http://schemas.openxmlformats.org/officeDocument/2006/relationships/hyperlink" Target="https://drive.google.com/file/d/1XjKaIIKxhd8oZqb19P6albr-80-RL-hK/view?usp=drive_link" TargetMode="External"/><Relationship Id="rId1741" Type="http://schemas.openxmlformats.org/officeDocument/2006/relationships/hyperlink" Target="https://drive.google.com/file/d/1PNmp5EMW5WyKjKqULNrxDdbiU7_eGUj0/view?usp=drive_link" TargetMode="External"/><Relationship Id="rId1979" Type="http://schemas.openxmlformats.org/officeDocument/2006/relationships/hyperlink" Target="https://drive.google.com/file/d/197Upk1lRbxo1iH4nl3_asxDxnnQz-xvq/view" TargetMode="External"/><Relationship Id="rId33" Type="http://schemas.openxmlformats.org/officeDocument/2006/relationships/hyperlink" Target="https://drive.google.com/file/d/1erAewuQjYKuSzO2J7M_BGEAM7u-DEnI2/view" TargetMode="External"/><Relationship Id="rId1601" Type="http://schemas.openxmlformats.org/officeDocument/2006/relationships/hyperlink" Target="https://drive.google.com/file/d/1plIl4OwrTQiOuqIP5TrPp953bH0vUYQ-/view?usp=drive_link" TargetMode="External"/><Relationship Id="rId1839" Type="http://schemas.openxmlformats.org/officeDocument/2006/relationships/hyperlink" Target="https://drive.google.com/file/d/11gAT3uSf6EhqY1gp7ESxBQx3ZJOIXz2O/view" TargetMode="External"/><Relationship Id="rId182" Type="http://schemas.openxmlformats.org/officeDocument/2006/relationships/hyperlink" Target="https://drive.google.com/file/d/16BMdQPUP_243M9ZY1BsJCcqCz75Uhylv/view" TargetMode="External"/><Relationship Id="rId1906" Type="http://schemas.openxmlformats.org/officeDocument/2006/relationships/hyperlink" Target="https://drive.google.com/file/d/1EFP77JsHwvOLRKb7NL4f0-WTRLI4zmhV/view?usp=drive_link" TargetMode="External"/><Relationship Id="rId487" Type="http://schemas.openxmlformats.org/officeDocument/2006/relationships/hyperlink" Target="https://drive.google.com/file/d/1hmXY9RLSychgJTsAJz7iOoJsrTTIp1VT/view?usp=drive_link" TargetMode="External"/><Relationship Id="rId694" Type="http://schemas.openxmlformats.org/officeDocument/2006/relationships/hyperlink" Target="https://drive.google.com/file/d/1xtKK1s6-PHzFzBwpapa8NlHm2NARujAZ/view?usp=drive_link" TargetMode="External"/><Relationship Id="rId2070" Type="http://schemas.openxmlformats.org/officeDocument/2006/relationships/hyperlink" Target="https://drive.google.com/file/d/1XO6KFN11Xr9Vu-p4z4gv56Vfr7TRSm9W/view?usp=drive_link" TargetMode="External"/><Relationship Id="rId347" Type="http://schemas.openxmlformats.org/officeDocument/2006/relationships/hyperlink" Target="https://drive.google.com/file/d/1txs_xJtZSRV3s1r41GM6nzBz3ZapFemu/view?usp=drive_link" TargetMode="External"/><Relationship Id="rId999" Type="http://schemas.openxmlformats.org/officeDocument/2006/relationships/hyperlink" Target="https://drive.google.com/file/d/1jjzR1RyL3evEhn3RbMY2vgThzWgq-fJN/view" TargetMode="External"/><Relationship Id="rId1184" Type="http://schemas.openxmlformats.org/officeDocument/2006/relationships/hyperlink" Target="https://drive.google.com/file/d/10RRCP9PqW1a0aXZkHVOxVr_hGOY01_Ce/view" TargetMode="External"/><Relationship Id="rId2028" Type="http://schemas.openxmlformats.org/officeDocument/2006/relationships/hyperlink" Target="https://drive.google.com/file/d/1MQhooDZfb_a8dh1XjYQap8rFcmtl5opU/view" TargetMode="External"/><Relationship Id="rId554" Type="http://schemas.openxmlformats.org/officeDocument/2006/relationships/hyperlink" Target="https://drive.google.com/file/d/1_9wvDD0xzarupnO-MkGQjPWkgNEleRMr/view" TargetMode="External"/><Relationship Id="rId761" Type="http://schemas.openxmlformats.org/officeDocument/2006/relationships/hyperlink" Target="https://drive.google.com/file/d/1eUqriZfZ8ZcnMu4n6LORw1pcnpQae1-d/view?usp=drive_link" TargetMode="External"/><Relationship Id="rId859" Type="http://schemas.openxmlformats.org/officeDocument/2006/relationships/hyperlink" Target="https://drive.google.com/file/d/1Kj7pGsto2d8qxWBBNeFSXHt0ZCv3amEr/view?usp=drive_link" TargetMode="External"/><Relationship Id="rId1391" Type="http://schemas.openxmlformats.org/officeDocument/2006/relationships/hyperlink" Target="https://drive.google.com/file/d/16iCRVZ9FIxsqJnxI634PDZC4GeoM1QjJ/view?usp=drive_link" TargetMode="External"/><Relationship Id="rId1489" Type="http://schemas.openxmlformats.org/officeDocument/2006/relationships/hyperlink" Target="https://drive.google.com/file/d/1fUENaPvI5EGQBpB2AP1I0ESrESO08iWA/view?usp=drive_link" TargetMode="External"/><Relationship Id="rId1696" Type="http://schemas.openxmlformats.org/officeDocument/2006/relationships/hyperlink" Target="https://drive.google.com/file/d/18gvd1UBIqDir1Ui4hKFDzLdKhiyxJeTK/view?usp=drive_link" TargetMode="External"/><Relationship Id="rId207" Type="http://schemas.openxmlformats.org/officeDocument/2006/relationships/hyperlink" Target="https://drive.google.com/file/d/1Ri-YAEWJjvz1PE2D5W_tY9aB0o-kD3Cx/view" TargetMode="External"/><Relationship Id="rId414" Type="http://schemas.openxmlformats.org/officeDocument/2006/relationships/hyperlink" Target="https://drive.google.com/file/d/1Mz-UnKO6rFVDA_Sts8kV4Nb6AFgcY8xZ/view?usp=drive_link" TargetMode="External"/><Relationship Id="rId621" Type="http://schemas.openxmlformats.org/officeDocument/2006/relationships/hyperlink" Target="https://drive.google.com/file/d/1YYboHNgsShFzYyBHMkUoSzib7zJkM_P6/view" TargetMode="External"/><Relationship Id="rId1044" Type="http://schemas.openxmlformats.org/officeDocument/2006/relationships/hyperlink" Target="https://drive.google.com/file/d/1EShm-JCEBeUL9t9jvi_3B6OF8gY5AK0w/view?usp=drive_link" TargetMode="External"/><Relationship Id="rId1251" Type="http://schemas.openxmlformats.org/officeDocument/2006/relationships/hyperlink" Target="https://drive.google.com/file/d/1QSpwAu5G5jYzzAO2U4PsRnfbTsKxHd6s/view?usp=drive_link" TargetMode="External"/><Relationship Id="rId1349" Type="http://schemas.openxmlformats.org/officeDocument/2006/relationships/hyperlink" Target="https://drive.google.com/file/d/1PBCEYtD7A6r3bmKeU8hWJH7w8BXVVzH1/view" TargetMode="External"/><Relationship Id="rId719" Type="http://schemas.openxmlformats.org/officeDocument/2006/relationships/hyperlink" Target="https://drive.google.com/file/d/1N9brwHmFW_PdvPj4vWj5-JYfwZ_j8qxo/view?usp=drive_link" TargetMode="External"/><Relationship Id="rId926" Type="http://schemas.openxmlformats.org/officeDocument/2006/relationships/hyperlink" Target="https://drive.google.com/file/d/1N22qwC0vrqCOzXJ46mu1iA931nPdVUdV/view?usp=drive_link" TargetMode="External"/><Relationship Id="rId1111" Type="http://schemas.openxmlformats.org/officeDocument/2006/relationships/hyperlink" Target="https://drive.google.com/file/d/1AWxAuRE6Vg50Zv6iozolSxiyZ-AwV82_/view?usp=drive_link" TargetMode="External"/><Relationship Id="rId1556" Type="http://schemas.openxmlformats.org/officeDocument/2006/relationships/hyperlink" Target="https://drive.google.com/file/d/13q2lrMXyrD-jFwOUSAmyXAyHguPjfyop/view?usp=drive_link" TargetMode="External"/><Relationship Id="rId1763" Type="http://schemas.openxmlformats.org/officeDocument/2006/relationships/hyperlink" Target="https://drive.google.com/file/d/1oxqPS_1tBA-gVsLfO5IQXOGLDroKN7-w/view?usp=drive_link" TargetMode="External"/><Relationship Id="rId1970" Type="http://schemas.openxmlformats.org/officeDocument/2006/relationships/hyperlink" Target="https://drive.google.com/file/d/1La3JnRLTGosBhQtrjluRdPiS-rya-Lxf/view" TargetMode="External"/><Relationship Id="rId55" Type="http://schemas.openxmlformats.org/officeDocument/2006/relationships/hyperlink" Target="https://drive.google.com/file/d/1iggJgkxEIi33_uzKlp_ENRo47YLn90I8/view" TargetMode="External"/><Relationship Id="rId1209" Type="http://schemas.openxmlformats.org/officeDocument/2006/relationships/hyperlink" Target="https://drive.google.com/file/d/1JSFImQsE-aSNBi1_XGaeHY1TM31sTpH0/view?usp=drive_link" TargetMode="External"/><Relationship Id="rId1416" Type="http://schemas.openxmlformats.org/officeDocument/2006/relationships/hyperlink" Target="https://drive.google.com/file/d/1IobvhS63KW7w3xiQvQNpxHjV7ZiZaVbc/view?usp=drive_link" TargetMode="External"/><Relationship Id="rId1623" Type="http://schemas.openxmlformats.org/officeDocument/2006/relationships/hyperlink" Target="https://drive.google.com/file/d/1jjzR1RyL3evEhn3RbMY2vgThzWgq-fJN/view" TargetMode="External"/><Relationship Id="rId1830" Type="http://schemas.openxmlformats.org/officeDocument/2006/relationships/hyperlink" Target="https://drive.google.com/file/d/10RRCP9PqW1a0aXZkHVOxVr_hGOY01_Ce/view" TargetMode="External"/><Relationship Id="rId1928" Type="http://schemas.openxmlformats.org/officeDocument/2006/relationships/hyperlink" Target="https://drive.google.com/file/d/1-kULF92O7kA2Vy-9i1BZzi1_0bIC323S/view?usp=drive_link" TargetMode="External"/><Relationship Id="rId271" Type="http://schemas.openxmlformats.org/officeDocument/2006/relationships/hyperlink" Target="https://drive.google.com/file/d/1N4Zo1nyoTRwV-8yeADEdYoewjbxnID-Z/view?usp=drive_link" TargetMode="External"/><Relationship Id="rId131" Type="http://schemas.openxmlformats.org/officeDocument/2006/relationships/hyperlink" Target="https://drive.google.com/file/d/1Jq87qjyP8CX6GzfZ6UTJqN8h3tUDVJ4L/view" TargetMode="External"/><Relationship Id="rId369" Type="http://schemas.openxmlformats.org/officeDocument/2006/relationships/hyperlink" Target="https://drive.google.com/file/d/1-uqOeguQnsVTKjN4CUm_DKAjRsf3GvNl/view?usp=drive_link" TargetMode="External"/><Relationship Id="rId576" Type="http://schemas.openxmlformats.org/officeDocument/2006/relationships/hyperlink" Target="https://drive.google.com/file/d/1XM56ViSsm-28H781ilJpgfRH-h3HxQCr/view" TargetMode="External"/><Relationship Id="rId783" Type="http://schemas.openxmlformats.org/officeDocument/2006/relationships/hyperlink" Target="https://drive.google.com/file/d/1SQaSL7hmUFSKHN8i7pVPvx3STLMqAOAw/view?usp=drive_link" TargetMode="External"/><Relationship Id="rId990" Type="http://schemas.openxmlformats.org/officeDocument/2006/relationships/hyperlink" Target="https://drive.google.com/file/d/1hU_NG6jWFnAFsctWfxIixSLdfdg-2vbM/view" TargetMode="External"/><Relationship Id="rId229" Type="http://schemas.openxmlformats.org/officeDocument/2006/relationships/hyperlink" Target="https://drive.google.com/file/d/1fD7AWmASsFIlXlxUeMDyf0RwmeJ-UJ8T/view" TargetMode="External"/><Relationship Id="rId436" Type="http://schemas.openxmlformats.org/officeDocument/2006/relationships/hyperlink" Target="https://drive.google.com/file/d/1l032NhkgI8VXW1YdwE6IVXJ95axS_1_N/view?usp=drive_link" TargetMode="External"/><Relationship Id="rId643" Type="http://schemas.openxmlformats.org/officeDocument/2006/relationships/hyperlink" Target="https://drive.google.com/file/d/1iBr6b26MBv3-qs2HfZPBv-_SZMciRoSv/view" TargetMode="External"/><Relationship Id="rId1066" Type="http://schemas.openxmlformats.org/officeDocument/2006/relationships/hyperlink" Target="https://drive.google.com/file/d/1lHsS9HToAAkVgzUpu0SvP6Q74MdwpNaD/view?usp=drive_link" TargetMode="External"/><Relationship Id="rId1273" Type="http://schemas.openxmlformats.org/officeDocument/2006/relationships/hyperlink" Target="https://drive.google.com/file/d/18HTGOY9i7bxWMrMLMgWvctC0TQbGDm_d/view?usp=drive_link" TargetMode="External"/><Relationship Id="rId1480" Type="http://schemas.openxmlformats.org/officeDocument/2006/relationships/hyperlink" Target="https://drive.google.com/file/d/1fUENaPvI5EGQBpB2AP1I0ESrESO08iWA/view?usp=drive_link" TargetMode="External"/><Relationship Id="rId850" Type="http://schemas.openxmlformats.org/officeDocument/2006/relationships/hyperlink" Target="https://drive.google.com/file/d/1j8yRlDYok5MJSeLQ4eUWBEa5wF2-pNRd/view?usp=drive_link" TargetMode="External"/><Relationship Id="rId948" Type="http://schemas.openxmlformats.org/officeDocument/2006/relationships/hyperlink" Target="https://drive.google.com/file/d/1Ea4IsWWBHCZ29uRy7Zxp0SvMnOmdjCvn/view" TargetMode="External"/><Relationship Id="rId1133" Type="http://schemas.openxmlformats.org/officeDocument/2006/relationships/hyperlink" Target="https://drive.google.com/file/d/1De6vO_A2TlUNz8pj1sCUy_mHHl1A_xUW/view" TargetMode="External"/><Relationship Id="rId1578" Type="http://schemas.openxmlformats.org/officeDocument/2006/relationships/hyperlink" Target="https://drive.google.com/file/d/1ruM5f-JPXrFoNb6xNaz40ic4CGr2kGvK/view" TargetMode="External"/><Relationship Id="rId1785" Type="http://schemas.openxmlformats.org/officeDocument/2006/relationships/hyperlink" Target="https://drive.google.com/file/d/1qZSXHwjD6UiZLiCnVCCPpTfeEZz74aAs/view" TargetMode="External"/><Relationship Id="rId1992" Type="http://schemas.openxmlformats.org/officeDocument/2006/relationships/hyperlink" Target="https://drive.google.com/file/d/1BakHXePkW3JZxwSnUkqqZxtPshE0ewsY/view?usp=drive_link" TargetMode="External"/><Relationship Id="rId77" Type="http://schemas.openxmlformats.org/officeDocument/2006/relationships/hyperlink" Target="https://drive.google.com/file/d/14_e23Fks39g6eB6scWs8oJVkvBf-w1QV/view" TargetMode="External"/><Relationship Id="rId503" Type="http://schemas.openxmlformats.org/officeDocument/2006/relationships/hyperlink" Target="https://drive.google.com/file/d/1E_lw9TkbspjWKBlfCTRgy2po44C1TCJP/view?usp=drive_link" TargetMode="External"/><Relationship Id="rId710" Type="http://schemas.openxmlformats.org/officeDocument/2006/relationships/hyperlink" Target="https://drive.google.com/file/d/1oaU6aDLcm-WgPEMXNtdBYkqXGGsSkflq/view?usp=drive_link" TargetMode="External"/><Relationship Id="rId808" Type="http://schemas.openxmlformats.org/officeDocument/2006/relationships/hyperlink" Target="https://drive.google.com/file/d/1fVGTywNnBvbe_-XZ6i9qc-4BCJw5nmT1/view?usp=drive_link" TargetMode="External"/><Relationship Id="rId1340" Type="http://schemas.openxmlformats.org/officeDocument/2006/relationships/hyperlink" Target="https://drive.google.com/file/d/1PBCEYtD7A6r3bmKeU8hWJH7w8BXVVzH1/view" TargetMode="External"/><Relationship Id="rId1438" Type="http://schemas.openxmlformats.org/officeDocument/2006/relationships/hyperlink" Target="https://drive.google.com/file/d/1bB7YXERU6N6l2CgGXhfHlbgLBpqYC7xS/view?usp=drive_link" TargetMode="External"/><Relationship Id="rId1645" Type="http://schemas.openxmlformats.org/officeDocument/2006/relationships/hyperlink" Target="https://drive.google.com/file/d/1P8dv2yDVWK28813AIv4m4F9tgxPrdqDO/view" TargetMode="External"/><Relationship Id="rId1200" Type="http://schemas.openxmlformats.org/officeDocument/2006/relationships/hyperlink" Target="https://drive.google.com/file/d/11gAT3uSf6EhqY1gp7ESxBQx3ZJOIXz2O/view" TargetMode="External"/><Relationship Id="rId1852" Type="http://schemas.openxmlformats.org/officeDocument/2006/relationships/hyperlink" Target="https://drive.google.com/file/d/18smY9gvWxQDfgihbZYRWZ76-V_fFiVyk/view?usp=drive_link" TargetMode="External"/><Relationship Id="rId1505" Type="http://schemas.openxmlformats.org/officeDocument/2006/relationships/hyperlink" Target="https://drive.google.com/file/d/1W-gf0VbzbihbaBDbivu-eAIuFgmf1g2H/view?usp=drive_link" TargetMode="External"/><Relationship Id="rId1712" Type="http://schemas.openxmlformats.org/officeDocument/2006/relationships/hyperlink" Target="https://drive.google.com/file/d/1U_VfOs-qUWoEMVHPtt9sq2AZH--X8AwT/view?usp=drive_link" TargetMode="External"/><Relationship Id="rId293" Type="http://schemas.openxmlformats.org/officeDocument/2006/relationships/hyperlink" Target="https://drive.google.com/file/d/1p2iUJtng5C_UXPw0fI_hg5oznXFeBhpI/view" TargetMode="External"/><Relationship Id="rId153" Type="http://schemas.openxmlformats.org/officeDocument/2006/relationships/hyperlink" Target="https://drive.google.com/file/d/1PN5QKrWfuLNLtg-y5ctP3wPnqv2s1Rlm/view" TargetMode="External"/><Relationship Id="rId360" Type="http://schemas.openxmlformats.org/officeDocument/2006/relationships/hyperlink" Target="https://drive.google.com/file/d/1DE97kviXT-3hj-mPkqohYwgjer1eZUEt/view?usp=drive_link" TargetMode="External"/><Relationship Id="rId598" Type="http://schemas.openxmlformats.org/officeDocument/2006/relationships/hyperlink" Target="https://drive.google.com/file/d/12FCTiQHROItKTuE1paH0D-F5NmHrtpx8/view" TargetMode="External"/><Relationship Id="rId2041" Type="http://schemas.openxmlformats.org/officeDocument/2006/relationships/hyperlink" Target="https://drive.google.com/file/d/10HQlUfuCM9rvKh755NA9pHKofaluje0o/view" TargetMode="External"/><Relationship Id="rId220" Type="http://schemas.openxmlformats.org/officeDocument/2006/relationships/hyperlink" Target="https://drive.google.com/file/d/17kFHEbF-AEDFcJjjgAoxnDoBUieKKDg3/view" TargetMode="External"/><Relationship Id="rId458" Type="http://schemas.openxmlformats.org/officeDocument/2006/relationships/hyperlink" Target="https://drive.google.com/file/d/1XZELMJDN7oiWnhqZnzMAEUGGr7oqakya/view?usp=drive_link" TargetMode="External"/><Relationship Id="rId665" Type="http://schemas.openxmlformats.org/officeDocument/2006/relationships/hyperlink" Target="https://drive.google.com/file/d/1q4cCVCNG__x2eJpAiRLTqR7FTiIzCqW_/view" TargetMode="External"/><Relationship Id="rId872" Type="http://schemas.openxmlformats.org/officeDocument/2006/relationships/hyperlink" Target="https://drive.google.com/file/d/1rOTt3bC6ZLN5P-SA_JVctRcIj9J1mxVr/view?usp=drive_link" TargetMode="External"/><Relationship Id="rId1088" Type="http://schemas.openxmlformats.org/officeDocument/2006/relationships/hyperlink" Target="https://drive.google.com/file/d/1bSZghuFPNMDy724R2VmzwB1Jr2rl9y3T/view?usp=drive_link" TargetMode="External"/><Relationship Id="rId1295" Type="http://schemas.openxmlformats.org/officeDocument/2006/relationships/hyperlink" Target="https://drive.google.com/file/d/19aGB7slFQPfIgI387xmUjRUwIeJi_fXB/view?usp=drive_link" TargetMode="External"/><Relationship Id="rId318" Type="http://schemas.openxmlformats.org/officeDocument/2006/relationships/hyperlink" Target="https://drive.google.com/file/d/1p2iUJtng5C_UXPw0fI_hg5oznXFeBhpI/view" TargetMode="External"/><Relationship Id="rId525" Type="http://schemas.openxmlformats.org/officeDocument/2006/relationships/hyperlink" Target="https://drive.google.com/file/d/1tQyDFiR7dq4GijMcq4Q92uVh9nI1y4mw/view" TargetMode="External"/><Relationship Id="rId732" Type="http://schemas.openxmlformats.org/officeDocument/2006/relationships/hyperlink" Target="https://drive.google.com/file/d/1hvQKcWIheA72v1UtBckv-ww6mLtFEX5e/view?usp=drive_link" TargetMode="External"/><Relationship Id="rId1155" Type="http://schemas.openxmlformats.org/officeDocument/2006/relationships/hyperlink" Target="https://drive.google.com/file/d/19xTvun6qzsNy4xAj6wKum7MQ98om515z/view?usp=drive_link" TargetMode="External"/><Relationship Id="rId1362" Type="http://schemas.openxmlformats.org/officeDocument/2006/relationships/hyperlink" Target="https://drive.google.com/file/d/1MQhooDZfb_a8dh1XjYQap8rFcmtl5opU/view" TargetMode="External"/><Relationship Id="rId99" Type="http://schemas.openxmlformats.org/officeDocument/2006/relationships/hyperlink" Target="https://drive.google.com/file/d/1mjk5nvW4b1WflrBJK-EEPQRX1KlRm6e2/view" TargetMode="External"/><Relationship Id="rId1015" Type="http://schemas.openxmlformats.org/officeDocument/2006/relationships/hyperlink" Target="https://drive.google.com/file/d/1P8dv2yDVWK28813AIv4m4F9tgxPrdqDO/view" TargetMode="External"/><Relationship Id="rId1222" Type="http://schemas.openxmlformats.org/officeDocument/2006/relationships/hyperlink" Target="https://drive.google.com/file/d/1qRnd6QBDXGDZrXClC7fkscnVjqbMHsCo/view?usp=drive_link" TargetMode="External"/><Relationship Id="rId1667" Type="http://schemas.openxmlformats.org/officeDocument/2006/relationships/hyperlink" Target="https://drive.google.com/file/d/1ErzZnaGRbRgYHrCEwMv-7ly4fAk80jPD/view?usp=drive_link" TargetMode="External"/><Relationship Id="rId1874" Type="http://schemas.openxmlformats.org/officeDocument/2006/relationships/hyperlink" Target="https://drive.google.com/file/d/1Si-fSzjLqtub6Ffxa9vP4q5-r_GljdPA/view?usp=drive_link" TargetMode="External"/><Relationship Id="rId1527" Type="http://schemas.openxmlformats.org/officeDocument/2006/relationships/hyperlink" Target="https://drive.google.com/file/d/1XjKaIIKxhd8oZqb19P6albr-80-RL-hK/view?usp=drive_link" TargetMode="External"/><Relationship Id="rId1734" Type="http://schemas.openxmlformats.org/officeDocument/2006/relationships/hyperlink" Target="https://drive.google.com/file/d/1PNmp5EMW5WyKjKqULNrxDdbiU7_eGUj0/view?usp=drive_link" TargetMode="External"/><Relationship Id="rId1941" Type="http://schemas.openxmlformats.org/officeDocument/2006/relationships/hyperlink" Target="https://drive.google.com/file/d/1862llNXCy3_gI0LM41mc5JpDXdHEOV2P/view?usp=drive_link" TargetMode="External"/><Relationship Id="rId26" Type="http://schemas.openxmlformats.org/officeDocument/2006/relationships/hyperlink" Target="https://drive.google.com/file/d/1mjk5nvW4b1WflrBJK-EEPQRX1KlRm6e2/view" TargetMode="External"/><Relationship Id="rId175" Type="http://schemas.openxmlformats.org/officeDocument/2006/relationships/hyperlink" Target="https://drive.google.com/file/d/1ubpEtvc1oWuPQhwTMdh21fiJQLJ6YQjL/view" TargetMode="External"/><Relationship Id="rId1801" Type="http://schemas.openxmlformats.org/officeDocument/2006/relationships/hyperlink" Target="https://drive.google.com/file/d/1FRRXo6J4o4AZtg9BHSw3llGraq7T31kv/view?usp=drive_link" TargetMode="External"/><Relationship Id="rId382" Type="http://schemas.openxmlformats.org/officeDocument/2006/relationships/hyperlink" Target="https://drive.google.com/file/d/1mdyrvDZwnHDAJR9GoBxTgVEGuoFOKVP7/view?usp=drive_link" TargetMode="External"/><Relationship Id="rId687" Type="http://schemas.openxmlformats.org/officeDocument/2006/relationships/hyperlink" Target="https://drive.google.com/file/d/1bYy1Ayup9OPnx4Ey4guSJ9WrktD4_Ot6/view?usp=drive_link" TargetMode="External"/><Relationship Id="rId2063" Type="http://schemas.openxmlformats.org/officeDocument/2006/relationships/hyperlink" Target="https://drive.google.com/file/d/1PENkN1gZNt6kuWDXStzbi8Z0DiwcY8HX/view?usp=drive_link" TargetMode="External"/><Relationship Id="rId242" Type="http://schemas.openxmlformats.org/officeDocument/2006/relationships/hyperlink" Target="https://drive.google.com/file/d/1Ri-YAEWJjvz1PE2D5W_tY9aB0o-kD3Cx/view" TargetMode="External"/><Relationship Id="rId894" Type="http://schemas.openxmlformats.org/officeDocument/2006/relationships/hyperlink" Target="https://drive.google.com/file/d/1bYy1Ayup9OPnx4Ey4guSJ9WrktD4_Ot6/view?usp=drive_link" TargetMode="External"/><Relationship Id="rId1177" Type="http://schemas.openxmlformats.org/officeDocument/2006/relationships/hyperlink" Target="https://drive.google.com/file/d/10RRCP9PqW1a0aXZkHVOxVr_hGOY01_Ce/view" TargetMode="External"/><Relationship Id="rId102" Type="http://schemas.openxmlformats.org/officeDocument/2006/relationships/hyperlink" Target="https://drive.google.com/file/d/1mjk5nvW4b1WflrBJK-EEPQRX1KlRm6e2/view" TargetMode="External"/><Relationship Id="rId547" Type="http://schemas.openxmlformats.org/officeDocument/2006/relationships/hyperlink" Target="https://drive.google.com/file/d/1_9wvDD0xzarupnO-MkGQjPWkgNEleRMr/view" TargetMode="External"/><Relationship Id="rId754" Type="http://schemas.openxmlformats.org/officeDocument/2006/relationships/hyperlink" Target="https://drive.google.com/file/d/1eUqriZfZ8ZcnMu4n6LORw1pcnpQae1-d/view?usp=drive_link" TargetMode="External"/><Relationship Id="rId961" Type="http://schemas.openxmlformats.org/officeDocument/2006/relationships/hyperlink" Target="https://drive.google.com/file/d/1ns9WVi4LIlCy9kRsqLx6fuozbqpfzmaZ/view?usp=drive_link" TargetMode="External"/><Relationship Id="rId1384" Type="http://schemas.openxmlformats.org/officeDocument/2006/relationships/hyperlink" Target="https://drive.google.com/file/d/1OXVVqgSOAs7Kf0OYXBLzBzLajLz35A4_/view?usp=drive_link" TargetMode="External"/><Relationship Id="rId1591" Type="http://schemas.openxmlformats.org/officeDocument/2006/relationships/hyperlink" Target="https://drive.google.com/file/d/1N6JLvInqt6UGVAo8jpPfLxV1anlM3LhC/view" TargetMode="External"/><Relationship Id="rId1689" Type="http://schemas.openxmlformats.org/officeDocument/2006/relationships/hyperlink" Target="https://drive.google.com/file/d/1YiebLoAQwQ3DDXk7k09Eme9jE5xzfvGC/view?usp=drive_link" TargetMode="External"/><Relationship Id="rId90" Type="http://schemas.openxmlformats.org/officeDocument/2006/relationships/hyperlink" Target="https://drive.google.com/file/d/1TL9IrzKlPKxuk1hHUSBJEQg3OHu9BPMb/view" TargetMode="External"/><Relationship Id="rId407" Type="http://schemas.openxmlformats.org/officeDocument/2006/relationships/hyperlink" Target="https://drive.google.com/file/d/1ISoQA3fZJl3c0SFy1tNoIXbnwnuAAjGb/view?usp=drive_link" TargetMode="External"/><Relationship Id="rId614" Type="http://schemas.openxmlformats.org/officeDocument/2006/relationships/hyperlink" Target="https://drive.google.com/file/d/1y-Ocgzn3Ss07_HRVm38HZw507xBX9Q3K/view" TargetMode="External"/><Relationship Id="rId821" Type="http://schemas.openxmlformats.org/officeDocument/2006/relationships/hyperlink" Target="https://drive.google.com/file/d/14YXw1eE_uNUTiyyJLFE-3TZXAvUd7kRa/view?usp=drive_link" TargetMode="External"/><Relationship Id="rId1037" Type="http://schemas.openxmlformats.org/officeDocument/2006/relationships/hyperlink" Target="https://drive.google.com/file/d/1rB6fHuIxGh5D4VZSJD6ZhvSpEbCfXrnN/view?usp=drive_link" TargetMode="External"/><Relationship Id="rId1244" Type="http://schemas.openxmlformats.org/officeDocument/2006/relationships/hyperlink" Target="https://drive.google.com/file/d/1g0qE64GhrUOttT19f46pAEKIpTihMBf3/view?usp=drive_link" TargetMode="External"/><Relationship Id="rId1451" Type="http://schemas.openxmlformats.org/officeDocument/2006/relationships/hyperlink" Target="https://drive.google.com/file/d/1nxqhANLSmBJ-olV0_wGYRyXJpm4XiNGD/view?usp=drive_link" TargetMode="External"/><Relationship Id="rId1896" Type="http://schemas.openxmlformats.org/officeDocument/2006/relationships/hyperlink" Target="https://drive.google.com/file/d/1oKDXnxtrdsnKiXx-rE-IOxBOcPslLQ0_/view?usp=drive_link" TargetMode="External"/><Relationship Id="rId919" Type="http://schemas.openxmlformats.org/officeDocument/2006/relationships/hyperlink" Target="https://drive.google.com/file/d/1XNlB-TCqjbu1MIFEoH3KzWJaFDA0h4Mr/view?usp=drive_link" TargetMode="External"/><Relationship Id="rId1104" Type="http://schemas.openxmlformats.org/officeDocument/2006/relationships/hyperlink" Target="https://drive.google.com/file/d/1XDJ17puSEKXRlcpoac80pcUkSirH5iqT/view?usp=drive_link" TargetMode="External"/><Relationship Id="rId1311" Type="http://schemas.openxmlformats.org/officeDocument/2006/relationships/hyperlink" Target="https://drive.google.com/file/d/1xvK7oL2060tGjomnxIMM_vkytJCIFbUM/view" TargetMode="External"/><Relationship Id="rId1549" Type="http://schemas.openxmlformats.org/officeDocument/2006/relationships/hyperlink" Target="https://drive.google.com/file/d/13q2lrMXyrD-jFwOUSAmyXAyHguPjfyop/view?usp=drive_link" TargetMode="External"/><Relationship Id="rId1756" Type="http://schemas.openxmlformats.org/officeDocument/2006/relationships/hyperlink" Target="https://drive.google.com/file/d/1oxqPS_1tBA-gVsLfO5IQXOGLDroKN7-w/view?usp=drive_link" TargetMode="External"/><Relationship Id="rId1963" Type="http://schemas.openxmlformats.org/officeDocument/2006/relationships/hyperlink" Target="https://drive.google.com/file/d/1m_ZcOGPlgePKQ5iHcOHOG_LcxNkDkiJ-/view?usp=drive_link" TargetMode="External"/><Relationship Id="rId48" Type="http://schemas.openxmlformats.org/officeDocument/2006/relationships/hyperlink" Target="https://drive.google.com/file/d/1c3FBPHHZ7t7n-uvjJkQ1bEwKAXm0RkFQ/view" TargetMode="External"/><Relationship Id="rId1409" Type="http://schemas.openxmlformats.org/officeDocument/2006/relationships/hyperlink" Target="https://drive.google.com/file/d/1TDk98vxQ3RO5Vex4gTvzQ8srdHf8VMYQ/view?usp=drive_link" TargetMode="External"/><Relationship Id="rId1616" Type="http://schemas.openxmlformats.org/officeDocument/2006/relationships/hyperlink" Target="https://drive.google.com/file/d/1jjzR1RyL3evEhn3RbMY2vgThzWgq-fJN/view" TargetMode="External"/><Relationship Id="rId1823" Type="http://schemas.openxmlformats.org/officeDocument/2006/relationships/hyperlink" Target="https://drive.google.com/file/d/10RRCP9PqW1a0aXZkHVOxVr_hGOY01_Ce/view" TargetMode="External"/><Relationship Id="rId197" Type="http://schemas.openxmlformats.org/officeDocument/2006/relationships/hyperlink" Target="https://drive.google.com/file/d/1fD7AWmASsFIlXlxUeMDyf0RwmeJ-UJ8T/view" TargetMode="External"/><Relationship Id="rId2085" Type="http://schemas.openxmlformats.org/officeDocument/2006/relationships/comments" Target="../comments1.xml"/><Relationship Id="rId264" Type="http://schemas.openxmlformats.org/officeDocument/2006/relationships/hyperlink" Target="https://drive.google.com/file/d/1N4Zo1nyoTRwV-8yeADEdYoewjbxnID-Z/view" TargetMode="External"/><Relationship Id="rId471" Type="http://schemas.openxmlformats.org/officeDocument/2006/relationships/hyperlink" Target="https://drive.google.com/file/d/1CGnDxWakVhMcyf3ArpxC0Xg8NB2NJ04m/view?usp=drive_link" TargetMode="External"/><Relationship Id="rId124" Type="http://schemas.openxmlformats.org/officeDocument/2006/relationships/hyperlink" Target="https://drive.google.com/file/d/19ZTyE2xeT2sZ01YGBhW0hDNK1zkOgzov/view" TargetMode="External"/><Relationship Id="rId569" Type="http://schemas.openxmlformats.org/officeDocument/2006/relationships/hyperlink" Target="https://drive.google.com/file/d/1XM56ViSsm-28H781ilJpgfRH-h3HxQCr/view" TargetMode="External"/><Relationship Id="rId776" Type="http://schemas.openxmlformats.org/officeDocument/2006/relationships/hyperlink" Target="https://drive.google.com/file/d/1SVtLDrCgd-EGMvj8P0ZCjolJ1bcQnWdH/view?usp=drive_link" TargetMode="External"/><Relationship Id="rId983" Type="http://schemas.openxmlformats.org/officeDocument/2006/relationships/hyperlink" Target="https://drive.google.com/file/d/1hU_NG6jWFnAFsctWfxIixSLdfdg-2vbM/view" TargetMode="External"/><Relationship Id="rId1199" Type="http://schemas.openxmlformats.org/officeDocument/2006/relationships/hyperlink" Target="https://drive.google.com/file/d/11gAT3uSf6EhqY1gp7ESxBQx3ZJOIXz2O/view" TargetMode="External"/><Relationship Id="rId331" Type="http://schemas.openxmlformats.org/officeDocument/2006/relationships/hyperlink" Target="https://drive.google.com/file/d/1auczJq74YC7zQtmuh6xlGQH7tRkhMdYG/view?usp=drive_link" TargetMode="External"/><Relationship Id="rId429" Type="http://schemas.openxmlformats.org/officeDocument/2006/relationships/hyperlink" Target="https://drive.google.com/file/d/1l032NhkgI8VXW1YdwE6IVXJ95axS_1_N/view?usp=drive_link" TargetMode="External"/><Relationship Id="rId636" Type="http://schemas.openxmlformats.org/officeDocument/2006/relationships/hyperlink" Target="https://drive.google.com/file/d/1jRWn6nkUc6PyzKFIrav2bztHDn61jQYs/view" TargetMode="External"/><Relationship Id="rId1059" Type="http://schemas.openxmlformats.org/officeDocument/2006/relationships/hyperlink" Target="https://drive.google.com/file/d/17TfQKd0Cd9yG2mhJV3bja_JAtLRy5Hq5/view?usp=drive_link" TargetMode="External"/><Relationship Id="rId1266" Type="http://schemas.openxmlformats.org/officeDocument/2006/relationships/hyperlink" Target="https://drive.google.com/file/d/1Fr7FnU1zhPXLqSCHSNAy1t-LB8P_O5uZ/view?usp=drive_link" TargetMode="External"/><Relationship Id="rId1473" Type="http://schemas.openxmlformats.org/officeDocument/2006/relationships/hyperlink" Target="https://drive.google.com/file/d/1ivqBk1OAmLirXhfrxLBzeUL_jJxegxDI/view?usp=drive_link" TargetMode="External"/><Relationship Id="rId2012" Type="http://schemas.openxmlformats.org/officeDocument/2006/relationships/hyperlink" Target="https://drive.google.com/file/d/1MQhooDZfb_a8dh1XjYQap8rFcmtl5opU/view" TargetMode="External"/><Relationship Id="rId843" Type="http://schemas.openxmlformats.org/officeDocument/2006/relationships/hyperlink" Target="https://drive.google.com/file/d/1j8yRlDYok5MJSeLQ4eUWBEa5wF2-pNRd/view?usp=drive_link" TargetMode="External"/><Relationship Id="rId1126" Type="http://schemas.openxmlformats.org/officeDocument/2006/relationships/hyperlink" Target="https://drive.google.com/file/d/1De6vO_A2TlUNz8pj1sCUy_mHHl1A_xUW/view" TargetMode="External"/><Relationship Id="rId1680" Type="http://schemas.openxmlformats.org/officeDocument/2006/relationships/hyperlink" Target="https://drive.google.com/file/d/1YiebLoAQwQ3DDXk7k09Eme9jE5xzfvGC/view?usp=drive_link" TargetMode="External"/><Relationship Id="rId1778" Type="http://schemas.openxmlformats.org/officeDocument/2006/relationships/hyperlink" Target="https://drive.google.com/file/d/1Q6MU9kG1fczWg0z99j87JV0I8dZyJDIP/view" TargetMode="External"/><Relationship Id="rId1985" Type="http://schemas.openxmlformats.org/officeDocument/2006/relationships/hyperlink" Target="https://drive.google.com/file/d/197Upk1lRbxo1iH4nl3_asxDxnnQz-xvq/view" TargetMode="External"/><Relationship Id="rId703" Type="http://schemas.openxmlformats.org/officeDocument/2006/relationships/hyperlink" Target="https://drive.google.com/file/d/1oaU6aDLcm-WgPEMXNtdBYkqXGGsSkflq/view?usp=drive_link" TargetMode="External"/><Relationship Id="rId910" Type="http://schemas.openxmlformats.org/officeDocument/2006/relationships/hyperlink" Target="https://drive.google.com/file/d/1XNlB-TCqjbu1MIFEoH3KzWJaFDA0h4Mr/view?usp=drive_link" TargetMode="External"/><Relationship Id="rId1333" Type="http://schemas.openxmlformats.org/officeDocument/2006/relationships/hyperlink" Target="https://drive.google.com/file/d/1zGDlAkBICsrR-ZMduYzZLDdRYy5sHjtH/view?usp=drive_link" TargetMode="External"/><Relationship Id="rId1540" Type="http://schemas.openxmlformats.org/officeDocument/2006/relationships/hyperlink" Target="https://drive.google.com/file/d/1b2eV06jwkZD183bC3zSDazL4_RSDXHSq/view?usp=drive_link" TargetMode="External"/><Relationship Id="rId1638" Type="http://schemas.openxmlformats.org/officeDocument/2006/relationships/hyperlink" Target="https://drive.google.com/file/d/1P8dv2yDVWK28813AIv4m4F9tgxPrdqDO/view" TargetMode="External"/><Relationship Id="rId1400" Type="http://schemas.openxmlformats.org/officeDocument/2006/relationships/hyperlink" Target="https://drive.google.com/file/d/1TDk98vxQ3RO5Vex4gTvzQ8srdHf8VMYQ/view?usp=drive_link" TargetMode="External"/><Relationship Id="rId1845" Type="http://schemas.openxmlformats.org/officeDocument/2006/relationships/hyperlink" Target="https://drive.google.com/file/d/11gAT3uSf6EhqY1gp7ESxBQx3ZJOIXz2O/view" TargetMode="External"/><Relationship Id="rId1705" Type="http://schemas.openxmlformats.org/officeDocument/2006/relationships/hyperlink" Target="https://drive.google.com/file/d/1hqFUNz-YrJL1D-KF62ciGzKLn0jl5v4Y/view?usp=drive_link" TargetMode="External"/><Relationship Id="rId1912" Type="http://schemas.openxmlformats.org/officeDocument/2006/relationships/hyperlink" Target="https://drive.google.com/file/d/1VU2oD951xXfxe0_lC75k2-XwxUlhDyj9/view?usp=drive_link" TargetMode="External"/><Relationship Id="rId286" Type="http://schemas.openxmlformats.org/officeDocument/2006/relationships/hyperlink" Target="https://drive.google.com/file/d/1p2iUJtng5C_UXPw0fI_hg5oznXFeBhpI/view" TargetMode="External"/><Relationship Id="rId493" Type="http://schemas.openxmlformats.org/officeDocument/2006/relationships/hyperlink" Target="https://drive.google.com/file/d/1E_lw9TkbspjWKBlfCTRgy2po44C1TCJP/view?usp=drive_link" TargetMode="External"/><Relationship Id="rId146" Type="http://schemas.openxmlformats.org/officeDocument/2006/relationships/hyperlink" Target="https://drive.google.com/file/d/1PN5QKrWfuLNLtg-y5ctP3wPnqv2s1Rlm/view" TargetMode="External"/><Relationship Id="rId353" Type="http://schemas.openxmlformats.org/officeDocument/2006/relationships/hyperlink" Target="https://drive.google.com/file/d/1DE97kviXT-3hj-mPkqohYwgjer1eZUEt/view?usp=drive_link" TargetMode="External"/><Relationship Id="rId560" Type="http://schemas.openxmlformats.org/officeDocument/2006/relationships/hyperlink" Target="https://drive.google.com/file/d/1rhCvHfKmw2WQRnaHsokOte7r7Nl3uIJy/view" TargetMode="External"/><Relationship Id="rId798" Type="http://schemas.openxmlformats.org/officeDocument/2006/relationships/hyperlink" Target="https://drive.google.com/file/d/1a0Y0yLRRfNYWEbl7hjxRwwCR8iQ52iEa/view?usp=drive_link" TargetMode="External"/><Relationship Id="rId1190" Type="http://schemas.openxmlformats.org/officeDocument/2006/relationships/hyperlink" Target="https://drive.google.com/file/d/11gAT3uSf6EhqY1gp7ESxBQx3ZJOIXz2O/view" TargetMode="External"/><Relationship Id="rId2034" Type="http://schemas.openxmlformats.org/officeDocument/2006/relationships/hyperlink" Target="https://drive.google.com/file/d/10HQlUfuCM9rvKh755NA9pHKofaluje0o/view" TargetMode="External"/><Relationship Id="rId213" Type="http://schemas.openxmlformats.org/officeDocument/2006/relationships/hyperlink" Target="https://drive.google.com/file/d/1Ri-YAEWJjvz1PE2D5W_tY9aB0o-kD3Cx/view" TargetMode="External"/><Relationship Id="rId420" Type="http://schemas.openxmlformats.org/officeDocument/2006/relationships/hyperlink" Target="https://drive.google.com/file/d/1ISoQA3fZJl3c0SFy1tNoIXbnwnuAAjGb/view?usp=drive_link" TargetMode="External"/><Relationship Id="rId658" Type="http://schemas.openxmlformats.org/officeDocument/2006/relationships/hyperlink" Target="https://drive.google.com/file/d/1q4cCVCNG__x2eJpAiRLTqR7FTiIzCqW_/view" TargetMode="External"/><Relationship Id="rId865" Type="http://schemas.openxmlformats.org/officeDocument/2006/relationships/hyperlink" Target="https://drive.google.com/file/d/1rOTt3bC6ZLN5P-SA_JVctRcIj9J1mxVr/view?usp=drive_link" TargetMode="External"/><Relationship Id="rId1050" Type="http://schemas.openxmlformats.org/officeDocument/2006/relationships/hyperlink" Target="https://drive.google.com/file/d/1EShm-JCEBeUL9t9jvi_3B6OF8gY5AK0w/view?usp=drive_link" TargetMode="External"/><Relationship Id="rId1288" Type="http://schemas.openxmlformats.org/officeDocument/2006/relationships/hyperlink" Target="https://drive.google.com/file/d/1_yjMQo6gzbHLiIya48Wdfww-Xb1eVGfK/view?usp=drive_link" TargetMode="External"/><Relationship Id="rId1495" Type="http://schemas.openxmlformats.org/officeDocument/2006/relationships/hyperlink" Target="https://drive.google.com/file/d/1nd2LuxXC_tnKKOUoZp-2rCmz6m31uExe/view?usp=drive_link" TargetMode="External"/><Relationship Id="rId518" Type="http://schemas.openxmlformats.org/officeDocument/2006/relationships/hyperlink" Target="https://drive.google.com/file/d/1tQyDFiR7dq4GijMcq4Q92uVh9nI1y4mw/view" TargetMode="External"/><Relationship Id="rId725" Type="http://schemas.openxmlformats.org/officeDocument/2006/relationships/hyperlink" Target="https://drive.google.com/file/d/1hvQKcWIheA72v1UtBckv-ww6mLtFEX5e/view?usp=drive_link" TargetMode="External"/><Relationship Id="rId932" Type="http://schemas.openxmlformats.org/officeDocument/2006/relationships/hyperlink" Target="https://drive.google.com/file/d/1N22qwC0vrqCOzXJ46mu1iA931nPdVUdV/view?usp=drive_link" TargetMode="External"/><Relationship Id="rId1148" Type="http://schemas.openxmlformats.org/officeDocument/2006/relationships/hyperlink" Target="https://drive.google.com/file/d/1l1qtJWULZ9Ls8rKQ1VUw4meyuzKWs1jT/view?usp=drive_link" TargetMode="External"/><Relationship Id="rId1355" Type="http://schemas.openxmlformats.org/officeDocument/2006/relationships/hyperlink" Target="https://drive.google.com/file/d/1MQhooDZfb_a8dh1XjYQap8rFcmtl5opU/view" TargetMode="External"/><Relationship Id="rId1562" Type="http://schemas.openxmlformats.org/officeDocument/2006/relationships/hyperlink" Target="https://drive.google.com/file/d/1xxrE3LPgzlDH2hVcRgO9_8Tj9dwrwVwk/view?usp=drive_link" TargetMode="External"/><Relationship Id="rId1008" Type="http://schemas.openxmlformats.org/officeDocument/2006/relationships/hyperlink" Target="https://drive.google.com/file/d/1P8dv2yDVWK28813AIv4m4F9tgxPrdqDO/view" TargetMode="External"/><Relationship Id="rId1215" Type="http://schemas.openxmlformats.org/officeDocument/2006/relationships/hyperlink" Target="https://drive.google.com/file/d/1qRnd6QBDXGDZrXClC7fkscnVjqbMHsCo/view?usp=drive_link" TargetMode="External"/><Relationship Id="rId1422" Type="http://schemas.openxmlformats.org/officeDocument/2006/relationships/hyperlink" Target="https://drive.google.com/file/d/1FFvziYQynsq9IGYLQaJ37iQbYGYyI7tt/view?usp=drive_link" TargetMode="External"/><Relationship Id="rId1867" Type="http://schemas.openxmlformats.org/officeDocument/2006/relationships/hyperlink" Target="https://drive.google.com/file/d/12tCRalajPMVE-onCQiXS7R_4zEPBFs_C/view?usp=drive_link" TargetMode="External"/><Relationship Id="rId61" Type="http://schemas.openxmlformats.org/officeDocument/2006/relationships/hyperlink" Target="https://drive.google.com/file/d/1aotzsm6c1YRrRltmEBM3La85GahLY-Sa/view" TargetMode="External"/><Relationship Id="rId1727" Type="http://schemas.openxmlformats.org/officeDocument/2006/relationships/hyperlink" Target="https://drive.google.com/file/d/1eggsoLAPcrdATW-qSGgu_m3YksjLLiJO/view?usp=drive_link" TargetMode="External"/><Relationship Id="rId1934" Type="http://schemas.openxmlformats.org/officeDocument/2006/relationships/hyperlink" Target="https://drive.google.com/file/d/1862llNXCy3_gI0LM41mc5JpDXdHEOV2P/view?usp=drive_link" TargetMode="External"/><Relationship Id="rId19" Type="http://schemas.openxmlformats.org/officeDocument/2006/relationships/hyperlink" Target="https://drive.google.com/file/d/1u7fyxEhz5ZBdqEUOis7aQ3eZaoNHO5t6/view" TargetMode="External"/><Relationship Id="rId168" Type="http://schemas.openxmlformats.org/officeDocument/2006/relationships/hyperlink" Target="https://drive.google.com/file/d/1cGFZl0t3lci1ilX5gjjOKnRFdDklY_8G/view" TargetMode="External"/><Relationship Id="rId375" Type="http://schemas.openxmlformats.org/officeDocument/2006/relationships/hyperlink" Target="https://drive.google.com/file/d/1-uqOeguQnsVTKjN4CUm_DKAjRsf3GvNl/view?usp=drive_link" TargetMode="External"/><Relationship Id="rId582" Type="http://schemas.openxmlformats.org/officeDocument/2006/relationships/hyperlink" Target="https://drive.google.com/file/d/1TkkF924YYfv_46cDxUoc3DW_cdMcch42/view" TargetMode="External"/><Relationship Id="rId2056" Type="http://schemas.openxmlformats.org/officeDocument/2006/relationships/hyperlink" Target="https://drive.google.com/file/d/1TDJpApdYNq3AlENLBb73U5oWwKK28DF1/view?usp=drive_link" TargetMode="External"/><Relationship Id="rId3" Type="http://schemas.openxmlformats.org/officeDocument/2006/relationships/hyperlink" Target="https://drive.google.com/file/d/1fD7AWmASsFIlXlxUeMDyf0RwmeJ-UJ8T/view" TargetMode="External"/><Relationship Id="rId235" Type="http://schemas.openxmlformats.org/officeDocument/2006/relationships/hyperlink" Target="https://drive.google.com/file/d/1fD7AWmASsFIlXlxUeMDyf0RwmeJ-UJ8T/view" TargetMode="External"/><Relationship Id="rId442" Type="http://schemas.openxmlformats.org/officeDocument/2006/relationships/hyperlink" Target="https://drive.google.com/file/d/1iRpGkfGlUpy_9sZc0sYjyX4pKKrv-yKh/view?usp=drive_link" TargetMode="External"/><Relationship Id="rId887" Type="http://schemas.openxmlformats.org/officeDocument/2006/relationships/hyperlink" Target="https://drive.google.com/file/d/1bYy1Ayup9OPnx4Ey4guSJ9WrktD4_Ot6/view?usp=drive_link" TargetMode="External"/><Relationship Id="rId1072" Type="http://schemas.openxmlformats.org/officeDocument/2006/relationships/hyperlink" Target="https://drive.google.com/file/d/1LGG-xHMY2FIvsrUQHdBsimZyc6oVwUHI/view?usp=drive_link" TargetMode="External"/><Relationship Id="rId302" Type="http://schemas.openxmlformats.org/officeDocument/2006/relationships/hyperlink" Target="https://drive.google.com/file/d/1N4Zo1nyoTRwV-8yeADEdYoewjbxnID-Z/view?usp=drive_link" TargetMode="External"/><Relationship Id="rId747" Type="http://schemas.openxmlformats.org/officeDocument/2006/relationships/hyperlink" Target="https://drive.google.com/file/d/17_08NSWt7_gBt9GqJ59cc4phZ7kJIzsK/view?usp=drive_link" TargetMode="External"/><Relationship Id="rId954" Type="http://schemas.openxmlformats.org/officeDocument/2006/relationships/hyperlink" Target="https://drive.google.com/file/d/1Ea4IsWWBHCZ29uRy7Zxp0SvMnOmdjCvn/view" TargetMode="External"/><Relationship Id="rId1377" Type="http://schemas.openxmlformats.org/officeDocument/2006/relationships/hyperlink" Target="https://drive.google.com/file/d/1OXVVqgSOAs7Kf0OYXBLzBzLajLz35A4_/view?usp=drive_link" TargetMode="External"/><Relationship Id="rId1584" Type="http://schemas.openxmlformats.org/officeDocument/2006/relationships/hyperlink" Target="https://drive.google.com/file/d/1N6JLvInqt6UGVAo8jpPfLxV1anlM3LhC/view" TargetMode="External"/><Relationship Id="rId1791" Type="http://schemas.openxmlformats.org/officeDocument/2006/relationships/hyperlink" Target="https://drive.google.com/file/d/1qZSXHwjD6UiZLiCnVCCPpTfeEZz74aAs/view" TargetMode="External"/><Relationship Id="rId83" Type="http://schemas.openxmlformats.org/officeDocument/2006/relationships/hyperlink" Target="https://drive.google.com/file/d/1Xx52lP-CL3Mjgh7XgJuGe8OZtl_A0Kie/view" TargetMode="External"/><Relationship Id="rId607" Type="http://schemas.openxmlformats.org/officeDocument/2006/relationships/hyperlink" Target="https://drive.google.com/file/d/1y-Ocgzn3Ss07_HRVm38HZw507xBX9Q3K/view" TargetMode="External"/><Relationship Id="rId814" Type="http://schemas.openxmlformats.org/officeDocument/2006/relationships/hyperlink" Target="https://drive.google.com/file/d/14YXw1eE_uNUTiyyJLFE-3TZXAvUd7kRa/view?usp=drive_link" TargetMode="External"/><Relationship Id="rId1237" Type="http://schemas.openxmlformats.org/officeDocument/2006/relationships/hyperlink" Target="https://drive.google.com/file/d/1g0qE64GhrUOttT19f46pAEKIpTihMBf3/view?usp=drive_link" TargetMode="External"/><Relationship Id="rId1444" Type="http://schemas.openxmlformats.org/officeDocument/2006/relationships/hyperlink" Target="https://drive.google.com/file/d/1nxqhANLSmBJ-olV0_wGYRyXJpm4XiNGD/view?usp=drive_link" TargetMode="External"/><Relationship Id="rId1651" Type="http://schemas.openxmlformats.org/officeDocument/2006/relationships/hyperlink" Target="https://drive.google.com/file/d/1uEFxmPjjwD8Nqb0QvhaTsvG7Fe2EVwdA/view?usp=drive_link" TargetMode="External"/><Relationship Id="rId1889" Type="http://schemas.openxmlformats.org/officeDocument/2006/relationships/hyperlink" Target="https://drive.google.com/file/d/1oKDXnxtrdsnKiXx-rE-IOxBOcPslLQ0_/view?usp=drive_link" TargetMode="External"/><Relationship Id="rId1304" Type="http://schemas.openxmlformats.org/officeDocument/2006/relationships/hyperlink" Target="https://drive.google.com/file/d/19aGB7slFQPfIgI387xmUjRUwIeJi_fXB/view?usp=drive_link" TargetMode="External"/><Relationship Id="rId1511" Type="http://schemas.openxmlformats.org/officeDocument/2006/relationships/hyperlink" Target="https://drive.google.com/file/d/1W-gf0VbzbihbaBDbivu-eAIuFgmf1g2H/view?usp=drive_link" TargetMode="External"/><Relationship Id="rId1749" Type="http://schemas.openxmlformats.org/officeDocument/2006/relationships/hyperlink" Target="https://drive.google.com/file/d/1oGYK0VIxvZWojb4mGJZZsBVC1SfDMY6y/view?usp=drive_link" TargetMode="External"/><Relationship Id="rId1956" Type="http://schemas.openxmlformats.org/officeDocument/2006/relationships/hyperlink" Target="https://drive.google.com/file/d/1m_ZcOGPlgePKQ5iHcOHOG_LcxNkDkiJ-/view?usp=drive_link" TargetMode="External"/><Relationship Id="rId1609" Type="http://schemas.openxmlformats.org/officeDocument/2006/relationships/hyperlink" Target="https://drive.google.com/file/d/1nvLtx1HJOnLb38HmGIORDb_hqRjZMsuK/view?usp=drive_link" TargetMode="External"/><Relationship Id="rId1816" Type="http://schemas.openxmlformats.org/officeDocument/2006/relationships/hyperlink" Target="https://drive.google.com/file/d/10RRCP9PqW1a0aXZkHVOxVr_hGOY01_Ce/view" TargetMode="External"/><Relationship Id="rId10" Type="http://schemas.openxmlformats.org/officeDocument/2006/relationships/hyperlink" Target="https://drive.google.com/file/d/1fD7AWmASsFIlXlxUeMDyf0RwmeJ-UJ8T/view?usp=drive_link" TargetMode="External"/><Relationship Id="rId397" Type="http://schemas.openxmlformats.org/officeDocument/2006/relationships/hyperlink" Target="https://drive.google.com/file/d/1j2tLIzNNUoZkZ243oPB10Uwaw2b3_A58/view?usp=drive_link" TargetMode="External"/><Relationship Id="rId2078" Type="http://schemas.openxmlformats.org/officeDocument/2006/relationships/hyperlink" Target="https://drive.google.com/file/d/1l3XQXS4Q2FCMyGl__1oip2yGbK6ML46S/view?usp=drive_link" TargetMode="External"/><Relationship Id="rId257" Type="http://schemas.openxmlformats.org/officeDocument/2006/relationships/hyperlink" Target="https://drive.google.com/file/d/17kFHEbF-AEDFcJjjgAoxnDoBUieKKDg3/view" TargetMode="External"/><Relationship Id="rId464" Type="http://schemas.openxmlformats.org/officeDocument/2006/relationships/hyperlink" Target="https://drive.google.com/file/d/1CGnDxWakVhMcyf3ArpxC0Xg8NB2NJ04m/view?usp=drive_link" TargetMode="External"/><Relationship Id="rId1094" Type="http://schemas.openxmlformats.org/officeDocument/2006/relationships/hyperlink" Target="https://drive.google.com/file/d/1XDJ17puSEKXRlcpoac80pcUkSirH5iqT/view?usp=drive_link" TargetMode="External"/><Relationship Id="rId117" Type="http://schemas.openxmlformats.org/officeDocument/2006/relationships/hyperlink" Target="https://drive.google.com/file/d/19ZTyE2xeT2sZ01YGBhW0hDNK1zkOgzov/view" TargetMode="External"/><Relationship Id="rId671" Type="http://schemas.openxmlformats.org/officeDocument/2006/relationships/hyperlink" Target="https://drive.google.com/file/d/1pVsRJ1dyo2hYWyHHI4kWWKMR6i84lDfX/view?usp=sharing" TargetMode="External"/><Relationship Id="rId769" Type="http://schemas.openxmlformats.org/officeDocument/2006/relationships/hyperlink" Target="https://drive.google.com/file/d/1xtKK1s6-PHzFzBwpapa8NlHm2NARujAZ/view?usp=drive_link" TargetMode="External"/><Relationship Id="rId976" Type="http://schemas.openxmlformats.org/officeDocument/2006/relationships/hyperlink" Target="https://drive.google.com/file/d/1dRnOElIobWmdZEkO8BRVE7TU1yvuxQXW/view?usp=drive_link" TargetMode="External"/><Relationship Id="rId1399" Type="http://schemas.openxmlformats.org/officeDocument/2006/relationships/hyperlink" Target="https://drive.google.com/file/d/1IobvhS63KW7w3xiQvQNpxHjV7ZiZaVbc/view?usp=drive_link" TargetMode="External"/><Relationship Id="rId324" Type="http://schemas.openxmlformats.org/officeDocument/2006/relationships/hyperlink" Target="https://drive.google.com/file/d/1hhxNGrt1RWUdQCNORiATApfV6dbwQHYv/view?usp=drive_link" TargetMode="External"/><Relationship Id="rId531" Type="http://schemas.openxmlformats.org/officeDocument/2006/relationships/hyperlink" Target="https://drive.google.com/file/d/1KD8Xfrs6ZPDDeNsgaKv-b1oJyOORtcmH/view" TargetMode="External"/><Relationship Id="rId629" Type="http://schemas.openxmlformats.org/officeDocument/2006/relationships/hyperlink" Target="https://drive.google.com/file/d/1YYboHNgsShFzYyBHMkUoSzib7zJkM_P6/view" TargetMode="External"/><Relationship Id="rId1161" Type="http://schemas.openxmlformats.org/officeDocument/2006/relationships/hyperlink" Target="https://drive.google.com/file/d/19xTvun6qzsNy4xAj6wKum7MQ98om515z/view?usp=drive_link" TargetMode="External"/><Relationship Id="rId1259" Type="http://schemas.openxmlformats.org/officeDocument/2006/relationships/hyperlink" Target="https://drive.google.com/file/d/1Fr7FnU1zhPXLqSCHSNAy1t-LB8P_O5uZ/view?usp=drive_link" TargetMode="External"/><Relationship Id="rId1466" Type="http://schemas.openxmlformats.org/officeDocument/2006/relationships/hyperlink" Target="https://drive.google.com/file/d/1ivqBk1OAmLirXhfrxLBzeUL_jJxegxDI/view?usp=drive_link" TargetMode="External"/><Relationship Id="rId2005" Type="http://schemas.openxmlformats.org/officeDocument/2006/relationships/hyperlink" Target="https://drive.google.com/file/d/1AoH0Y4ciTRcsU5X6S4aZ3HZiPs325E2e/view?usp=drive_link" TargetMode="External"/><Relationship Id="rId836" Type="http://schemas.openxmlformats.org/officeDocument/2006/relationships/hyperlink" Target="https://drive.google.com/file/d/1q1S8kM3uWaJrbD9mRZ_cWxaj0alzeKgN/view?usp=drive_link" TargetMode="External"/><Relationship Id="rId1021" Type="http://schemas.openxmlformats.org/officeDocument/2006/relationships/hyperlink" Target="https://drive.google.com/file/d/1dtmjjVifpdyX31hTWKtbOj-VXJHs1FLR/view?usp=drive_link" TargetMode="External"/><Relationship Id="rId1119" Type="http://schemas.openxmlformats.org/officeDocument/2006/relationships/hyperlink" Target="https://drive.google.com/file/d/1AWxAuRE6Vg50Zv6iozolSxiyZ-AwV82_/view?usp=drive_link" TargetMode="External"/><Relationship Id="rId1673" Type="http://schemas.openxmlformats.org/officeDocument/2006/relationships/hyperlink" Target="https://drive.google.com/file/d/1ErzZnaGRbRgYHrCEwMv-7ly4fAk80jPD/view?usp=drive_link" TargetMode="External"/><Relationship Id="rId1880" Type="http://schemas.openxmlformats.org/officeDocument/2006/relationships/hyperlink" Target="https://drive.google.com/file/d/1Si-fSzjLqtub6Ffxa9vP4q5-r_GljdPA/view?usp=drive_link" TargetMode="External"/><Relationship Id="rId1978" Type="http://schemas.openxmlformats.org/officeDocument/2006/relationships/hyperlink" Target="https://drive.google.com/file/d/197Upk1lRbxo1iH4nl3_asxDxnnQz-xvq/view" TargetMode="External"/><Relationship Id="rId903" Type="http://schemas.openxmlformats.org/officeDocument/2006/relationships/hyperlink" Target="https://drive.google.com/file/d/1dMX3W21nvBkM9WPZUIo18OVNIoRxyreY/view?usp=drive_link" TargetMode="External"/><Relationship Id="rId1326" Type="http://schemas.openxmlformats.org/officeDocument/2006/relationships/hyperlink" Target="https://drive.google.com/file/d/1p6hIUtd-nvQqhm5QfcZ7_NmYe6thw_QN/view?usp=drive_link" TargetMode="External"/><Relationship Id="rId1533" Type="http://schemas.openxmlformats.org/officeDocument/2006/relationships/hyperlink" Target="https://drive.google.com/file/d/1XjKaIIKxhd8oZqb19P6albr-80-RL-hK/view?usp=drive_link" TargetMode="External"/><Relationship Id="rId1740" Type="http://schemas.openxmlformats.org/officeDocument/2006/relationships/hyperlink" Target="https://drive.google.com/file/d/1PNmp5EMW5WyKjKqULNrxDdbiU7_eGUj0/view?usp=drive_link" TargetMode="External"/><Relationship Id="rId32" Type="http://schemas.openxmlformats.org/officeDocument/2006/relationships/hyperlink" Target="https://drive.google.com/file/d/1iggJgkxEIi33_uzKlp_ENRo47YLn90I8/view" TargetMode="External"/><Relationship Id="rId1600" Type="http://schemas.openxmlformats.org/officeDocument/2006/relationships/hyperlink" Target="https://drive.google.com/file/d/1plIl4OwrTQiOuqIP5TrPp953bH0vUYQ-/view?usp=drive_link" TargetMode="External"/><Relationship Id="rId1838" Type="http://schemas.openxmlformats.org/officeDocument/2006/relationships/hyperlink" Target="https://drive.google.com/file/d/11gAT3uSf6EhqY1gp7ESxBQx3ZJOIXz2O/view" TargetMode="External"/><Relationship Id="rId181" Type="http://schemas.openxmlformats.org/officeDocument/2006/relationships/hyperlink" Target="https://drive.google.com/file/d/16BMdQPUP_243M9ZY1BsJCcqCz75Uhylv/view" TargetMode="External"/><Relationship Id="rId1905" Type="http://schemas.openxmlformats.org/officeDocument/2006/relationships/hyperlink" Target="https://drive.google.com/file/d/1EFP77JsHwvOLRKb7NL4f0-WTRLI4zmhV/view?usp=drive_link" TargetMode="External"/><Relationship Id="rId279" Type="http://schemas.openxmlformats.org/officeDocument/2006/relationships/hyperlink" Target="https://drive.google.com/file/d/1u7fyxEhz5ZBdqEUOis7aQ3eZaoNHO5t6/view" TargetMode="External"/><Relationship Id="rId486" Type="http://schemas.openxmlformats.org/officeDocument/2006/relationships/hyperlink" Target="https://drive.google.com/file/d/1hmXY9RLSychgJTsAJz7iOoJsrTTIp1VT/view?usp=drive_link" TargetMode="External"/><Relationship Id="rId693" Type="http://schemas.openxmlformats.org/officeDocument/2006/relationships/hyperlink" Target="https://drive.google.com/file/d/14YXw1eE_uNUTiyyJLFE-3TZXAvUd7kRa/view?usp=drive_link" TargetMode="External"/><Relationship Id="rId139" Type="http://schemas.openxmlformats.org/officeDocument/2006/relationships/hyperlink" Target="https://drive.google.com/file/d/11ckN00HUeGC8mZ4NTbuNo3XBAKRafCzJ/view" TargetMode="External"/><Relationship Id="rId346" Type="http://schemas.openxmlformats.org/officeDocument/2006/relationships/hyperlink" Target="https://drive.google.com/file/d/1txs_xJtZSRV3s1r41GM6nzBz3ZapFemu/view?usp=drive_link" TargetMode="External"/><Relationship Id="rId553" Type="http://schemas.openxmlformats.org/officeDocument/2006/relationships/hyperlink" Target="https://drive.google.com/file/d/1_9wvDD0xzarupnO-MkGQjPWkgNEleRMr/view" TargetMode="External"/><Relationship Id="rId760" Type="http://schemas.openxmlformats.org/officeDocument/2006/relationships/hyperlink" Target="https://drive.google.com/file/d/1eUqriZfZ8ZcnMu4n6LORw1pcnpQae1-d/view?usp=drive_link" TargetMode="External"/><Relationship Id="rId998" Type="http://schemas.openxmlformats.org/officeDocument/2006/relationships/hyperlink" Target="https://drive.google.com/file/d/1jjzR1RyL3evEhn3RbMY2vgThzWgq-fJN/view" TargetMode="External"/><Relationship Id="rId1183" Type="http://schemas.openxmlformats.org/officeDocument/2006/relationships/hyperlink" Target="https://drive.google.com/file/d/10RRCP9PqW1a0aXZkHVOxVr_hGOY01_Ce/view" TargetMode="External"/><Relationship Id="rId1390" Type="http://schemas.openxmlformats.org/officeDocument/2006/relationships/hyperlink" Target="https://drive.google.com/file/d/16iCRVZ9FIxsqJnxI634PDZC4GeoM1QjJ/view?usp=drive_link" TargetMode="External"/><Relationship Id="rId2027" Type="http://schemas.openxmlformats.org/officeDocument/2006/relationships/hyperlink" Target="https://drive.google.com/file/d/1MQhooDZfb_a8dh1XjYQap8rFcmtl5opU/view" TargetMode="External"/><Relationship Id="rId206" Type="http://schemas.openxmlformats.org/officeDocument/2006/relationships/hyperlink" Target="https://drive.google.com/file/d/1Ri-YAEWJjvz1PE2D5W_tY9aB0o-kD3Cx/view" TargetMode="External"/><Relationship Id="rId413" Type="http://schemas.openxmlformats.org/officeDocument/2006/relationships/hyperlink" Target="https://drive.google.com/file/d/1Mz-UnKO6rFVDA_Sts8kV4Nb6AFgcY8xZ/view?usp=drive_link" TargetMode="External"/><Relationship Id="rId858" Type="http://schemas.openxmlformats.org/officeDocument/2006/relationships/hyperlink" Target="https://drive.google.com/file/d/1Kj7pGsto2d8qxWBBNeFSXHt0ZCv3amEr/view?usp=drive_link" TargetMode="External"/><Relationship Id="rId1043" Type="http://schemas.openxmlformats.org/officeDocument/2006/relationships/hyperlink" Target="https://drive.google.com/file/d/1EShm-JCEBeUL9t9jvi_3B6OF8gY5AK0w/view?usp=drive_link" TargetMode="External"/><Relationship Id="rId1488" Type="http://schemas.openxmlformats.org/officeDocument/2006/relationships/hyperlink" Target="https://drive.google.com/file/d/1fUENaPvI5EGQBpB2AP1I0ESrESO08iWA/view?usp=drive_link" TargetMode="External"/><Relationship Id="rId1695" Type="http://schemas.openxmlformats.org/officeDocument/2006/relationships/hyperlink" Target="https://drive.google.com/file/d/18gvd1UBIqDir1Ui4hKFDzLdKhiyxJeTK/view?usp=drive_link" TargetMode="External"/><Relationship Id="rId620" Type="http://schemas.openxmlformats.org/officeDocument/2006/relationships/hyperlink" Target="https://drive.google.com/file/d/1YYboHNgsShFzYyBHMkUoSzib7zJkM_P6/view" TargetMode="External"/><Relationship Id="rId718" Type="http://schemas.openxmlformats.org/officeDocument/2006/relationships/hyperlink" Target="https://drive.google.com/file/d/1N9brwHmFW_PdvPj4vWj5-JYfwZ_j8qxo/view?usp=drive_link" TargetMode="External"/><Relationship Id="rId925" Type="http://schemas.openxmlformats.org/officeDocument/2006/relationships/hyperlink" Target="https://drive.google.com/file/d/1N22qwC0vrqCOzXJ46mu1iA931nPdVUdV/view?usp=drive_link" TargetMode="External"/><Relationship Id="rId1250" Type="http://schemas.openxmlformats.org/officeDocument/2006/relationships/hyperlink" Target="https://drive.google.com/file/d/1QSpwAu5G5jYzzAO2U4PsRnfbTsKxHd6s/view?usp=drive_link" TargetMode="External"/><Relationship Id="rId1348" Type="http://schemas.openxmlformats.org/officeDocument/2006/relationships/hyperlink" Target="https://drive.google.com/file/d/1PBCEYtD7A6r3bmKeU8hWJH7w8BXVVzH1/view" TargetMode="External"/><Relationship Id="rId1555" Type="http://schemas.openxmlformats.org/officeDocument/2006/relationships/hyperlink" Target="https://drive.google.com/file/d/13q2lrMXyrD-jFwOUSAmyXAyHguPjfyop/view?usp=drive_link" TargetMode="External"/><Relationship Id="rId1762" Type="http://schemas.openxmlformats.org/officeDocument/2006/relationships/hyperlink" Target="https://drive.google.com/file/d/1oxqPS_1tBA-gVsLfO5IQXOGLDroKN7-w/view?usp=drive_link" TargetMode="External"/><Relationship Id="rId1110" Type="http://schemas.openxmlformats.org/officeDocument/2006/relationships/hyperlink" Target="https://drive.google.com/file/d/1AWxAuRE6Vg50Zv6iozolSxiyZ-AwV82_/view?usp=drive_link" TargetMode="External"/><Relationship Id="rId1208" Type="http://schemas.openxmlformats.org/officeDocument/2006/relationships/hyperlink" Target="https://drive.google.com/file/d/1JSFImQsE-aSNBi1_XGaeHY1TM31sTpH0/view?usp=drive_link" TargetMode="External"/><Relationship Id="rId1415" Type="http://schemas.openxmlformats.org/officeDocument/2006/relationships/hyperlink" Target="https://drive.google.com/file/d/1IobvhS63KW7w3xiQvQNpxHjV7ZiZaVbc/view?usp=drive_link" TargetMode="External"/><Relationship Id="rId54" Type="http://schemas.openxmlformats.org/officeDocument/2006/relationships/hyperlink" Target="https://drive.google.com/file/d/1iggJgkxEIi33_uzKlp_ENRo47YLn90I8/view" TargetMode="External"/><Relationship Id="rId1622" Type="http://schemas.openxmlformats.org/officeDocument/2006/relationships/hyperlink" Target="https://drive.google.com/file/d/1jjzR1RyL3evEhn3RbMY2vgThzWgq-fJN/view" TargetMode="External"/><Relationship Id="rId1927" Type="http://schemas.openxmlformats.org/officeDocument/2006/relationships/hyperlink" Target="https://drive.google.com/file/d/1-kULF92O7kA2Vy-9i1BZzi1_0bIC323S/view?usp=drive_link" TargetMode="External"/><Relationship Id="rId270" Type="http://schemas.openxmlformats.org/officeDocument/2006/relationships/hyperlink" Target="https://drive.google.com/file/d/1N4Zo1nyoTRwV-8yeADEdYoewjbxnID-Z/view?usp=drive_link" TargetMode="External"/><Relationship Id="rId130" Type="http://schemas.openxmlformats.org/officeDocument/2006/relationships/hyperlink" Target="https://drive.google.com/file/d/1Jq87qjyP8CX6GzfZ6UTJqN8h3tUDVJ4L/view" TargetMode="External"/><Relationship Id="rId368" Type="http://schemas.openxmlformats.org/officeDocument/2006/relationships/hyperlink" Target="https://drive.google.com/file/d/1DE97kviXT-3hj-mPkqohYwgjer1eZUEt/view?usp=drive_link" TargetMode="External"/><Relationship Id="rId575" Type="http://schemas.openxmlformats.org/officeDocument/2006/relationships/hyperlink" Target="https://drive.google.com/file/d/1XM56ViSsm-28H781ilJpgfRH-h3HxQCr/view" TargetMode="External"/><Relationship Id="rId782" Type="http://schemas.openxmlformats.org/officeDocument/2006/relationships/hyperlink" Target="https://drive.google.com/file/d/1SVtLDrCgd-EGMvj8P0ZCjolJ1bcQnWdH/view?usp=drive_link" TargetMode="External"/><Relationship Id="rId2049" Type="http://schemas.openxmlformats.org/officeDocument/2006/relationships/hyperlink" Target="https://drive.google.com/file/d/1mRE_86OJyxRYZgYUPJM_u7Ak456wW--d/view?usp=drive_link" TargetMode="External"/><Relationship Id="rId228" Type="http://schemas.openxmlformats.org/officeDocument/2006/relationships/hyperlink" Target="https://drive.google.com/file/d/1fD7AWmASsFIlXlxUeMDyf0RwmeJ-UJ8T/view" TargetMode="External"/><Relationship Id="rId435" Type="http://schemas.openxmlformats.org/officeDocument/2006/relationships/hyperlink" Target="https://drive.google.com/file/d/1l032NhkgI8VXW1YdwE6IVXJ95axS_1_N/view?usp=drive_link" TargetMode="External"/><Relationship Id="rId642" Type="http://schemas.openxmlformats.org/officeDocument/2006/relationships/hyperlink" Target="https://drive.google.com/file/d/1iBr6b26MBv3-qs2HfZPBv-_SZMciRoSv/view" TargetMode="External"/><Relationship Id="rId1065" Type="http://schemas.openxmlformats.org/officeDocument/2006/relationships/hyperlink" Target="https://drive.google.com/file/d/1lHsS9HToAAkVgzUpu0SvP6Q74MdwpNaD/view?usp=drive_link" TargetMode="External"/><Relationship Id="rId1272" Type="http://schemas.openxmlformats.org/officeDocument/2006/relationships/hyperlink" Target="https://drive.google.com/file/d/18HTGOY9i7bxWMrMLMgWvctC0TQbGDm_d/view?usp=drive_link" TargetMode="External"/><Relationship Id="rId502" Type="http://schemas.openxmlformats.org/officeDocument/2006/relationships/hyperlink" Target="https://drive.google.com/file/d/1E_lw9TkbspjWKBlfCTRgy2po44C1TCJP/view?usp=drive_link" TargetMode="External"/><Relationship Id="rId947" Type="http://schemas.openxmlformats.org/officeDocument/2006/relationships/hyperlink" Target="https://drive.google.com/file/d/1C77z3tm5EXrMVDwQXL6nGlcUbobUc3K6/view" TargetMode="External"/><Relationship Id="rId1132" Type="http://schemas.openxmlformats.org/officeDocument/2006/relationships/hyperlink" Target="https://drive.google.com/file/d/1De6vO_A2TlUNz8pj1sCUy_mHHl1A_xUW/view" TargetMode="External"/><Relationship Id="rId1577" Type="http://schemas.openxmlformats.org/officeDocument/2006/relationships/hyperlink" Target="https://drive.google.com/file/d/1ruM5f-JPXrFoNb6xNaz40ic4CGr2kGvK/view" TargetMode="External"/><Relationship Id="rId1784" Type="http://schemas.openxmlformats.org/officeDocument/2006/relationships/hyperlink" Target="https://drive.google.com/file/d/1qZSXHwjD6UiZLiCnVCCPpTfeEZz74aAs/view" TargetMode="External"/><Relationship Id="rId1991" Type="http://schemas.openxmlformats.org/officeDocument/2006/relationships/hyperlink" Target="https://drive.google.com/file/d/1BakHXePkW3JZxwSnUkqqZxtPshE0ewsY/view?usp=drive_link" TargetMode="External"/><Relationship Id="rId76" Type="http://schemas.openxmlformats.org/officeDocument/2006/relationships/hyperlink" Target="https://drive.google.com/file/d/14_e23Fks39g6eB6scWs8oJVkvBf-w1QV/view" TargetMode="External"/><Relationship Id="rId807" Type="http://schemas.openxmlformats.org/officeDocument/2006/relationships/hyperlink" Target="https://drive.google.com/file/d/1fVGTywNnBvbe_-XZ6i9qc-4BCJw5nmT1/view?usp=drive_link" TargetMode="External"/><Relationship Id="rId1437" Type="http://schemas.openxmlformats.org/officeDocument/2006/relationships/hyperlink" Target="https://drive.google.com/file/d/1bB7YXERU6N6l2CgGXhfHlbgLBpqYC7xS/view?usp=drive_link" TargetMode="External"/><Relationship Id="rId1644" Type="http://schemas.openxmlformats.org/officeDocument/2006/relationships/hyperlink" Target="https://drive.google.com/file/d/1P8dv2yDVWK28813AIv4m4F9tgxPrdqDO/view" TargetMode="External"/><Relationship Id="rId1851" Type="http://schemas.openxmlformats.org/officeDocument/2006/relationships/hyperlink" Target="https://drive.google.com/file/d/18smY9gvWxQDfgihbZYRWZ76-V_fFiVyk/view?usp=drive_link" TargetMode="External"/><Relationship Id="rId1504" Type="http://schemas.openxmlformats.org/officeDocument/2006/relationships/hyperlink" Target="https://drive.google.com/file/d/1W-gf0VbzbihbaBDbivu-eAIuFgmf1g2H/view?usp=drive_link" TargetMode="External"/><Relationship Id="rId1711" Type="http://schemas.openxmlformats.org/officeDocument/2006/relationships/hyperlink" Target="https://drive.google.com/file/d/1hqFUNz-YrJL1D-KF62ciGzKLn0jl5v4Y/view?usp=drive_link" TargetMode="External"/><Relationship Id="rId1949" Type="http://schemas.openxmlformats.org/officeDocument/2006/relationships/hyperlink" Target="https://drive.google.com/file/d/1QZ18QaTmJF4nT-dAtMgJlTUA-K3sOYAQ/view?usp=drive_link" TargetMode="External"/><Relationship Id="rId292" Type="http://schemas.openxmlformats.org/officeDocument/2006/relationships/hyperlink" Target="https://drive.google.com/file/d/1u7fyxEhz5ZBdqEUOis7aQ3eZaoNHO5t6/view" TargetMode="External"/><Relationship Id="rId1809" Type="http://schemas.openxmlformats.org/officeDocument/2006/relationships/hyperlink" Target="https://drive.google.com/file/d/1FRRXo6J4o4AZtg9BHSw3llGraq7T31kv/view?usp=drive_link" TargetMode="External"/><Relationship Id="rId597" Type="http://schemas.openxmlformats.org/officeDocument/2006/relationships/hyperlink" Target="https://drive.google.com/file/d/12FCTiQHROItKTuE1paH0D-F5NmHrtpx8/view" TargetMode="External"/><Relationship Id="rId152" Type="http://schemas.openxmlformats.org/officeDocument/2006/relationships/hyperlink" Target="https://drive.google.com/file/d/1PN5QKrWfuLNLtg-y5ctP3wPnqv2s1Rlm/view" TargetMode="External"/><Relationship Id="rId457" Type="http://schemas.openxmlformats.org/officeDocument/2006/relationships/hyperlink" Target="https://drive.google.com/file/d/1XZELMJDN7oiWnhqZnzMAEUGGr7oqakya/view?usp=drive_link" TargetMode="External"/><Relationship Id="rId1087" Type="http://schemas.openxmlformats.org/officeDocument/2006/relationships/hyperlink" Target="https://drive.google.com/file/d/1bSZghuFPNMDy724R2VmzwB1Jr2rl9y3T/view?usp=drive_link" TargetMode="External"/><Relationship Id="rId1294" Type="http://schemas.openxmlformats.org/officeDocument/2006/relationships/hyperlink" Target="https://drive.google.com/file/d/19aGB7slFQPfIgI387xmUjRUwIeJi_fXB/view?usp=drive_link" TargetMode="External"/><Relationship Id="rId2040" Type="http://schemas.openxmlformats.org/officeDocument/2006/relationships/hyperlink" Target="https://drive.google.com/file/d/10HQlUfuCM9rvKh755NA9pHKofaluje0o/view" TargetMode="External"/><Relationship Id="rId664" Type="http://schemas.openxmlformats.org/officeDocument/2006/relationships/hyperlink" Target="https://drive.google.com/file/d/1q4cCVCNG__x2eJpAiRLTqR7FTiIzCqW_/view" TargetMode="External"/><Relationship Id="rId871" Type="http://schemas.openxmlformats.org/officeDocument/2006/relationships/hyperlink" Target="https://drive.google.com/file/d/1rOTt3bC6ZLN5P-SA_JVctRcIj9J1mxVr/view?usp=drive_link" TargetMode="External"/><Relationship Id="rId969" Type="http://schemas.openxmlformats.org/officeDocument/2006/relationships/hyperlink" Target="https://drive.google.com/file/d/1dRnOElIobWmdZEkO8BRVE7TU1yvuxQXW/view?usp=drive_link" TargetMode="External"/><Relationship Id="rId1599" Type="http://schemas.openxmlformats.org/officeDocument/2006/relationships/hyperlink" Target="https://drive.google.com/file/d/1plIl4OwrTQiOuqIP5TrPp953bH0vUYQ-/view?usp=drive_link" TargetMode="External"/><Relationship Id="rId317" Type="http://schemas.openxmlformats.org/officeDocument/2006/relationships/hyperlink" Target="https://drive.google.com/file/d/1p2iUJtng5C_UXPw0fI_hg5oznXFeBhpI/view" TargetMode="External"/><Relationship Id="rId524" Type="http://schemas.openxmlformats.org/officeDocument/2006/relationships/hyperlink" Target="https://drive.google.com/file/d/1tQyDFiR7dq4GijMcq4Q92uVh9nI1y4mw/view" TargetMode="External"/><Relationship Id="rId731" Type="http://schemas.openxmlformats.org/officeDocument/2006/relationships/hyperlink" Target="https://drive.google.com/file/d/1hvQKcWIheA72v1UtBckv-ww6mLtFEX5e/view?usp=drive_link" TargetMode="External"/><Relationship Id="rId1154" Type="http://schemas.openxmlformats.org/officeDocument/2006/relationships/hyperlink" Target="https://drive.google.com/file/d/19xTvun6qzsNy4xAj6wKum7MQ98om515z/view?usp=drive_link" TargetMode="External"/><Relationship Id="rId1361" Type="http://schemas.openxmlformats.org/officeDocument/2006/relationships/hyperlink" Target="https://drive.google.com/file/d/1MQhooDZfb_a8dh1XjYQap8rFcmtl5opU/view" TargetMode="External"/><Relationship Id="rId1459" Type="http://schemas.openxmlformats.org/officeDocument/2006/relationships/hyperlink" Target="https://drive.google.com/file/d/1YilrYlrEBR5j4gXQtSjyi1aNfDAiAnEu/view?usp=drive_link" TargetMode="External"/><Relationship Id="rId98" Type="http://schemas.openxmlformats.org/officeDocument/2006/relationships/hyperlink" Target="https://drive.google.com/file/d/1mjk5nvW4b1WflrBJK-EEPQRX1KlRm6e2/view" TargetMode="External"/><Relationship Id="rId829" Type="http://schemas.openxmlformats.org/officeDocument/2006/relationships/hyperlink" Target="https://drive.google.com/file/d/12sTUZOMQU8Yb4ZMfjTWU89XE7G6Mx5fV/view?usp=drive_link" TargetMode="External"/><Relationship Id="rId1014" Type="http://schemas.openxmlformats.org/officeDocument/2006/relationships/hyperlink" Target="https://drive.google.com/file/d/1P8dv2yDVWK28813AIv4m4F9tgxPrdqDO/view" TargetMode="External"/><Relationship Id="rId1221" Type="http://schemas.openxmlformats.org/officeDocument/2006/relationships/hyperlink" Target="https://drive.google.com/file/d/1qRnd6QBDXGDZrXClC7fkscnVjqbMHsCo/view?usp=drive_link" TargetMode="External"/><Relationship Id="rId1666" Type="http://schemas.openxmlformats.org/officeDocument/2006/relationships/hyperlink" Target="https://drive.google.com/file/d/1ErzZnaGRbRgYHrCEwMv-7ly4fAk80jPD/view?usp=drive_link" TargetMode="External"/><Relationship Id="rId1873" Type="http://schemas.openxmlformats.org/officeDocument/2006/relationships/hyperlink" Target="https://drive.google.com/file/d/1Si-fSzjLqtub6Ffxa9vP4q5-r_GljdPA/view?usp=drive_link" TargetMode="External"/><Relationship Id="rId1319" Type="http://schemas.openxmlformats.org/officeDocument/2006/relationships/hyperlink" Target="https://drive.google.com/file/d/1xvK7oL2060tGjomnxIMM_vkytJCIFbUM/view" TargetMode="External"/><Relationship Id="rId1526" Type="http://schemas.openxmlformats.org/officeDocument/2006/relationships/hyperlink" Target="https://drive.google.com/file/d/1XjKaIIKxhd8oZqb19P6albr-80-RL-hK/view?usp=drive_link" TargetMode="External"/><Relationship Id="rId1733" Type="http://schemas.openxmlformats.org/officeDocument/2006/relationships/hyperlink" Target="https://drive.google.com/file/d/1eggsoLAPcrdATW-qSGgu_m3YksjLLiJO/view?usp=drive_link" TargetMode="External"/><Relationship Id="rId1940" Type="http://schemas.openxmlformats.org/officeDocument/2006/relationships/hyperlink" Target="https://drive.google.com/file/d/1862llNXCy3_gI0LM41mc5JpDXdHEOV2P/view?usp=drive_link" TargetMode="External"/><Relationship Id="rId25" Type="http://schemas.openxmlformats.org/officeDocument/2006/relationships/hyperlink" Target="https://drive.google.com/file/d/1TL9IrzKlPKxuk1hHUSBJEQg3OHu9BPMb/view" TargetMode="External"/><Relationship Id="rId1800" Type="http://schemas.openxmlformats.org/officeDocument/2006/relationships/hyperlink" Target="https://drive.google.com/file/d/1FRRXo6J4o4AZtg9BHSw3llGraq7T31kv/view?usp=drive_link" TargetMode="External"/><Relationship Id="rId174" Type="http://schemas.openxmlformats.org/officeDocument/2006/relationships/hyperlink" Target="https://drive.google.com/file/d/1ubpEtvc1oWuPQhwTMdh21fiJQLJ6YQjL/view" TargetMode="External"/><Relationship Id="rId381" Type="http://schemas.openxmlformats.org/officeDocument/2006/relationships/hyperlink" Target="https://drive.google.com/file/d/1eSxlhhtsJOyik_7Sfm5xJHDz0O_y42HO/view?usp=drive_link" TargetMode="External"/><Relationship Id="rId2062" Type="http://schemas.openxmlformats.org/officeDocument/2006/relationships/hyperlink" Target="https://drive.google.com/file/d/1PENkN1gZNt6kuWDXStzbi8Z0DiwcY8HX/view?usp=drive_link" TargetMode="External"/><Relationship Id="rId241" Type="http://schemas.openxmlformats.org/officeDocument/2006/relationships/hyperlink" Target="https://drive.google.com/file/d/1Ri-YAEWJjvz1PE2D5W_tY9aB0o-kD3Cx/view" TargetMode="External"/><Relationship Id="rId479" Type="http://schemas.openxmlformats.org/officeDocument/2006/relationships/hyperlink" Target="https://drive.google.com/file/d/1hmXY9RLSychgJTsAJz7iOoJsrTTIp1VT/view?usp=drive_link" TargetMode="External"/><Relationship Id="rId686" Type="http://schemas.openxmlformats.org/officeDocument/2006/relationships/hyperlink" Target="https://drive.google.com/file/d/1UDZ3DSBMcsK5rQzLJk4M0--CngCzKop9/view?usp=drive_link" TargetMode="External"/><Relationship Id="rId893" Type="http://schemas.openxmlformats.org/officeDocument/2006/relationships/hyperlink" Target="https://drive.google.com/file/d/1bYy1Ayup9OPnx4Ey4guSJ9WrktD4_Ot6/view?usp=drive_link" TargetMode="External"/><Relationship Id="rId339" Type="http://schemas.openxmlformats.org/officeDocument/2006/relationships/hyperlink" Target="https://drive.google.com/file/d/1auczJq74YC7zQtmuh6xlGQH7tRkhMdYG/view?usp=drive_link" TargetMode="External"/><Relationship Id="rId546" Type="http://schemas.openxmlformats.org/officeDocument/2006/relationships/hyperlink" Target="https://drive.google.com/file/d/1_9wvDD0xzarupnO-MkGQjPWkgNEleRMr/view" TargetMode="External"/><Relationship Id="rId753" Type="http://schemas.openxmlformats.org/officeDocument/2006/relationships/hyperlink" Target="https://drive.google.com/file/d/1eUqriZfZ8ZcnMu4n6LORw1pcnpQae1-d/view?usp=drive_link" TargetMode="External"/><Relationship Id="rId1176" Type="http://schemas.openxmlformats.org/officeDocument/2006/relationships/hyperlink" Target="https://drive.google.com/file/d/1AjudEJfSeA5pObV4i_-2eZywBMH4FjUH/view" TargetMode="External"/><Relationship Id="rId1383" Type="http://schemas.openxmlformats.org/officeDocument/2006/relationships/hyperlink" Target="https://drive.google.com/file/d/1OXVVqgSOAs7Kf0OYXBLzBzLajLz35A4_/view?usp=drive_link" TargetMode="External"/><Relationship Id="rId101" Type="http://schemas.openxmlformats.org/officeDocument/2006/relationships/hyperlink" Target="https://drive.google.com/file/d/1mjk5nvW4b1WflrBJK-EEPQRX1KlRm6e2/view" TargetMode="External"/><Relationship Id="rId406" Type="http://schemas.openxmlformats.org/officeDocument/2006/relationships/hyperlink" Target="https://drive.google.com/file/d/1Mz-UnKO6rFVDA_Sts8kV4Nb6AFgcY8xZ/view?usp=drive_link" TargetMode="External"/><Relationship Id="rId960" Type="http://schemas.openxmlformats.org/officeDocument/2006/relationships/hyperlink" Target="https://drive.google.com/file/d/1Ea4IsWWBHCZ29uRy7Zxp0SvMnOmdjCvn/view" TargetMode="External"/><Relationship Id="rId1036" Type="http://schemas.openxmlformats.org/officeDocument/2006/relationships/hyperlink" Target="https://drive.google.com/file/d/1rB6fHuIxGh5D4VZSJD6ZhvSpEbCfXrnN/view?usp=drive_link" TargetMode="External"/><Relationship Id="rId1243" Type="http://schemas.openxmlformats.org/officeDocument/2006/relationships/hyperlink" Target="https://drive.google.com/file/d/1g0qE64GhrUOttT19f46pAEKIpTihMBf3/view?usp=drive_link" TargetMode="External"/><Relationship Id="rId1590" Type="http://schemas.openxmlformats.org/officeDocument/2006/relationships/hyperlink" Target="https://drive.google.com/file/d/1N6JLvInqt6UGVAo8jpPfLxV1anlM3LhC/view" TargetMode="External"/><Relationship Id="rId1688" Type="http://schemas.openxmlformats.org/officeDocument/2006/relationships/hyperlink" Target="https://drive.google.com/file/d/1YiebLoAQwQ3DDXk7k09Eme9jE5xzfvGC/view?usp=drive_link" TargetMode="External"/><Relationship Id="rId1895" Type="http://schemas.openxmlformats.org/officeDocument/2006/relationships/hyperlink" Target="https://drive.google.com/file/d/1oKDXnxtrdsnKiXx-rE-IOxBOcPslLQ0_/view?usp=drive_link" TargetMode="External"/><Relationship Id="rId613" Type="http://schemas.openxmlformats.org/officeDocument/2006/relationships/hyperlink" Target="https://drive.google.com/file/d/1y-Ocgzn3Ss07_HRVm38HZw507xBX9Q3K/view" TargetMode="External"/><Relationship Id="rId820" Type="http://schemas.openxmlformats.org/officeDocument/2006/relationships/hyperlink" Target="https://drive.google.com/file/d/14YXw1eE_uNUTiyyJLFE-3TZXAvUd7kRa/view?usp=drive_link" TargetMode="External"/><Relationship Id="rId918" Type="http://schemas.openxmlformats.org/officeDocument/2006/relationships/hyperlink" Target="https://drive.google.com/file/d/1XNlB-TCqjbu1MIFEoH3KzWJaFDA0h4Mr/view?usp=drive_link" TargetMode="External"/><Relationship Id="rId1450" Type="http://schemas.openxmlformats.org/officeDocument/2006/relationships/hyperlink" Target="https://drive.google.com/file/d/1nxqhANLSmBJ-olV0_wGYRyXJpm4XiNGD/view?usp=drive_link" TargetMode="External"/><Relationship Id="rId1548" Type="http://schemas.openxmlformats.org/officeDocument/2006/relationships/hyperlink" Target="https://drive.google.com/file/d/13q2lrMXyrD-jFwOUSAmyXAyHguPjfyop/view?usp=drive_link" TargetMode="External"/><Relationship Id="rId1755" Type="http://schemas.openxmlformats.org/officeDocument/2006/relationships/hyperlink" Target="https://drive.google.com/file/d/1oGYK0VIxvZWojb4mGJZZsBVC1SfDMY6y/view?usp=drive_link" TargetMode="External"/><Relationship Id="rId1103" Type="http://schemas.openxmlformats.org/officeDocument/2006/relationships/hyperlink" Target="https://drive.google.com/file/d/1XDJ17puSEKXRlcpoac80pcUkSirH5iqT/view?usp=drive_link" TargetMode="External"/><Relationship Id="rId1310" Type="http://schemas.openxmlformats.org/officeDocument/2006/relationships/hyperlink" Target="https://drive.google.com/file/d/1xvK7oL2060tGjomnxIMM_vkytJCIFbUM/view" TargetMode="External"/><Relationship Id="rId1408" Type="http://schemas.openxmlformats.org/officeDocument/2006/relationships/hyperlink" Target="https://drive.google.com/file/d/1TDk98vxQ3RO5Vex4gTvzQ8srdHf8VMYQ/view?usp=drive_link" TargetMode="External"/><Relationship Id="rId1962" Type="http://schemas.openxmlformats.org/officeDocument/2006/relationships/hyperlink" Target="https://drive.google.com/file/d/1m_ZcOGPlgePKQ5iHcOHOG_LcxNkDkiJ-/view?usp=drive_link" TargetMode="External"/><Relationship Id="rId47" Type="http://schemas.openxmlformats.org/officeDocument/2006/relationships/hyperlink" Target="https://drive.google.com/file/d/1c3FBPHHZ7t7n-uvjJkQ1bEwKAXm0RkFQ/view" TargetMode="External"/><Relationship Id="rId1615" Type="http://schemas.openxmlformats.org/officeDocument/2006/relationships/hyperlink" Target="https://drive.google.com/file/d/1jjzR1RyL3evEhn3RbMY2vgThzWgq-fJN/view" TargetMode="External"/><Relationship Id="rId1822" Type="http://schemas.openxmlformats.org/officeDocument/2006/relationships/hyperlink" Target="https://drive.google.com/file/d/10RRCP9PqW1a0aXZkHVOxVr_hGOY01_Ce/view" TargetMode="External"/><Relationship Id="rId196" Type="http://schemas.openxmlformats.org/officeDocument/2006/relationships/hyperlink" Target="https://drive.google.com/file/d/1fD7AWmASsFIlXlxUeMDyf0RwmeJ-UJ8T/view" TargetMode="External"/><Relationship Id="rId2084" Type="http://schemas.openxmlformats.org/officeDocument/2006/relationships/table" Target="../tables/table2.xml"/><Relationship Id="rId263" Type="http://schemas.openxmlformats.org/officeDocument/2006/relationships/hyperlink" Target="https://drive.google.com/file/d/1N4Zo1nyoTRwV-8yeADEdYoewjbxnID-Z/view" TargetMode="External"/><Relationship Id="rId470" Type="http://schemas.openxmlformats.org/officeDocument/2006/relationships/hyperlink" Target="https://drive.google.com/file/d/1CGnDxWakVhMcyf3ArpxC0Xg8NB2NJ04m/view?usp=drive_link" TargetMode="External"/><Relationship Id="rId123" Type="http://schemas.openxmlformats.org/officeDocument/2006/relationships/hyperlink" Target="https://drive.google.com/file/d/19ZTyE2xeT2sZ01YGBhW0hDNK1zkOgzov/view" TargetMode="External"/><Relationship Id="rId330" Type="http://schemas.openxmlformats.org/officeDocument/2006/relationships/hyperlink" Target="https://drive.google.com/file/d/1auczJq74YC7zQtmuh6xlGQH7tRkhMdYG/view?usp=drive_link" TargetMode="External"/><Relationship Id="rId568" Type="http://schemas.openxmlformats.org/officeDocument/2006/relationships/hyperlink" Target="https://drive.google.com/file/d/1rhCvHfKmw2WQRnaHsokOte7r7Nl3uIJy/view" TargetMode="External"/><Relationship Id="rId775" Type="http://schemas.openxmlformats.org/officeDocument/2006/relationships/hyperlink" Target="https://drive.google.com/file/d/1SVtLDrCgd-EGMvj8P0ZCjolJ1bcQnWdH/view?usp=drive_link" TargetMode="External"/><Relationship Id="rId982" Type="http://schemas.openxmlformats.org/officeDocument/2006/relationships/hyperlink" Target="https://drive.google.com/file/d/1hU_NG6jWFnAFsctWfxIixSLdfdg-2vbM/view" TargetMode="External"/><Relationship Id="rId1198" Type="http://schemas.openxmlformats.org/officeDocument/2006/relationships/hyperlink" Target="https://drive.google.com/file/d/11gAT3uSf6EhqY1gp7ESxBQx3ZJOIXz2O/view" TargetMode="External"/><Relationship Id="rId2011" Type="http://schemas.openxmlformats.org/officeDocument/2006/relationships/hyperlink" Target="https://drive.google.com/file/d/1MQhooDZfb_a8dh1XjYQap8rFcmtl5opU/view" TargetMode="External"/><Relationship Id="rId428" Type="http://schemas.openxmlformats.org/officeDocument/2006/relationships/hyperlink" Target="https://drive.google.com/file/d/1l032NhkgI8VXW1YdwE6IVXJ95axS_1_N/view?usp=drive_link" TargetMode="External"/><Relationship Id="rId635" Type="http://schemas.openxmlformats.org/officeDocument/2006/relationships/hyperlink" Target="https://drive.google.com/file/d/1jRWn6nkUc6PyzKFIrav2bztHDn61jQYs/view" TargetMode="External"/><Relationship Id="rId842" Type="http://schemas.openxmlformats.org/officeDocument/2006/relationships/hyperlink" Target="https://drive.google.com/file/d/1q1S8kM3uWaJrbD9mRZ_cWxaj0alzeKgN/view?usp=drive_link" TargetMode="External"/><Relationship Id="rId1058" Type="http://schemas.openxmlformats.org/officeDocument/2006/relationships/hyperlink" Target="https://drive.google.com/file/d/17TfQKd0Cd9yG2mhJV3bja_JAtLRy5Hq5/view?usp=drive_link" TargetMode="External"/><Relationship Id="rId1265" Type="http://schemas.openxmlformats.org/officeDocument/2006/relationships/hyperlink" Target="https://drive.google.com/file/d/1Fr7FnU1zhPXLqSCHSNAy1t-LB8P_O5uZ/view?usp=drive_link" TargetMode="External"/><Relationship Id="rId1472" Type="http://schemas.openxmlformats.org/officeDocument/2006/relationships/hyperlink" Target="https://drive.google.com/file/d/1ivqBk1OAmLirXhfrxLBzeUL_jJxegxDI/view?usp=drive_link" TargetMode="External"/><Relationship Id="rId702" Type="http://schemas.openxmlformats.org/officeDocument/2006/relationships/hyperlink" Target="https://drive.google.com/file/d/1hvQKcWIheA72v1UtBckv-ww6mLtFEX5e/view?usp=drive_link" TargetMode="External"/><Relationship Id="rId1125" Type="http://schemas.openxmlformats.org/officeDocument/2006/relationships/hyperlink" Target="https://drive.google.com/file/d/1De6vO_A2TlUNz8pj1sCUy_mHHl1A_xUW/view" TargetMode="External"/><Relationship Id="rId1332" Type="http://schemas.openxmlformats.org/officeDocument/2006/relationships/hyperlink" Target="https://drive.google.com/file/d/1zGDlAkBICsrR-ZMduYzZLDdRYy5sHjtH/view?usp=drive_link" TargetMode="External"/><Relationship Id="rId1777" Type="http://schemas.openxmlformats.org/officeDocument/2006/relationships/hyperlink" Target="https://drive.google.com/file/d/1Q6MU9kG1fczWg0z99j87JV0I8dZyJDIP/view" TargetMode="External"/><Relationship Id="rId1984" Type="http://schemas.openxmlformats.org/officeDocument/2006/relationships/hyperlink" Target="https://drive.google.com/file/d/197Upk1lRbxo1iH4nl3_asxDxnnQz-xvq/view" TargetMode="External"/><Relationship Id="rId69" Type="http://schemas.openxmlformats.org/officeDocument/2006/relationships/hyperlink" Target="https://drive.google.com/file/d/16ZFwzklgzbqlTBk2PblSupsG8QWIVKhr/view" TargetMode="External"/><Relationship Id="rId1637" Type="http://schemas.openxmlformats.org/officeDocument/2006/relationships/hyperlink" Target="https://drive.google.com/file/d/1jjzR1RyL3evEhn3RbMY2vgThzWgq-fJN/view" TargetMode="External"/><Relationship Id="rId1844" Type="http://schemas.openxmlformats.org/officeDocument/2006/relationships/hyperlink" Target="https://drive.google.com/file/d/11gAT3uSf6EhqY1gp7ESxBQx3ZJOIXz2O/view" TargetMode="External"/><Relationship Id="rId1704" Type="http://schemas.openxmlformats.org/officeDocument/2006/relationships/hyperlink" Target="https://drive.google.com/file/d/1hqFUNz-YrJL1D-KF62ciGzKLn0jl5v4Y/view?usp=drive_link" TargetMode="External"/><Relationship Id="rId285" Type="http://schemas.openxmlformats.org/officeDocument/2006/relationships/hyperlink" Target="https://drive.google.com/file/d/1p2iUJtng5C_UXPw0fI_hg5oznXFeBhpI/view" TargetMode="External"/><Relationship Id="rId1911" Type="http://schemas.openxmlformats.org/officeDocument/2006/relationships/hyperlink" Target="https://drive.google.com/file/d/1VU2oD951xXfxe0_lC75k2-XwxUlhDyj9/view?usp=drive_link" TargetMode="External"/><Relationship Id="rId492" Type="http://schemas.openxmlformats.org/officeDocument/2006/relationships/hyperlink" Target="https://drive.google.com/file/d/1E_lw9TkbspjWKBlfCTRgy2po44C1TCJP/view?usp=drive_link" TargetMode="External"/><Relationship Id="rId797" Type="http://schemas.openxmlformats.org/officeDocument/2006/relationships/hyperlink" Target="https://drive.google.com/file/d/1a0Y0yLRRfNYWEbl7hjxRwwCR8iQ52iEa/view?usp=drive_link" TargetMode="External"/><Relationship Id="rId145" Type="http://schemas.openxmlformats.org/officeDocument/2006/relationships/hyperlink" Target="https://drive.google.com/file/d/11ckN00HUeGC8mZ4NTbuNo3XBAKRafCzJ/view" TargetMode="External"/><Relationship Id="rId352" Type="http://schemas.openxmlformats.org/officeDocument/2006/relationships/hyperlink" Target="https://drive.google.com/file/d/1DE97kviXT-3hj-mPkqohYwgjer1eZUEt/view?usp=drive_link" TargetMode="External"/><Relationship Id="rId1287" Type="http://schemas.openxmlformats.org/officeDocument/2006/relationships/hyperlink" Target="https://drive.google.com/file/d/1_yjMQo6gzbHLiIya48Wdfww-Xb1eVGfK/view?usp=drive_link" TargetMode="External"/><Relationship Id="rId2033" Type="http://schemas.openxmlformats.org/officeDocument/2006/relationships/hyperlink" Target="https://drive.google.com/file/d/1MQhooDZfb_a8dh1XjYQap8rFcmtl5opU/view" TargetMode="External"/><Relationship Id="rId212" Type="http://schemas.openxmlformats.org/officeDocument/2006/relationships/hyperlink" Target="https://drive.google.com/file/d/1Ri-YAEWJjvz1PE2D5W_tY9aB0o-kD3Cx/view" TargetMode="External"/><Relationship Id="rId657" Type="http://schemas.openxmlformats.org/officeDocument/2006/relationships/hyperlink" Target="https://drive.google.com/file/d/1q4cCVCNG__x2eJpAiRLTqR7FTiIzCqW_/view" TargetMode="External"/><Relationship Id="rId864" Type="http://schemas.openxmlformats.org/officeDocument/2006/relationships/hyperlink" Target="https://drive.google.com/file/d/1rOTt3bC6ZLN5P-SA_JVctRcIj9J1mxVr/view?usp=drive_link" TargetMode="External"/><Relationship Id="rId1494" Type="http://schemas.openxmlformats.org/officeDocument/2006/relationships/hyperlink" Target="https://drive.google.com/file/d/1nd2LuxXC_tnKKOUoZp-2rCmz6m31uExe/view?usp=drive_link" TargetMode="External"/><Relationship Id="rId1799" Type="http://schemas.openxmlformats.org/officeDocument/2006/relationships/hyperlink" Target="https://drive.google.com/file/d/1-9vqHAxMY7EOdGCf_1JiVVh1sMtEsHwD/view?usp=drive_link" TargetMode="External"/><Relationship Id="rId517" Type="http://schemas.openxmlformats.org/officeDocument/2006/relationships/hyperlink" Target="https://drive.google.com/file/d/1zxbs_azC4N6-X3OZD0Sz6VP6Xjewm9-8/view" TargetMode="External"/><Relationship Id="rId724" Type="http://schemas.openxmlformats.org/officeDocument/2006/relationships/hyperlink" Target="https://drive.google.com/file/d/1hvQKcWIheA72v1UtBckv-ww6mLtFEX5e/view?usp=drive_link" TargetMode="External"/><Relationship Id="rId931" Type="http://schemas.openxmlformats.org/officeDocument/2006/relationships/hyperlink" Target="https://drive.google.com/file/d/1N22qwC0vrqCOzXJ46mu1iA931nPdVUdV/view?usp=drive_link" TargetMode="External"/><Relationship Id="rId1147" Type="http://schemas.openxmlformats.org/officeDocument/2006/relationships/hyperlink" Target="https://drive.google.com/file/d/1l1qtJWULZ9Ls8rKQ1VUw4meyuzKWs1jT/view?usp=drive_link" TargetMode="External"/><Relationship Id="rId1354" Type="http://schemas.openxmlformats.org/officeDocument/2006/relationships/hyperlink" Target="https://drive.google.com/file/d/1MQhooDZfb_a8dh1XjYQap8rFcmtl5opU/view" TargetMode="External"/><Relationship Id="rId1561" Type="http://schemas.openxmlformats.org/officeDocument/2006/relationships/hyperlink" Target="https://drive.google.com/file/d/1xxrE3LPgzlDH2hVcRgO9_8Tj9dwrwVwk/view?usp=drive_link" TargetMode="External"/><Relationship Id="rId60" Type="http://schemas.openxmlformats.org/officeDocument/2006/relationships/hyperlink" Target="https://drive.google.com/file/d/1aotzsm6c1YRrRltmEBM3La85GahLY-Sa/view" TargetMode="External"/><Relationship Id="rId1007" Type="http://schemas.openxmlformats.org/officeDocument/2006/relationships/hyperlink" Target="https://drive.google.com/file/d/1P8dv2yDVWK28813AIv4m4F9tgxPrdqDO/view" TargetMode="External"/><Relationship Id="rId1214" Type="http://schemas.openxmlformats.org/officeDocument/2006/relationships/hyperlink" Target="https://drive.google.com/file/d/1qRnd6QBDXGDZrXClC7fkscnVjqbMHsCo/view?usp=drive_link" TargetMode="External"/><Relationship Id="rId1421" Type="http://schemas.openxmlformats.org/officeDocument/2006/relationships/hyperlink" Target="https://drive.google.com/file/d/1FFvziYQynsq9IGYLQaJ37iQbYGYyI7tt/view?usp=drive_link" TargetMode="External"/><Relationship Id="rId1659" Type="http://schemas.openxmlformats.org/officeDocument/2006/relationships/hyperlink" Target="https://drive.google.com/file/d/1nRiloij6wjknh-vdXufPMtF9ywgwSqpI/view?usp=drive_link" TargetMode="External"/><Relationship Id="rId1866" Type="http://schemas.openxmlformats.org/officeDocument/2006/relationships/hyperlink" Target="https://drive.google.com/file/d/12tCRalajPMVE-onCQiXS7R_4zEPBFs_C/view?usp=drive_link" TargetMode="External"/><Relationship Id="rId1519" Type="http://schemas.openxmlformats.org/officeDocument/2006/relationships/hyperlink" Target="https://drive.google.com/file/d/1_Jil7Wkfj5WOP-6FE-VdY7qc0mLZ5DUM/view?usp=drive_link" TargetMode="External"/><Relationship Id="rId1726" Type="http://schemas.openxmlformats.org/officeDocument/2006/relationships/hyperlink" Target="https://drive.google.com/file/d/1eggsoLAPcrdATW-qSGgu_m3YksjLLiJO/view?usp=drive_link" TargetMode="External"/><Relationship Id="rId1933" Type="http://schemas.openxmlformats.org/officeDocument/2006/relationships/hyperlink" Target="https://drive.google.com/file/d/1862llNXCy3_gI0LM41mc5JpDXdHEOV2P/view?usp=drive_link" TargetMode="External"/><Relationship Id="rId18" Type="http://schemas.openxmlformats.org/officeDocument/2006/relationships/hyperlink" Target="https://drive.google.com/file/d/17kFHEbF-AEDFcJjjgAoxnDoBUieKKDg3/view" TargetMode="External"/><Relationship Id="rId167" Type="http://schemas.openxmlformats.org/officeDocument/2006/relationships/hyperlink" Target="https://drive.google.com/file/d/1cGFZl0t3lci1ilX5gjjOKnRFdDklY_8G/view" TargetMode="External"/><Relationship Id="rId374" Type="http://schemas.openxmlformats.org/officeDocument/2006/relationships/hyperlink" Target="https://drive.google.com/file/d/1-uqOeguQnsVTKjN4CUm_DKAjRsf3GvNl/view?usp=drive_link" TargetMode="External"/><Relationship Id="rId581" Type="http://schemas.openxmlformats.org/officeDocument/2006/relationships/hyperlink" Target="https://drive.google.com/file/d/1XM56ViSsm-28H781ilJpgfRH-h3HxQCr/view" TargetMode="External"/><Relationship Id="rId2055" Type="http://schemas.openxmlformats.org/officeDocument/2006/relationships/hyperlink" Target="https://drive.google.com/file/d/1TDJpApdYNq3AlENLBb73U5oWwKK28DF1/view?usp=drive_link" TargetMode="External"/><Relationship Id="rId234" Type="http://schemas.openxmlformats.org/officeDocument/2006/relationships/hyperlink" Target="https://drive.google.com/file/d/1fD7AWmASsFIlXlxUeMDyf0RwmeJ-UJ8T/view" TargetMode="External"/><Relationship Id="rId679" Type="http://schemas.openxmlformats.org/officeDocument/2006/relationships/hyperlink" Target="https://drive.google.com/file/d/12FCTiQHROItKTuE1paH0D-F5NmHrtpx8/view" TargetMode="External"/><Relationship Id="rId886" Type="http://schemas.openxmlformats.org/officeDocument/2006/relationships/hyperlink" Target="https://drive.google.com/file/d/1bYy1Ayup9OPnx4Ey4guSJ9WrktD4_Ot6/view?usp=drive_link" TargetMode="External"/><Relationship Id="rId2" Type="http://schemas.openxmlformats.org/officeDocument/2006/relationships/hyperlink" Target="https://drive.google.com/file/d/1N4Zo1nyoTRwV-8yeADEdYoewjbxnID-Z/view?usp=drive_link" TargetMode="External"/><Relationship Id="rId441" Type="http://schemas.openxmlformats.org/officeDocument/2006/relationships/hyperlink" Target="https://drive.google.com/file/d/1iRpGkfGlUpy_9sZc0sYjyX4pKKrv-yKh/view?usp=drive_link" TargetMode="External"/><Relationship Id="rId539" Type="http://schemas.openxmlformats.org/officeDocument/2006/relationships/hyperlink" Target="https://drive.google.com/file/d/1KD8Xfrs6ZPDDeNsgaKv-b1oJyOORtcmH/view" TargetMode="External"/><Relationship Id="rId746" Type="http://schemas.openxmlformats.org/officeDocument/2006/relationships/hyperlink" Target="https://drive.google.com/file/d/17_08NSWt7_gBt9GqJ59cc4phZ7kJIzsK/view?usp=drive_link" TargetMode="External"/><Relationship Id="rId1071" Type="http://schemas.openxmlformats.org/officeDocument/2006/relationships/hyperlink" Target="https://drive.google.com/file/d/1lHsS9HToAAkVgzUpu0SvP6Q74MdwpNaD/view?usp=drive_link" TargetMode="External"/><Relationship Id="rId1169" Type="http://schemas.openxmlformats.org/officeDocument/2006/relationships/hyperlink" Target="https://drive.google.com/file/d/1AjudEJfSeA5pObV4i_-2eZywBMH4FjUH/view" TargetMode="External"/><Relationship Id="rId1376" Type="http://schemas.openxmlformats.org/officeDocument/2006/relationships/hyperlink" Target="https://drive.google.com/file/d/1OXVVqgSOAs7Kf0OYXBLzBzLajLz35A4_/view?usp=drive_link" TargetMode="External"/><Relationship Id="rId1583" Type="http://schemas.openxmlformats.org/officeDocument/2006/relationships/hyperlink" Target="https://drive.google.com/file/d/1N6JLvInqt6UGVAo8jpPfLxV1anlM3LhC/view" TargetMode="External"/><Relationship Id="rId301" Type="http://schemas.openxmlformats.org/officeDocument/2006/relationships/hyperlink" Target="https://drive.google.com/file/d/1N4Zo1nyoTRwV-8yeADEdYoewjbxnID-Z/view?usp=drive_link" TargetMode="External"/><Relationship Id="rId953" Type="http://schemas.openxmlformats.org/officeDocument/2006/relationships/hyperlink" Target="https://drive.google.com/file/d/1Ea4IsWWBHCZ29uRy7Zxp0SvMnOmdjCvn/view" TargetMode="External"/><Relationship Id="rId1029" Type="http://schemas.openxmlformats.org/officeDocument/2006/relationships/hyperlink" Target="https://drive.google.com/file/d/1rB6fHuIxGh5D4VZSJD6ZhvSpEbCfXrnN/view?usp=drive_link" TargetMode="External"/><Relationship Id="rId1236" Type="http://schemas.openxmlformats.org/officeDocument/2006/relationships/hyperlink" Target="https://drive.google.com/file/d/1wFL1KQ-QVw5hSLZv1AF-r-UdMul7WJMk/view?usp=drive_link" TargetMode="External"/><Relationship Id="rId1790" Type="http://schemas.openxmlformats.org/officeDocument/2006/relationships/hyperlink" Target="https://drive.google.com/file/d/1qZSXHwjD6UiZLiCnVCCPpTfeEZz74aAs/view" TargetMode="External"/><Relationship Id="rId1888" Type="http://schemas.openxmlformats.org/officeDocument/2006/relationships/hyperlink" Target="https://drive.google.com/file/d/1oKDXnxtrdsnKiXx-rE-IOxBOcPslLQ0_/view?usp=drive_link" TargetMode="External"/><Relationship Id="rId82" Type="http://schemas.openxmlformats.org/officeDocument/2006/relationships/hyperlink" Target="https://drive.google.com/file/d/1Xx52lP-CL3Mjgh7XgJuGe8OZtl_A0Kie/view" TargetMode="External"/><Relationship Id="rId606" Type="http://schemas.openxmlformats.org/officeDocument/2006/relationships/hyperlink" Target="https://drive.google.com/file/d/12FCTiQHROItKTuE1paH0D-F5NmHrtpx8/view" TargetMode="External"/><Relationship Id="rId813" Type="http://schemas.openxmlformats.org/officeDocument/2006/relationships/hyperlink" Target="https://drive.google.com/file/d/14YXw1eE_uNUTiyyJLFE-3TZXAvUd7kRa/view?usp=drive_link" TargetMode="External"/><Relationship Id="rId1443" Type="http://schemas.openxmlformats.org/officeDocument/2006/relationships/hyperlink" Target="https://drive.google.com/file/d/1nxqhANLSmBJ-olV0_wGYRyXJpm4XiNGD/view?usp=drive_link" TargetMode="External"/><Relationship Id="rId1650" Type="http://schemas.openxmlformats.org/officeDocument/2006/relationships/hyperlink" Target="https://drive.google.com/file/d/1P8dv2yDVWK28813AIv4m4F9tgxPrdqDO/view" TargetMode="External"/><Relationship Id="rId1748" Type="http://schemas.openxmlformats.org/officeDocument/2006/relationships/hyperlink" Target="https://drive.google.com/file/d/1oGYK0VIxvZWojb4mGJZZsBVC1SfDMY6y/view?usp=drive_link" TargetMode="External"/><Relationship Id="rId1303" Type="http://schemas.openxmlformats.org/officeDocument/2006/relationships/hyperlink" Target="https://drive.google.com/file/d/19aGB7slFQPfIgI387xmUjRUwIeJi_fXB/view?usp=drive_link" TargetMode="External"/><Relationship Id="rId1510" Type="http://schemas.openxmlformats.org/officeDocument/2006/relationships/hyperlink" Target="https://drive.google.com/file/d/1W-gf0VbzbihbaBDbivu-eAIuFgmf1g2H/view?usp=drive_link" TargetMode="External"/><Relationship Id="rId1955" Type="http://schemas.openxmlformats.org/officeDocument/2006/relationships/hyperlink" Target="https://drive.google.com/file/d/1m_ZcOGPlgePKQ5iHcOHOG_LcxNkDkiJ-/view?usp=drive_link" TargetMode="External"/><Relationship Id="rId1608" Type="http://schemas.openxmlformats.org/officeDocument/2006/relationships/hyperlink" Target="https://drive.google.com/file/d/1nvLtx1HJOnLb38HmGIORDb_hqRjZMsuK/view?usp=drive_link" TargetMode="External"/><Relationship Id="rId1815" Type="http://schemas.openxmlformats.org/officeDocument/2006/relationships/hyperlink" Target="https://drive.google.com/file/d/10RRCP9PqW1a0aXZkHVOxVr_hGOY01_Ce/view" TargetMode="External"/><Relationship Id="rId189" Type="http://schemas.openxmlformats.org/officeDocument/2006/relationships/hyperlink" Target="https://drive.google.com/file/d/1Ri-YAEWJjvz1PE2D5W_tY9aB0o-kD3Cx/view" TargetMode="External"/><Relationship Id="rId396" Type="http://schemas.openxmlformats.org/officeDocument/2006/relationships/hyperlink" Target="https://drive.google.com/file/d/1j2tLIzNNUoZkZ243oPB10Uwaw2b3_A58/view?usp=drive_link" TargetMode="External"/><Relationship Id="rId2077" Type="http://schemas.openxmlformats.org/officeDocument/2006/relationships/hyperlink" Target="https://drive.google.com/file/d/1W509JmdVlzeICueDgcivjNXJagqJa2qz/view?usp=drive_link" TargetMode="External"/><Relationship Id="rId256" Type="http://schemas.openxmlformats.org/officeDocument/2006/relationships/hyperlink" Target="https://drive.google.com/file/d/17kFHEbF-AEDFcJjjgAoxnDoBUieKKDg3/view" TargetMode="External"/><Relationship Id="rId463" Type="http://schemas.openxmlformats.org/officeDocument/2006/relationships/hyperlink" Target="https://drive.google.com/file/d/1CGnDxWakVhMcyf3ArpxC0Xg8NB2NJ04m/view?usp=drive_link" TargetMode="External"/><Relationship Id="rId670" Type="http://schemas.openxmlformats.org/officeDocument/2006/relationships/hyperlink" Target="https://drive.google.com/file/d/1pVsRJ1dyo2hYWyHHI4kWWKMR6i84lDfX/view?usp=sharing" TargetMode="External"/><Relationship Id="rId1093" Type="http://schemas.openxmlformats.org/officeDocument/2006/relationships/hyperlink" Target="https://drive.google.com/file/d/1bSZghuFPNMDy724R2VmzwB1Jr2rl9y3T/view?usp=drive_link" TargetMode="External"/><Relationship Id="rId116" Type="http://schemas.openxmlformats.org/officeDocument/2006/relationships/hyperlink" Target="https://drive.google.com/file/d/19ZTyE2xeT2sZ01YGBhW0hDNK1zkOgzov/view" TargetMode="External"/><Relationship Id="rId323" Type="http://schemas.openxmlformats.org/officeDocument/2006/relationships/hyperlink" Target="https://drive.google.com/file/d/1auczJq74YC7zQtmuh6xlGQH7tRkhMdYG/view?usp=drive_link" TargetMode="External"/><Relationship Id="rId530" Type="http://schemas.openxmlformats.org/officeDocument/2006/relationships/hyperlink" Target="https://drive.google.com/file/d/1KD8Xfrs6ZPDDeNsgaKv-b1oJyOORtcmH/view" TargetMode="External"/><Relationship Id="rId768" Type="http://schemas.openxmlformats.org/officeDocument/2006/relationships/hyperlink" Target="https://drive.google.com/file/d/1xtKK1s6-PHzFzBwpapa8NlHm2NARujAZ/view?usp=drive_link" TargetMode="External"/><Relationship Id="rId975" Type="http://schemas.openxmlformats.org/officeDocument/2006/relationships/hyperlink" Target="https://drive.google.com/file/d/1dRnOElIobWmdZEkO8BRVE7TU1yvuxQXW/view?usp=drive_link" TargetMode="External"/><Relationship Id="rId1160" Type="http://schemas.openxmlformats.org/officeDocument/2006/relationships/hyperlink" Target="https://drive.google.com/file/d/19xTvun6qzsNy4xAj6wKum7MQ98om515z/view?usp=drive_link" TargetMode="External"/><Relationship Id="rId1398" Type="http://schemas.openxmlformats.org/officeDocument/2006/relationships/hyperlink" Target="https://drive.google.com/file/d/1TDk98vxQ3RO5Vex4gTvzQ8srdHf8VMYQ/view?usp=drive_link" TargetMode="External"/><Relationship Id="rId2004" Type="http://schemas.openxmlformats.org/officeDocument/2006/relationships/hyperlink" Target="https://drive.google.com/file/d/1AoH0Y4ciTRcsU5X6S4aZ3HZiPs325E2e/view?usp=drive_link" TargetMode="External"/><Relationship Id="rId628" Type="http://schemas.openxmlformats.org/officeDocument/2006/relationships/hyperlink" Target="https://drive.google.com/file/d/1YYboHNgsShFzYyBHMkUoSzib7zJkM_P6/view" TargetMode="External"/><Relationship Id="rId835" Type="http://schemas.openxmlformats.org/officeDocument/2006/relationships/hyperlink" Target="https://drive.google.com/file/d/1q1S8kM3uWaJrbD9mRZ_cWxaj0alzeKgN/view?usp=drive_link" TargetMode="External"/><Relationship Id="rId1258" Type="http://schemas.openxmlformats.org/officeDocument/2006/relationships/hyperlink" Target="https://drive.google.com/file/d/1Fr7FnU1zhPXLqSCHSNAy1t-LB8P_O5uZ/view?usp=drive_link" TargetMode="External"/><Relationship Id="rId1465" Type="http://schemas.openxmlformats.org/officeDocument/2006/relationships/hyperlink" Target="https://drive.google.com/file/d/1ivqBk1OAmLirXhfrxLBzeUL_jJxegxDI/view?usp=drive_link" TargetMode="External"/><Relationship Id="rId1672" Type="http://schemas.openxmlformats.org/officeDocument/2006/relationships/hyperlink" Target="https://drive.google.com/file/d/1ErzZnaGRbRgYHrCEwMv-7ly4fAk80jPD/view?usp=drive_link" TargetMode="External"/><Relationship Id="rId1020" Type="http://schemas.openxmlformats.org/officeDocument/2006/relationships/hyperlink" Target="https://drive.google.com/file/d/1dtmjjVifpdyX31hTWKtbOj-VXJHs1FLR/view?usp=drive_link" TargetMode="External"/><Relationship Id="rId1118" Type="http://schemas.openxmlformats.org/officeDocument/2006/relationships/hyperlink" Target="https://drive.google.com/file/d/1AWxAuRE6Vg50Zv6iozolSxiyZ-AwV82_/view?usp=drive_link" TargetMode="External"/><Relationship Id="rId1325" Type="http://schemas.openxmlformats.org/officeDocument/2006/relationships/hyperlink" Target="https://drive.google.com/file/d/1p6hIUtd-nvQqhm5QfcZ7_NmYe6thw_QN/view?usp=drive_link" TargetMode="External"/><Relationship Id="rId1532" Type="http://schemas.openxmlformats.org/officeDocument/2006/relationships/hyperlink" Target="https://drive.google.com/file/d/1XjKaIIKxhd8oZqb19P6albr-80-RL-hK/view?usp=drive_link" TargetMode="External"/><Relationship Id="rId1977" Type="http://schemas.openxmlformats.org/officeDocument/2006/relationships/hyperlink" Target="https://drive.google.com/file/d/1La3JnRLTGosBhQtrjluRdPiS-rya-Lxf/view" TargetMode="External"/><Relationship Id="rId902" Type="http://schemas.openxmlformats.org/officeDocument/2006/relationships/hyperlink" Target="https://drive.google.com/file/d/1dMX3W21nvBkM9WPZUIo18OVNIoRxyreY/view?usp=drive_link" TargetMode="External"/><Relationship Id="rId1837" Type="http://schemas.openxmlformats.org/officeDocument/2006/relationships/hyperlink" Target="https://drive.google.com/file/d/11gAT3uSf6EhqY1gp7ESxBQx3ZJOIXz2O/view" TargetMode="External"/><Relationship Id="rId31" Type="http://schemas.openxmlformats.org/officeDocument/2006/relationships/hyperlink" Target="https://drive.google.com/file/d/1c3FBPHHZ7t7n-uvjJkQ1bEwKAXm0RkFQ/view" TargetMode="External"/><Relationship Id="rId180" Type="http://schemas.openxmlformats.org/officeDocument/2006/relationships/hyperlink" Target="https://drive.google.com/file/d/16BMdQPUP_243M9ZY1BsJCcqCz75Uhylv/view" TargetMode="External"/><Relationship Id="rId278" Type="http://schemas.openxmlformats.org/officeDocument/2006/relationships/hyperlink" Target="https://drive.google.com/file/d/1u7fyxEhz5ZBdqEUOis7aQ3eZaoNHO5t6/view" TargetMode="External"/><Relationship Id="rId1904" Type="http://schemas.openxmlformats.org/officeDocument/2006/relationships/hyperlink" Target="https://drive.google.com/file/d/1EFP77JsHwvOLRKb7NL4f0-WTRLI4zmhV/view?usp=drive_link" TargetMode="External"/><Relationship Id="rId485" Type="http://schemas.openxmlformats.org/officeDocument/2006/relationships/hyperlink" Target="https://drive.google.com/file/d/1hmXY9RLSychgJTsAJz7iOoJsrTTIp1VT/view?usp=drive_link" TargetMode="External"/><Relationship Id="rId692" Type="http://schemas.openxmlformats.org/officeDocument/2006/relationships/hyperlink" Target="https://drive.google.com/file/d/1fVGTywNnBvbe_-XZ6i9qc-4BCJw5nmT1/view?usp=drive_link" TargetMode="External"/><Relationship Id="rId138" Type="http://schemas.openxmlformats.org/officeDocument/2006/relationships/hyperlink" Target="https://drive.google.com/file/d/11ckN00HUeGC8mZ4NTbuNo3XBAKRafCzJ/view" TargetMode="External"/><Relationship Id="rId345" Type="http://schemas.openxmlformats.org/officeDocument/2006/relationships/hyperlink" Target="https://drive.google.com/file/d/1txs_xJtZSRV3s1r41GM6nzBz3ZapFemu/view?usp=drive_link" TargetMode="External"/><Relationship Id="rId552" Type="http://schemas.openxmlformats.org/officeDocument/2006/relationships/hyperlink" Target="https://drive.google.com/file/d/1_9wvDD0xzarupnO-MkGQjPWkgNEleRMr/view" TargetMode="External"/><Relationship Id="rId997" Type="http://schemas.openxmlformats.org/officeDocument/2006/relationships/hyperlink" Target="https://drive.google.com/file/d/1jjzR1RyL3evEhn3RbMY2vgThzWgq-fJN/view" TargetMode="External"/><Relationship Id="rId1182" Type="http://schemas.openxmlformats.org/officeDocument/2006/relationships/hyperlink" Target="https://drive.google.com/file/d/10RRCP9PqW1a0aXZkHVOxVr_hGOY01_Ce/view" TargetMode="External"/><Relationship Id="rId2026" Type="http://schemas.openxmlformats.org/officeDocument/2006/relationships/hyperlink" Target="https://drive.google.com/file/d/1MQhooDZfb_a8dh1XjYQap8rFcmtl5opU/view" TargetMode="External"/><Relationship Id="rId205" Type="http://schemas.openxmlformats.org/officeDocument/2006/relationships/hyperlink" Target="https://drive.google.com/file/d/1Ri-YAEWJjvz1PE2D5W_tY9aB0o-kD3Cx/view" TargetMode="External"/><Relationship Id="rId412" Type="http://schemas.openxmlformats.org/officeDocument/2006/relationships/hyperlink" Target="https://drive.google.com/file/d/1d7EUl2nVrW2pVWhjsLWPCnuUAtvGF_0w/view?usp=drive_link" TargetMode="External"/><Relationship Id="rId857" Type="http://schemas.openxmlformats.org/officeDocument/2006/relationships/hyperlink" Target="https://drive.google.com/file/d/1Kj7pGsto2d8qxWBBNeFSXHt0ZCv3amEr/view?usp=drive_link" TargetMode="External"/><Relationship Id="rId1042" Type="http://schemas.openxmlformats.org/officeDocument/2006/relationships/hyperlink" Target="https://drive.google.com/file/d/1EShm-JCEBeUL9t9jvi_3B6OF8gY5AK0w/view?usp=drive_link" TargetMode="External"/><Relationship Id="rId1487" Type="http://schemas.openxmlformats.org/officeDocument/2006/relationships/hyperlink" Target="https://drive.google.com/file/d/1fUENaPvI5EGQBpB2AP1I0ESrESO08iWA/view?usp=drive_link" TargetMode="External"/><Relationship Id="rId1694" Type="http://schemas.openxmlformats.org/officeDocument/2006/relationships/hyperlink" Target="https://drive.google.com/file/d/18gvd1UBIqDir1Ui4hKFDzLdKhiyxJeTK/view?usp=drive_link" TargetMode="External"/><Relationship Id="rId717" Type="http://schemas.openxmlformats.org/officeDocument/2006/relationships/hyperlink" Target="https://drive.google.com/file/d/1N9brwHmFW_PdvPj4vWj5-JYfwZ_j8qxo/view?usp=drive_link" TargetMode="External"/><Relationship Id="rId924" Type="http://schemas.openxmlformats.org/officeDocument/2006/relationships/hyperlink" Target="https://drive.google.com/file/d/1N22qwC0vrqCOzXJ46mu1iA931nPdVUdV/view?usp=drive_link" TargetMode="External"/><Relationship Id="rId1347" Type="http://schemas.openxmlformats.org/officeDocument/2006/relationships/hyperlink" Target="https://drive.google.com/file/d/1PBCEYtD7A6r3bmKeU8hWJH7w8BXVVzH1/view" TargetMode="External"/><Relationship Id="rId1554" Type="http://schemas.openxmlformats.org/officeDocument/2006/relationships/hyperlink" Target="https://drive.google.com/file/d/13q2lrMXyrD-jFwOUSAmyXAyHguPjfyop/view?usp=drive_link" TargetMode="External"/><Relationship Id="rId1761" Type="http://schemas.openxmlformats.org/officeDocument/2006/relationships/hyperlink" Target="https://drive.google.com/file/d/1oxqPS_1tBA-gVsLfO5IQXOGLDroKN7-w/view?usp=drive_link" TargetMode="External"/><Relationship Id="rId1999" Type="http://schemas.openxmlformats.org/officeDocument/2006/relationships/hyperlink" Target="https://drive.google.com/file/d/1AoH0Y4ciTRcsU5X6S4aZ3HZiPs325E2e/view?usp=drive_link" TargetMode="External"/><Relationship Id="rId53" Type="http://schemas.openxmlformats.org/officeDocument/2006/relationships/hyperlink" Target="https://drive.google.com/file/d/1iggJgkxEIi33_uzKlp_ENRo47YLn90I8/view" TargetMode="External"/><Relationship Id="rId1207" Type="http://schemas.openxmlformats.org/officeDocument/2006/relationships/hyperlink" Target="https://drive.google.com/file/d/1JSFImQsE-aSNBi1_XGaeHY1TM31sTpH0/view?usp=drive_link" TargetMode="External"/><Relationship Id="rId1414" Type="http://schemas.openxmlformats.org/officeDocument/2006/relationships/hyperlink" Target="https://drive.google.com/file/d/1IobvhS63KW7w3xiQvQNpxHjV7ZiZaVbc/view?usp=drive_link" TargetMode="External"/><Relationship Id="rId1621" Type="http://schemas.openxmlformats.org/officeDocument/2006/relationships/hyperlink" Target="https://drive.google.com/file/d/1jjzR1RyL3evEhn3RbMY2vgThzWgq-fJN/view" TargetMode="External"/><Relationship Id="rId1859" Type="http://schemas.openxmlformats.org/officeDocument/2006/relationships/hyperlink" Target="https://drive.google.com/file/d/1DZ00kl6N0YvT2ZAXdhcx9VQ5hnPKYmSP/view?usp=drive_link" TargetMode="External"/><Relationship Id="rId1719" Type="http://schemas.openxmlformats.org/officeDocument/2006/relationships/hyperlink" Target="https://drive.google.com/file/d/1U_VfOs-qUWoEMVHPtt9sq2AZH--X8AwT/view?usp=drive_link" TargetMode="External"/><Relationship Id="rId1926" Type="http://schemas.openxmlformats.org/officeDocument/2006/relationships/hyperlink" Target="https://drive.google.com/file/d/1-kULF92O7kA2Vy-9i1BZzi1_0bIC323S/view?usp=drive_link" TargetMode="External"/><Relationship Id="rId367" Type="http://schemas.openxmlformats.org/officeDocument/2006/relationships/hyperlink" Target="https://drive.google.com/file/d/1DE97kviXT-3hj-mPkqohYwgjer1eZUEt/view?usp=drive_link" TargetMode="External"/><Relationship Id="rId574" Type="http://schemas.openxmlformats.org/officeDocument/2006/relationships/hyperlink" Target="https://drive.google.com/file/d/1XM56ViSsm-28H781ilJpgfRH-h3HxQCr/view" TargetMode="External"/><Relationship Id="rId2048" Type="http://schemas.openxmlformats.org/officeDocument/2006/relationships/hyperlink" Target="https://drive.google.com/file/d/1TDJpApdYNq3AlENLBb73U5oWwKK28DF1/view?usp=drive_link" TargetMode="External"/><Relationship Id="rId227" Type="http://schemas.openxmlformats.org/officeDocument/2006/relationships/hyperlink" Target="https://drive.google.com/file/d/1fD7AWmASsFIlXlxUeMDyf0RwmeJ-UJ8T/view" TargetMode="External"/><Relationship Id="rId781" Type="http://schemas.openxmlformats.org/officeDocument/2006/relationships/hyperlink" Target="https://drive.google.com/file/d/1SVtLDrCgd-EGMvj8P0ZCjolJ1bcQnWdH/view?usp=drive_link" TargetMode="External"/><Relationship Id="rId879" Type="http://schemas.openxmlformats.org/officeDocument/2006/relationships/hyperlink" Target="https://drive.google.com/file/d/1UDZ3DSBMcsK5rQzLJk4M0--CngCzKop9/view?usp=drive_link" TargetMode="External"/><Relationship Id="rId434" Type="http://schemas.openxmlformats.org/officeDocument/2006/relationships/hyperlink" Target="https://drive.google.com/file/d/1l032NhkgI8VXW1YdwE6IVXJ95axS_1_N/view?usp=drive_link" TargetMode="External"/><Relationship Id="rId641" Type="http://schemas.openxmlformats.org/officeDocument/2006/relationships/hyperlink" Target="https://drive.google.com/file/d/1jRWn6nkUc6PyzKFIrav2bztHDn61jQYs/view" TargetMode="External"/><Relationship Id="rId739" Type="http://schemas.openxmlformats.org/officeDocument/2006/relationships/hyperlink" Target="https://drive.google.com/file/d/1ObN57YJNOg65CaDV-I6Uf3vEwf4ffCFW/view?usp=drive_link" TargetMode="External"/><Relationship Id="rId1064" Type="http://schemas.openxmlformats.org/officeDocument/2006/relationships/hyperlink" Target="https://drive.google.com/file/d/1lHsS9HToAAkVgzUpu0SvP6Q74MdwpNaD/view?usp=drive_link" TargetMode="External"/><Relationship Id="rId1271" Type="http://schemas.openxmlformats.org/officeDocument/2006/relationships/hyperlink" Target="https://drive.google.com/file/d/18HTGOY9i7bxWMrMLMgWvctC0TQbGDm_d/view?usp=drive_link" TargetMode="External"/><Relationship Id="rId1369" Type="http://schemas.openxmlformats.org/officeDocument/2006/relationships/hyperlink" Target="https://drive.google.com/file/d/10HQlUfuCM9rvKh755NA9pHKofaluje0o/view" TargetMode="External"/><Relationship Id="rId1576" Type="http://schemas.openxmlformats.org/officeDocument/2006/relationships/hyperlink" Target="https://drive.google.com/file/d/1ruM5f-JPXrFoNb6xNaz40ic4CGr2kGvK/view" TargetMode="External"/><Relationship Id="rId501" Type="http://schemas.openxmlformats.org/officeDocument/2006/relationships/hyperlink" Target="https://drive.google.com/file/d/1E_lw9TkbspjWKBlfCTRgy2po44C1TCJP/view?usp=drive_link" TargetMode="External"/><Relationship Id="rId946" Type="http://schemas.openxmlformats.org/officeDocument/2006/relationships/hyperlink" Target="https://drive.google.com/file/d/1C77z3tm5EXrMVDwQXL6nGlcUbobUc3K6/view" TargetMode="External"/><Relationship Id="rId1131" Type="http://schemas.openxmlformats.org/officeDocument/2006/relationships/hyperlink" Target="https://drive.google.com/file/d/1De6vO_A2TlUNz8pj1sCUy_mHHl1A_xUW/view" TargetMode="External"/><Relationship Id="rId1229" Type="http://schemas.openxmlformats.org/officeDocument/2006/relationships/hyperlink" Target="https://drive.google.com/file/d/1wFL1KQ-QVw5hSLZv1AF-r-UdMul7WJMk/view?usp=drive_link" TargetMode="External"/><Relationship Id="rId1783" Type="http://schemas.openxmlformats.org/officeDocument/2006/relationships/hyperlink" Target="https://drive.google.com/file/d/1qZSXHwjD6UiZLiCnVCCPpTfeEZz74aAs/view" TargetMode="External"/><Relationship Id="rId1990" Type="http://schemas.openxmlformats.org/officeDocument/2006/relationships/hyperlink" Target="https://drive.google.com/file/d/197Upk1lRbxo1iH4nl3_asxDxnnQz-xvq/view" TargetMode="External"/><Relationship Id="rId75" Type="http://schemas.openxmlformats.org/officeDocument/2006/relationships/hyperlink" Target="https://drive.google.com/file/d/14_e23Fks39g6eB6scWs8oJVkvBf-w1QV/view" TargetMode="External"/><Relationship Id="rId806" Type="http://schemas.openxmlformats.org/officeDocument/2006/relationships/hyperlink" Target="https://drive.google.com/file/d/1fVGTywNnBvbe_-XZ6i9qc-4BCJw5nmT1/view?usp=drive_link" TargetMode="External"/><Relationship Id="rId1436" Type="http://schemas.openxmlformats.org/officeDocument/2006/relationships/hyperlink" Target="https://drive.google.com/file/d/1bB7YXERU6N6l2CgGXhfHlbgLBpqYC7xS/view?usp=drive_link" TargetMode="External"/><Relationship Id="rId1643" Type="http://schemas.openxmlformats.org/officeDocument/2006/relationships/hyperlink" Target="https://drive.google.com/file/d/1P8dv2yDVWK28813AIv4m4F9tgxPrdqDO/view" TargetMode="External"/><Relationship Id="rId1850" Type="http://schemas.openxmlformats.org/officeDocument/2006/relationships/hyperlink" Target="https://drive.google.com/file/d/18smY9gvWxQDfgihbZYRWZ76-V_fFiVyk/view?usp=drive_link" TargetMode="External"/><Relationship Id="rId1503" Type="http://schemas.openxmlformats.org/officeDocument/2006/relationships/hyperlink" Target="https://drive.google.com/file/d/1W-gf0VbzbihbaBDbivu-eAIuFgmf1g2H/view?usp=drive_link" TargetMode="External"/><Relationship Id="rId1710" Type="http://schemas.openxmlformats.org/officeDocument/2006/relationships/hyperlink" Target="https://drive.google.com/file/d/1hqFUNz-YrJL1D-KF62ciGzKLn0jl5v4Y/view?usp=drive_link" TargetMode="External"/><Relationship Id="rId1948" Type="http://schemas.openxmlformats.org/officeDocument/2006/relationships/hyperlink" Target="https://drive.google.com/file/d/1QZ18QaTmJF4nT-dAtMgJlTUA-K3sOYAQ/view?usp=drive_link" TargetMode="External"/><Relationship Id="rId291" Type="http://schemas.openxmlformats.org/officeDocument/2006/relationships/hyperlink" Target="https://drive.google.com/file/d/1N4Zo1nyoTRwV-8yeADEdYoewjbxnID-Z/view" TargetMode="External"/><Relationship Id="rId1808" Type="http://schemas.openxmlformats.org/officeDocument/2006/relationships/hyperlink" Target="https://drive.google.com/file/d/1FRRXo6J4o4AZtg9BHSw3llGraq7T31kv/view?usp=drive_link" TargetMode="External"/><Relationship Id="rId151" Type="http://schemas.openxmlformats.org/officeDocument/2006/relationships/hyperlink" Target="https://drive.google.com/file/d/1PN5QKrWfuLNLtg-y5ctP3wPnqv2s1Rlm/view" TargetMode="External"/><Relationship Id="rId389" Type="http://schemas.openxmlformats.org/officeDocument/2006/relationships/hyperlink" Target="https://drive.google.com/file/d/1j2tLIzNNUoZkZ243oPB10Uwaw2b3_A58/view?usp=drive_link" TargetMode="External"/><Relationship Id="rId596" Type="http://schemas.openxmlformats.org/officeDocument/2006/relationships/hyperlink" Target="https://drive.google.com/file/d/12FCTiQHROItKTuE1paH0D-F5NmHrtpx8/view" TargetMode="External"/><Relationship Id="rId249" Type="http://schemas.openxmlformats.org/officeDocument/2006/relationships/hyperlink" Target="https://drive.google.com/file/d/1Ri-YAEWJjvz1PE2D5W_tY9aB0o-kD3Cx/view" TargetMode="External"/><Relationship Id="rId456" Type="http://schemas.openxmlformats.org/officeDocument/2006/relationships/hyperlink" Target="https://drive.google.com/file/d/1XZELMJDN7oiWnhqZnzMAEUGGr7oqakya/view?usp=drive_link" TargetMode="External"/><Relationship Id="rId663" Type="http://schemas.openxmlformats.org/officeDocument/2006/relationships/hyperlink" Target="https://drive.google.com/file/d/1q4cCVCNG__x2eJpAiRLTqR7FTiIzCqW_/view" TargetMode="External"/><Relationship Id="rId870" Type="http://schemas.openxmlformats.org/officeDocument/2006/relationships/hyperlink" Target="https://drive.google.com/file/d/1rOTt3bC6ZLN5P-SA_JVctRcIj9J1mxVr/view?usp=drive_link" TargetMode="External"/><Relationship Id="rId1086" Type="http://schemas.openxmlformats.org/officeDocument/2006/relationships/hyperlink" Target="https://drive.google.com/file/d/1bSZghuFPNMDy724R2VmzwB1Jr2rl9y3T/view?usp=drive_link" TargetMode="External"/><Relationship Id="rId1293" Type="http://schemas.openxmlformats.org/officeDocument/2006/relationships/hyperlink" Target="https://drive.google.com/file/d/19aGB7slFQPfIgI387xmUjRUwIeJi_fXB/view?usp=drive_link" TargetMode="External"/><Relationship Id="rId109" Type="http://schemas.openxmlformats.org/officeDocument/2006/relationships/hyperlink" Target="https://drive.google.com/file/d/1OnwdPVGGVlXHeDo0NSoyMOqv2DdSXlPD/view" TargetMode="External"/><Relationship Id="rId316" Type="http://schemas.openxmlformats.org/officeDocument/2006/relationships/hyperlink" Target="https://drive.google.com/file/d/1p2iUJtng5C_UXPw0fI_hg5oznXFeBhpI/view" TargetMode="External"/><Relationship Id="rId523" Type="http://schemas.openxmlformats.org/officeDocument/2006/relationships/hyperlink" Target="https://drive.google.com/file/d/1tQyDFiR7dq4GijMcq4Q92uVh9nI1y4mw/view" TargetMode="External"/><Relationship Id="rId968" Type="http://schemas.openxmlformats.org/officeDocument/2006/relationships/hyperlink" Target="https://drive.google.com/file/d/1dRnOElIobWmdZEkO8BRVE7TU1yvuxQXW/view?usp=drive_link" TargetMode="External"/><Relationship Id="rId1153" Type="http://schemas.openxmlformats.org/officeDocument/2006/relationships/hyperlink" Target="https://drive.google.com/file/d/1l1qtJWULZ9Ls8rKQ1VUw4meyuzKWs1jT/view?usp=drive_link" TargetMode="External"/><Relationship Id="rId1598" Type="http://schemas.openxmlformats.org/officeDocument/2006/relationships/hyperlink" Target="https://drive.google.com/file/d/1plIl4OwrTQiOuqIP5TrPp953bH0vUYQ-/view?usp=drive_link" TargetMode="External"/><Relationship Id="rId97" Type="http://schemas.openxmlformats.org/officeDocument/2006/relationships/hyperlink" Target="https://drive.google.com/file/d/1mjk5nvW4b1WflrBJK-EEPQRX1KlRm6e2/view" TargetMode="External"/><Relationship Id="rId730" Type="http://schemas.openxmlformats.org/officeDocument/2006/relationships/hyperlink" Target="https://drive.google.com/file/d/1hvQKcWIheA72v1UtBckv-ww6mLtFEX5e/view?usp=drive_link" TargetMode="External"/><Relationship Id="rId828" Type="http://schemas.openxmlformats.org/officeDocument/2006/relationships/hyperlink" Target="https://drive.google.com/file/d/12sTUZOMQU8Yb4ZMfjTWU89XE7G6Mx5fV/view?usp=drive_link" TargetMode="External"/><Relationship Id="rId1013" Type="http://schemas.openxmlformats.org/officeDocument/2006/relationships/hyperlink" Target="https://drive.google.com/file/d/1P8dv2yDVWK28813AIv4m4F9tgxPrdqDO/view" TargetMode="External"/><Relationship Id="rId1360" Type="http://schemas.openxmlformats.org/officeDocument/2006/relationships/hyperlink" Target="https://drive.google.com/file/d/1MQhooDZfb_a8dh1XjYQap8rFcmtl5opU/view" TargetMode="External"/><Relationship Id="rId1458" Type="http://schemas.openxmlformats.org/officeDocument/2006/relationships/hyperlink" Target="https://drive.google.com/file/d/1Zy0KiYSeP-PDs5KIIeeW5fsWj9p4nkja/view?usp=drive_link" TargetMode="External"/><Relationship Id="rId1665" Type="http://schemas.openxmlformats.org/officeDocument/2006/relationships/hyperlink" Target="https://drive.google.com/file/d/1ErzZnaGRbRgYHrCEwMv-7ly4fAk80jPD/view?usp=drive_link" TargetMode="External"/><Relationship Id="rId1872" Type="http://schemas.openxmlformats.org/officeDocument/2006/relationships/hyperlink" Target="https://drive.google.com/file/d/12tCRalajPMVE-onCQiXS7R_4zEPBFs_C/view?usp=drive_link" TargetMode="External"/><Relationship Id="rId1220" Type="http://schemas.openxmlformats.org/officeDocument/2006/relationships/hyperlink" Target="https://drive.google.com/file/d/1qRnd6QBDXGDZrXClC7fkscnVjqbMHsCo/view?usp=drive_link" TargetMode="External"/><Relationship Id="rId1318" Type="http://schemas.openxmlformats.org/officeDocument/2006/relationships/hyperlink" Target="https://drive.google.com/file/d/1xvK7oL2060tGjomnxIMM_vkytJCIFbUM/view" TargetMode="External"/><Relationship Id="rId1525" Type="http://schemas.openxmlformats.org/officeDocument/2006/relationships/hyperlink" Target="https://drive.google.com/file/d/1XjKaIIKxhd8oZqb19P6albr-80-RL-hK/view?usp=drive_link" TargetMode="External"/><Relationship Id="rId1732" Type="http://schemas.openxmlformats.org/officeDocument/2006/relationships/hyperlink" Target="https://drive.google.com/file/d/1eggsoLAPcrdATW-qSGgu_m3YksjLLiJO/view?usp=drive_link" TargetMode="External"/><Relationship Id="rId24" Type="http://schemas.openxmlformats.org/officeDocument/2006/relationships/hyperlink" Target="https://drive.google.com/file/d/1Xx52lP-CL3Mjgh7XgJuGe8OZtl_A0Kie/view" TargetMode="External"/><Relationship Id="rId173" Type="http://schemas.openxmlformats.org/officeDocument/2006/relationships/hyperlink" Target="https://drive.google.com/file/d/1ubpEtvc1oWuPQhwTMdh21fiJQLJ6YQjL/view" TargetMode="External"/><Relationship Id="rId380" Type="http://schemas.openxmlformats.org/officeDocument/2006/relationships/hyperlink" Target="https://drive.google.com/file/d/1eSxlhhtsJOyik_7Sfm5xJHDz0O_y42HO/view?usp=drive_link" TargetMode="External"/><Relationship Id="rId2061" Type="http://schemas.openxmlformats.org/officeDocument/2006/relationships/hyperlink" Target="https://drive.google.com/file/d/1PENkN1gZNt6kuWDXStzbi8Z0DiwcY8HX/view?usp=drive_link" TargetMode="External"/><Relationship Id="rId240" Type="http://schemas.openxmlformats.org/officeDocument/2006/relationships/hyperlink" Target="https://drive.google.com/file/d/1Ri-YAEWJjvz1PE2D5W_tY9aB0o-kD3Cx/view" TargetMode="External"/><Relationship Id="rId478" Type="http://schemas.openxmlformats.org/officeDocument/2006/relationships/hyperlink" Target="https://drive.google.com/file/d/1hmXY9RLSychgJTsAJz7iOoJsrTTIp1VT/view?usp=drive_link" TargetMode="External"/><Relationship Id="rId685" Type="http://schemas.openxmlformats.org/officeDocument/2006/relationships/hyperlink" Target="https://drive.google.com/file/d/1pVsRJ1dyo2hYWyHHI4kWWKMR6i84lDfX/view?usp=sharing" TargetMode="External"/><Relationship Id="rId892" Type="http://schemas.openxmlformats.org/officeDocument/2006/relationships/hyperlink" Target="https://drive.google.com/file/d/1bYy1Ayup9OPnx4Ey4guSJ9WrktD4_Ot6/view?usp=drive_link" TargetMode="External"/><Relationship Id="rId100" Type="http://schemas.openxmlformats.org/officeDocument/2006/relationships/hyperlink" Target="https://drive.google.com/file/d/1mjk5nvW4b1WflrBJK-EEPQRX1KlRm6e2/view" TargetMode="External"/><Relationship Id="rId338" Type="http://schemas.openxmlformats.org/officeDocument/2006/relationships/hyperlink" Target="https://drive.google.com/file/d/1hhxNGrt1RWUdQCNORiATApfV6dbwQHYv/view?usp=drive_link" TargetMode="External"/><Relationship Id="rId545" Type="http://schemas.openxmlformats.org/officeDocument/2006/relationships/hyperlink" Target="https://drive.google.com/file/d/1_9wvDD0xzarupnO-MkGQjPWkgNEleRMr/view" TargetMode="External"/><Relationship Id="rId752" Type="http://schemas.openxmlformats.org/officeDocument/2006/relationships/hyperlink" Target="https://drive.google.com/file/d/17_08NSWt7_gBt9GqJ59cc4phZ7kJIzsK/view?usp=drive_link" TargetMode="External"/><Relationship Id="rId1175" Type="http://schemas.openxmlformats.org/officeDocument/2006/relationships/hyperlink" Target="https://drive.google.com/file/d/1AjudEJfSeA5pObV4i_-2eZywBMH4FjUH/view" TargetMode="External"/><Relationship Id="rId1382" Type="http://schemas.openxmlformats.org/officeDocument/2006/relationships/hyperlink" Target="https://drive.google.com/file/d/1OXVVqgSOAs7Kf0OYXBLzBzLajLz35A4_/view?usp=drive_link" TargetMode="External"/><Relationship Id="rId2019" Type="http://schemas.openxmlformats.org/officeDocument/2006/relationships/hyperlink" Target="https://drive.google.com/file/d/1MQhooDZfb_a8dh1XjYQap8rFcmtl5opU/view" TargetMode="External"/><Relationship Id="rId405" Type="http://schemas.openxmlformats.org/officeDocument/2006/relationships/hyperlink" Target="https://drive.google.com/file/d/1d7EUl2nVrW2pVWhjsLWPCnuUAtvGF_0w/view?usp=drive_link" TargetMode="External"/><Relationship Id="rId612" Type="http://schemas.openxmlformats.org/officeDocument/2006/relationships/hyperlink" Target="https://drive.google.com/file/d/1y-Ocgzn3Ss07_HRVm38HZw507xBX9Q3K/view" TargetMode="External"/><Relationship Id="rId1035" Type="http://schemas.openxmlformats.org/officeDocument/2006/relationships/hyperlink" Target="https://drive.google.com/file/d/1rB6fHuIxGh5D4VZSJD6ZhvSpEbCfXrnN/view?usp=drive_link" TargetMode="External"/><Relationship Id="rId1242" Type="http://schemas.openxmlformats.org/officeDocument/2006/relationships/hyperlink" Target="https://drive.google.com/file/d/1g0qE64GhrUOttT19f46pAEKIpTihMBf3/view?usp=drive_link" TargetMode="External"/><Relationship Id="rId1687" Type="http://schemas.openxmlformats.org/officeDocument/2006/relationships/hyperlink" Target="https://drive.google.com/file/d/1YiebLoAQwQ3DDXk7k09Eme9jE5xzfvGC/view?usp=drive_link" TargetMode="External"/><Relationship Id="rId1894" Type="http://schemas.openxmlformats.org/officeDocument/2006/relationships/hyperlink" Target="https://drive.google.com/file/d/1oKDXnxtrdsnKiXx-rE-IOxBOcPslLQ0_/view?usp=drive_link" TargetMode="External"/><Relationship Id="rId917" Type="http://schemas.openxmlformats.org/officeDocument/2006/relationships/hyperlink" Target="https://drive.google.com/file/d/1XNlB-TCqjbu1MIFEoH3KzWJaFDA0h4Mr/view?usp=drive_link" TargetMode="External"/><Relationship Id="rId1102" Type="http://schemas.openxmlformats.org/officeDocument/2006/relationships/hyperlink" Target="https://drive.google.com/file/d/1XDJ17puSEKXRlcpoac80pcUkSirH5iqT/view?usp=drive_link" TargetMode="External"/><Relationship Id="rId1547" Type="http://schemas.openxmlformats.org/officeDocument/2006/relationships/hyperlink" Target="https://drive.google.com/file/d/13q2lrMXyrD-jFwOUSAmyXAyHguPjfyop/view?usp=drive_link" TargetMode="External"/><Relationship Id="rId1754" Type="http://schemas.openxmlformats.org/officeDocument/2006/relationships/hyperlink" Target="https://drive.google.com/file/d/1oGYK0VIxvZWojb4mGJZZsBVC1SfDMY6y/view?usp=drive_link" TargetMode="External"/><Relationship Id="rId1961" Type="http://schemas.openxmlformats.org/officeDocument/2006/relationships/hyperlink" Target="https://drive.google.com/file/d/1m_ZcOGPlgePKQ5iHcOHOG_LcxNkDkiJ-/view?usp=drive_link" TargetMode="External"/><Relationship Id="rId46" Type="http://schemas.openxmlformats.org/officeDocument/2006/relationships/hyperlink" Target="https://drive.google.com/file/d/1c3FBPHHZ7t7n-uvjJkQ1bEwKAXm0RkFQ/view" TargetMode="External"/><Relationship Id="rId1407" Type="http://schemas.openxmlformats.org/officeDocument/2006/relationships/hyperlink" Target="https://drive.google.com/file/d/1TDk98vxQ3RO5Vex4gTvzQ8srdHf8VMYQ/view?usp=drive_link" TargetMode="External"/><Relationship Id="rId1614" Type="http://schemas.openxmlformats.org/officeDocument/2006/relationships/hyperlink" Target="https://drive.google.com/file/d/1jjzR1RyL3evEhn3RbMY2vgThzWgq-fJN/view" TargetMode="External"/><Relationship Id="rId1821" Type="http://schemas.openxmlformats.org/officeDocument/2006/relationships/hyperlink" Target="https://drive.google.com/file/d/10RRCP9PqW1a0aXZkHVOxVr_hGOY01_Ce/view" TargetMode="External"/><Relationship Id="rId195" Type="http://schemas.openxmlformats.org/officeDocument/2006/relationships/hyperlink" Target="https://drive.google.com/file/d/1fD7AWmASsFIlXlxUeMDyf0RwmeJ-UJ8T/view" TargetMode="External"/><Relationship Id="rId1919" Type="http://schemas.openxmlformats.org/officeDocument/2006/relationships/hyperlink" Target="https://drive.google.com/file/d/1VU2oD951xXfxe0_lC75k2-XwxUlhDyj9/view?usp=drive_link" TargetMode="External"/><Relationship Id="rId2083" Type="http://schemas.openxmlformats.org/officeDocument/2006/relationships/vmlDrawing" Target="../drawings/vmlDrawing1.vml"/><Relationship Id="rId262" Type="http://schemas.openxmlformats.org/officeDocument/2006/relationships/hyperlink" Target="https://drive.google.com/file/d/17kFHEbF-AEDFcJjjgAoxnDoBUieKKDg3/view" TargetMode="External"/><Relationship Id="rId567" Type="http://schemas.openxmlformats.org/officeDocument/2006/relationships/hyperlink" Target="https://drive.google.com/file/d/1rhCvHfKmw2WQRnaHsokOte7r7Nl3uIJy/view" TargetMode="External"/><Relationship Id="rId1197" Type="http://schemas.openxmlformats.org/officeDocument/2006/relationships/hyperlink" Target="https://drive.google.com/file/d/11gAT3uSf6EhqY1gp7ESxBQx3ZJOIXz2O/view" TargetMode="External"/><Relationship Id="rId122" Type="http://schemas.openxmlformats.org/officeDocument/2006/relationships/hyperlink" Target="https://drive.google.com/file/d/19ZTyE2xeT2sZ01YGBhW0hDNK1zkOgzov/view" TargetMode="External"/><Relationship Id="rId774" Type="http://schemas.openxmlformats.org/officeDocument/2006/relationships/hyperlink" Target="https://drive.google.com/file/d/1SVtLDrCgd-EGMvj8P0ZCjolJ1bcQnWdH/view?usp=drive_link" TargetMode="External"/><Relationship Id="rId981" Type="http://schemas.openxmlformats.org/officeDocument/2006/relationships/hyperlink" Target="https://drive.google.com/file/d/1hU_NG6jWFnAFsctWfxIixSLdfdg-2vbM/view" TargetMode="External"/><Relationship Id="rId1057" Type="http://schemas.openxmlformats.org/officeDocument/2006/relationships/hyperlink" Target="https://drive.google.com/file/d/17TfQKd0Cd9yG2mhJV3bja_JAtLRy5Hq5/view?usp=drive_link" TargetMode="External"/><Relationship Id="rId2010" Type="http://schemas.openxmlformats.org/officeDocument/2006/relationships/hyperlink" Target="https://drive.google.com/file/d/1MQhooDZfb_a8dh1XjYQap8rFcmtl5opU/view" TargetMode="External"/><Relationship Id="rId427" Type="http://schemas.openxmlformats.org/officeDocument/2006/relationships/hyperlink" Target="https://drive.google.com/file/d/1l032NhkgI8VXW1YdwE6IVXJ95axS_1_N/view?usp=drive_link" TargetMode="External"/><Relationship Id="rId634" Type="http://schemas.openxmlformats.org/officeDocument/2006/relationships/hyperlink" Target="https://drive.google.com/file/d/1jRWn6nkUc6PyzKFIrav2bztHDn61jQYs/view" TargetMode="External"/><Relationship Id="rId841" Type="http://schemas.openxmlformats.org/officeDocument/2006/relationships/hyperlink" Target="https://drive.google.com/file/d/1q1S8kM3uWaJrbD9mRZ_cWxaj0alzeKgN/view?usp=drive_link" TargetMode="External"/><Relationship Id="rId1264" Type="http://schemas.openxmlformats.org/officeDocument/2006/relationships/hyperlink" Target="https://drive.google.com/file/d/1Fr7FnU1zhPXLqSCHSNAy1t-LB8P_O5uZ/view?usp=drive_link" TargetMode="External"/><Relationship Id="rId1471" Type="http://schemas.openxmlformats.org/officeDocument/2006/relationships/hyperlink" Target="https://drive.google.com/file/d/1ivqBk1OAmLirXhfrxLBzeUL_jJxegxDI/view?usp=drive_link" TargetMode="External"/><Relationship Id="rId1569" Type="http://schemas.openxmlformats.org/officeDocument/2006/relationships/hyperlink" Target="https://drive.google.com/file/d/1ruM5f-JPXrFoNb6xNaz40ic4CGr2kGvK/view" TargetMode="External"/><Relationship Id="rId701" Type="http://schemas.openxmlformats.org/officeDocument/2006/relationships/hyperlink" Target="https://drive.google.com/file/d/1N9brwHmFW_PdvPj4vWj5-JYfwZ_j8qxo/view?usp=drive_link" TargetMode="External"/><Relationship Id="rId939" Type="http://schemas.openxmlformats.org/officeDocument/2006/relationships/hyperlink" Target="https://drive.google.com/file/d/1C77z3tm5EXrMVDwQXL6nGlcUbobUc3K6/view" TargetMode="External"/><Relationship Id="rId1124" Type="http://schemas.openxmlformats.org/officeDocument/2006/relationships/hyperlink" Target="https://drive.google.com/file/d/1De6vO_A2TlUNz8pj1sCUy_mHHl1A_xUW/view" TargetMode="External"/><Relationship Id="rId1331" Type="http://schemas.openxmlformats.org/officeDocument/2006/relationships/hyperlink" Target="https://drive.google.com/file/d/1zGDlAkBICsrR-ZMduYzZLDdRYy5sHjtH/view?usp=drive_link" TargetMode="External"/><Relationship Id="rId1776" Type="http://schemas.openxmlformats.org/officeDocument/2006/relationships/hyperlink" Target="https://drive.google.com/file/d/1Q6MU9kG1fczWg0z99j87JV0I8dZyJDIP/view" TargetMode="External"/><Relationship Id="rId1983" Type="http://schemas.openxmlformats.org/officeDocument/2006/relationships/hyperlink" Target="https://drive.google.com/file/d/197Upk1lRbxo1iH4nl3_asxDxnnQz-xvq/view" TargetMode="External"/><Relationship Id="rId68" Type="http://schemas.openxmlformats.org/officeDocument/2006/relationships/hyperlink" Target="https://drive.google.com/file/d/16ZFwzklgzbqlTBk2PblSupsG8QWIVKhr/view" TargetMode="External"/><Relationship Id="rId1429" Type="http://schemas.openxmlformats.org/officeDocument/2006/relationships/hyperlink" Target="https://drive.google.com/file/d/1FFvziYQynsq9IGYLQaJ37iQbYGYyI7tt/view?usp=drive_link" TargetMode="External"/><Relationship Id="rId1636" Type="http://schemas.openxmlformats.org/officeDocument/2006/relationships/hyperlink" Target="https://drive.google.com/file/d/1jjzR1RyL3evEhn3RbMY2vgThzWgq-fJN/view" TargetMode="External"/><Relationship Id="rId1843" Type="http://schemas.openxmlformats.org/officeDocument/2006/relationships/hyperlink" Target="https://drive.google.com/file/d/11gAT3uSf6EhqY1gp7ESxBQx3ZJOIXz2O/view" TargetMode="External"/><Relationship Id="rId1703" Type="http://schemas.openxmlformats.org/officeDocument/2006/relationships/hyperlink" Target="https://drive.google.com/file/d/1hqFUNz-YrJL1D-KF62ciGzKLn0jl5v4Y/view?usp=drive_link" TargetMode="External"/><Relationship Id="rId1910" Type="http://schemas.openxmlformats.org/officeDocument/2006/relationships/hyperlink" Target="https://drive.google.com/file/d/1VU2oD951xXfxe0_lC75k2-XwxUlhDyj9/view?usp=drive_link" TargetMode="External"/><Relationship Id="rId284" Type="http://schemas.openxmlformats.org/officeDocument/2006/relationships/hyperlink" Target="https://drive.google.com/file/d/1p2iUJtng5C_UXPw0fI_hg5oznXFeBhpI/view" TargetMode="External"/><Relationship Id="rId491" Type="http://schemas.openxmlformats.org/officeDocument/2006/relationships/hyperlink" Target="https://drive.google.com/file/d/1E_lw9TkbspjWKBlfCTRgy2po44C1TCJP/view?usp=drive_link" TargetMode="External"/><Relationship Id="rId144" Type="http://schemas.openxmlformats.org/officeDocument/2006/relationships/hyperlink" Target="https://drive.google.com/file/d/11ckN00HUeGC8mZ4NTbuNo3XBAKRafCzJ/view" TargetMode="External"/><Relationship Id="rId589" Type="http://schemas.openxmlformats.org/officeDocument/2006/relationships/hyperlink" Target="https://drive.google.com/file/d/1TkkF924YYfv_46cDxUoc3DW_cdMcch42/view" TargetMode="External"/><Relationship Id="rId796" Type="http://schemas.openxmlformats.org/officeDocument/2006/relationships/hyperlink" Target="https://drive.google.com/file/d/1a0Y0yLRRfNYWEbl7hjxRwwCR8iQ52iEa/view?usp=drive_link" TargetMode="External"/><Relationship Id="rId351" Type="http://schemas.openxmlformats.org/officeDocument/2006/relationships/hyperlink" Target="https://drive.google.com/file/d/1LSdEMIAx0nOnLCMaT-0CJD9nxONTEfbb/view?usp=drive_link" TargetMode="External"/><Relationship Id="rId449" Type="http://schemas.openxmlformats.org/officeDocument/2006/relationships/hyperlink" Target="https://drive.google.com/file/d/1XZELMJDN7oiWnhqZnzMAEUGGr7oqakya/view?usp=drive_link" TargetMode="External"/><Relationship Id="rId656" Type="http://schemas.openxmlformats.org/officeDocument/2006/relationships/hyperlink" Target="https://drive.google.com/file/d/1q4cCVCNG__x2eJpAiRLTqR7FTiIzCqW_/view" TargetMode="External"/><Relationship Id="rId863" Type="http://schemas.openxmlformats.org/officeDocument/2006/relationships/hyperlink" Target="https://drive.google.com/file/d/1rOTt3bC6ZLN5P-SA_JVctRcIj9J1mxVr/view?usp=drive_link" TargetMode="External"/><Relationship Id="rId1079" Type="http://schemas.openxmlformats.org/officeDocument/2006/relationships/hyperlink" Target="https://drive.google.com/file/d/1LGG-xHMY2FIvsrUQHdBsimZyc6oVwUHI/view?usp=drive_link" TargetMode="External"/><Relationship Id="rId1286" Type="http://schemas.openxmlformats.org/officeDocument/2006/relationships/hyperlink" Target="https://drive.google.com/file/d/1_yjMQo6gzbHLiIya48Wdfww-Xb1eVGfK/view?usp=drive_link" TargetMode="External"/><Relationship Id="rId1493" Type="http://schemas.openxmlformats.org/officeDocument/2006/relationships/hyperlink" Target="https://drive.google.com/file/d/1nd2LuxXC_tnKKOUoZp-2rCmz6m31uExe/view?usp=drive_link" TargetMode="External"/><Relationship Id="rId2032" Type="http://schemas.openxmlformats.org/officeDocument/2006/relationships/hyperlink" Target="https://drive.google.com/file/d/1MQhooDZfb_a8dh1XjYQap8rFcmtl5opU/view" TargetMode="External"/><Relationship Id="rId211" Type="http://schemas.openxmlformats.org/officeDocument/2006/relationships/hyperlink" Target="https://drive.google.com/file/d/1Ri-YAEWJjvz1PE2D5W_tY9aB0o-kD3Cx/view" TargetMode="External"/><Relationship Id="rId309" Type="http://schemas.openxmlformats.org/officeDocument/2006/relationships/hyperlink" Target="https://drive.google.com/file/d/1u7fyxEhz5ZBdqEUOis7aQ3eZaoNHO5t6/view" TargetMode="External"/><Relationship Id="rId516" Type="http://schemas.openxmlformats.org/officeDocument/2006/relationships/hyperlink" Target="https://drive.google.com/file/d/1zxbs_azC4N6-X3OZD0Sz6VP6Xjewm9-8/view" TargetMode="External"/><Relationship Id="rId1146" Type="http://schemas.openxmlformats.org/officeDocument/2006/relationships/hyperlink" Target="https://drive.google.com/file/d/1gB5Fi3nL6FCTnmd91Ei3_QQJ9QXEVQuG/view" TargetMode="External"/><Relationship Id="rId1798" Type="http://schemas.openxmlformats.org/officeDocument/2006/relationships/hyperlink" Target="https://drive.google.com/file/d/1-9vqHAxMY7EOdGCf_1JiVVh1sMtEsHwD/view?usp=drive_link" TargetMode="External"/><Relationship Id="rId723" Type="http://schemas.openxmlformats.org/officeDocument/2006/relationships/hyperlink" Target="https://drive.google.com/file/d/1hvQKcWIheA72v1UtBckv-ww6mLtFEX5e/view?usp=drive_link" TargetMode="External"/><Relationship Id="rId930" Type="http://schemas.openxmlformats.org/officeDocument/2006/relationships/hyperlink" Target="https://drive.google.com/file/d/1N22qwC0vrqCOzXJ46mu1iA931nPdVUdV/view?usp=drive_link" TargetMode="External"/><Relationship Id="rId1006" Type="http://schemas.openxmlformats.org/officeDocument/2006/relationships/hyperlink" Target="https://drive.google.com/file/d/1P8dv2yDVWK28813AIv4m4F9tgxPrdqDO/view" TargetMode="External"/><Relationship Id="rId1353" Type="http://schemas.openxmlformats.org/officeDocument/2006/relationships/hyperlink" Target="https://drive.google.com/file/d/1MQhooDZfb_a8dh1XjYQap8rFcmtl5opU/view" TargetMode="External"/><Relationship Id="rId1560" Type="http://schemas.openxmlformats.org/officeDocument/2006/relationships/hyperlink" Target="https://drive.google.com/file/d/1xxrE3LPgzlDH2hVcRgO9_8Tj9dwrwVwk/view?usp=drive_link" TargetMode="External"/><Relationship Id="rId1658" Type="http://schemas.openxmlformats.org/officeDocument/2006/relationships/hyperlink" Target="https://drive.google.com/file/d/1nRiloij6wjknh-vdXufPMtF9ywgwSqpI/view?usp=drive_link" TargetMode="External"/><Relationship Id="rId1865" Type="http://schemas.openxmlformats.org/officeDocument/2006/relationships/hyperlink" Target="https://drive.google.com/file/d/12tCRalajPMVE-onCQiXS7R_4zEPBFs_C/view?usp=drive_link" TargetMode="External"/><Relationship Id="rId1213" Type="http://schemas.openxmlformats.org/officeDocument/2006/relationships/hyperlink" Target="https://drive.google.com/file/d/1JSFImQsE-aSNBi1_XGaeHY1TM31sTpH0/view?usp=drive_link" TargetMode="External"/><Relationship Id="rId1420" Type="http://schemas.openxmlformats.org/officeDocument/2006/relationships/hyperlink" Target="https://drive.google.com/file/d/1FFvziYQynsq9IGYLQaJ37iQbYGYyI7tt/view?usp=drive_link" TargetMode="External"/><Relationship Id="rId1518" Type="http://schemas.openxmlformats.org/officeDocument/2006/relationships/hyperlink" Target="https://drive.google.com/file/d/1_Jil7Wkfj5WOP-6FE-VdY7qc0mLZ5DUM/view?usp=drive_link" TargetMode="External"/><Relationship Id="rId1725" Type="http://schemas.openxmlformats.org/officeDocument/2006/relationships/hyperlink" Target="https://drive.google.com/file/d/1eggsoLAPcrdATW-qSGgu_m3YksjLLiJO/view?usp=drive_link" TargetMode="External"/><Relationship Id="rId1932" Type="http://schemas.openxmlformats.org/officeDocument/2006/relationships/hyperlink" Target="https://drive.google.com/file/d/1862llNXCy3_gI0LM41mc5JpDXdHEOV2P/view?usp=drive_link" TargetMode="External"/><Relationship Id="rId17" Type="http://schemas.openxmlformats.org/officeDocument/2006/relationships/hyperlink" Target="https://drive.google.com/file/d/1Ri-YAEWJjvz1PE2D5W_tY9aB0o-kD3Cx/view" TargetMode="External"/><Relationship Id="rId166" Type="http://schemas.openxmlformats.org/officeDocument/2006/relationships/hyperlink" Target="https://drive.google.com/file/d/1cGFZl0t3lci1ilX5gjjOKnRFdDklY_8G/view" TargetMode="External"/><Relationship Id="rId373" Type="http://schemas.openxmlformats.org/officeDocument/2006/relationships/hyperlink" Target="https://drive.google.com/file/d/1-uqOeguQnsVTKjN4CUm_DKAjRsf3GvNl/view?usp=drive_link" TargetMode="External"/><Relationship Id="rId580" Type="http://schemas.openxmlformats.org/officeDocument/2006/relationships/hyperlink" Target="https://drive.google.com/file/d/1XM56ViSsm-28H781ilJpgfRH-h3HxQCr/view" TargetMode="External"/><Relationship Id="rId2054" Type="http://schemas.openxmlformats.org/officeDocument/2006/relationships/hyperlink" Target="https://drive.google.com/file/d/1TDJpApdYNq3AlENLBb73U5oWwKK28DF1/view?usp=drive_link" TargetMode="External"/><Relationship Id="rId1" Type="http://schemas.openxmlformats.org/officeDocument/2006/relationships/hyperlink" Target="https://drive.google.com/file/d/1N4Zo1nyoTRwV-8yeADEdYoewjbxnID-Z/view" TargetMode="External"/><Relationship Id="rId233" Type="http://schemas.openxmlformats.org/officeDocument/2006/relationships/hyperlink" Target="https://drive.google.com/file/d/1fD7AWmASsFIlXlxUeMDyf0RwmeJ-UJ8T/view" TargetMode="External"/><Relationship Id="rId440" Type="http://schemas.openxmlformats.org/officeDocument/2006/relationships/hyperlink" Target="https://drive.google.com/file/d/1iRpGkfGlUpy_9sZc0sYjyX4pKKrv-yKh/view?usp=drive_link" TargetMode="External"/><Relationship Id="rId678" Type="http://schemas.openxmlformats.org/officeDocument/2006/relationships/hyperlink" Target="https://drive.google.com/file/d/1TkkF924YYfv_46cDxUoc3DW_cdMcch42/view" TargetMode="External"/><Relationship Id="rId885" Type="http://schemas.openxmlformats.org/officeDocument/2006/relationships/hyperlink" Target="https://drive.google.com/file/d/1UDZ3DSBMcsK5rQzLJk4M0--CngCzKop9/view?usp=drive_link" TargetMode="External"/><Relationship Id="rId1070" Type="http://schemas.openxmlformats.org/officeDocument/2006/relationships/hyperlink" Target="https://drive.google.com/file/d/1lHsS9HToAAkVgzUpu0SvP6Q74MdwpNaD/view?usp=drive_link" TargetMode="External"/><Relationship Id="rId300" Type="http://schemas.openxmlformats.org/officeDocument/2006/relationships/hyperlink" Target="https://drive.google.com/file/d/1N4Zo1nyoTRwV-8yeADEdYoewjbxnID-Z/view" TargetMode="External"/><Relationship Id="rId538" Type="http://schemas.openxmlformats.org/officeDocument/2006/relationships/hyperlink" Target="https://drive.google.com/file/d/1KD8Xfrs6ZPDDeNsgaKv-b1oJyOORtcmH/view" TargetMode="External"/><Relationship Id="rId745" Type="http://schemas.openxmlformats.org/officeDocument/2006/relationships/hyperlink" Target="https://drive.google.com/file/d/17_08NSWt7_gBt9GqJ59cc4phZ7kJIzsK/view?usp=drive_link" TargetMode="External"/><Relationship Id="rId952" Type="http://schemas.openxmlformats.org/officeDocument/2006/relationships/hyperlink" Target="https://drive.google.com/file/d/1Ea4IsWWBHCZ29uRy7Zxp0SvMnOmdjCvn/view" TargetMode="External"/><Relationship Id="rId1168" Type="http://schemas.openxmlformats.org/officeDocument/2006/relationships/hyperlink" Target="https://drive.google.com/file/d/1AjudEJfSeA5pObV4i_-2eZywBMH4FjUH/view" TargetMode="External"/><Relationship Id="rId1375" Type="http://schemas.openxmlformats.org/officeDocument/2006/relationships/hyperlink" Target="https://drive.google.com/file/d/10HQlUfuCM9rvKh755NA9pHKofaluje0o/view" TargetMode="External"/><Relationship Id="rId1582" Type="http://schemas.openxmlformats.org/officeDocument/2006/relationships/hyperlink" Target="https://drive.google.com/file/d/1N6JLvInqt6UGVAo8jpPfLxV1anlM3LhC/view" TargetMode="External"/><Relationship Id="rId81" Type="http://schemas.openxmlformats.org/officeDocument/2006/relationships/hyperlink" Target="https://drive.google.com/file/d/1Xx52lP-CL3Mjgh7XgJuGe8OZtl_A0Kie/view" TargetMode="External"/><Relationship Id="rId605" Type="http://schemas.openxmlformats.org/officeDocument/2006/relationships/hyperlink" Target="https://drive.google.com/file/d/12FCTiQHROItKTuE1paH0D-F5NmHrtpx8/view" TargetMode="External"/><Relationship Id="rId812" Type="http://schemas.openxmlformats.org/officeDocument/2006/relationships/hyperlink" Target="https://drive.google.com/file/d/1fVGTywNnBvbe_-XZ6i9qc-4BCJw5nmT1/view?usp=drive_link" TargetMode="External"/><Relationship Id="rId1028" Type="http://schemas.openxmlformats.org/officeDocument/2006/relationships/hyperlink" Target="https://drive.google.com/file/d/1rB6fHuIxGh5D4VZSJD6ZhvSpEbCfXrnN/view?usp=drive_link" TargetMode="External"/><Relationship Id="rId1235" Type="http://schemas.openxmlformats.org/officeDocument/2006/relationships/hyperlink" Target="https://drive.google.com/file/d/1wFL1KQ-QVw5hSLZv1AF-r-UdMul7WJMk/view?usp=drive_link" TargetMode="External"/><Relationship Id="rId1442" Type="http://schemas.openxmlformats.org/officeDocument/2006/relationships/hyperlink" Target="https://drive.google.com/file/d/1nxqhANLSmBJ-olV0_wGYRyXJpm4XiNGD/view?usp=drive_link" TargetMode="External"/><Relationship Id="rId1887" Type="http://schemas.openxmlformats.org/officeDocument/2006/relationships/hyperlink" Target="https://drive.google.com/file/d/1Si-fSzjLqtub6Ffxa9vP4q5-r_GljdPA/view?usp=drive_link" TargetMode="External"/><Relationship Id="rId1302" Type="http://schemas.openxmlformats.org/officeDocument/2006/relationships/hyperlink" Target="https://drive.google.com/file/d/19aGB7slFQPfIgI387xmUjRUwIeJi_fXB/view?usp=drive_link" TargetMode="External"/><Relationship Id="rId1747" Type="http://schemas.openxmlformats.org/officeDocument/2006/relationships/hyperlink" Target="https://drive.google.com/file/d/1oGYK0VIxvZWojb4mGJZZsBVC1SfDMY6y/view?usp=drive_link" TargetMode="External"/><Relationship Id="rId1954" Type="http://schemas.openxmlformats.org/officeDocument/2006/relationships/hyperlink" Target="https://drive.google.com/file/d/1m_ZcOGPlgePKQ5iHcOHOG_LcxNkDkiJ-/view?usp=drive_link" TargetMode="External"/><Relationship Id="rId39" Type="http://schemas.openxmlformats.org/officeDocument/2006/relationships/hyperlink" Target="https://drive.google.com/file/d/1erAewuQjYKuSzO2J7M_BGEAM7u-DEnI2/view" TargetMode="External"/><Relationship Id="rId1607" Type="http://schemas.openxmlformats.org/officeDocument/2006/relationships/hyperlink" Target="https://drive.google.com/file/d/1nvLtx1HJOnLb38HmGIORDb_hqRjZMsuK/view?usp=drive_link" TargetMode="External"/><Relationship Id="rId1814" Type="http://schemas.openxmlformats.org/officeDocument/2006/relationships/hyperlink" Target="https://drive.google.com/file/d/10RRCP9PqW1a0aXZkHVOxVr_hGOY01_Ce/view" TargetMode="External"/><Relationship Id="rId188" Type="http://schemas.openxmlformats.org/officeDocument/2006/relationships/hyperlink" Target="https://drive.google.com/file/d/1fD7AWmASsFIlXlxUeMDyf0RwmeJ-UJ8T/view" TargetMode="External"/><Relationship Id="rId395" Type="http://schemas.openxmlformats.org/officeDocument/2006/relationships/hyperlink" Target="https://drive.google.com/file/d/1j2tLIzNNUoZkZ243oPB10Uwaw2b3_A58/view?usp=drive_link" TargetMode="External"/><Relationship Id="rId2076" Type="http://schemas.openxmlformats.org/officeDocument/2006/relationships/hyperlink" Target="https://drive.google.com/file/d/1W509JmdVlzeICueDgcivjNXJagqJa2qz/view?usp=drive_link" TargetMode="External"/><Relationship Id="rId255" Type="http://schemas.openxmlformats.org/officeDocument/2006/relationships/hyperlink" Target="https://drive.google.com/file/d/17kFHEbF-AEDFcJjjgAoxnDoBUieKKDg3/view" TargetMode="External"/><Relationship Id="rId462" Type="http://schemas.openxmlformats.org/officeDocument/2006/relationships/hyperlink" Target="https://drive.google.com/file/d/1CGnDxWakVhMcyf3ArpxC0Xg8NB2NJ04m/view?usp=drive_link" TargetMode="External"/><Relationship Id="rId1092" Type="http://schemas.openxmlformats.org/officeDocument/2006/relationships/hyperlink" Target="https://drive.google.com/file/d/1bSZghuFPNMDy724R2VmzwB1Jr2rl9y3T/view?usp=drive_link" TargetMode="External"/><Relationship Id="rId1397" Type="http://schemas.openxmlformats.org/officeDocument/2006/relationships/hyperlink" Target="https://drive.google.com/file/d/16iCRVZ9FIxsqJnxI634PDZC4GeoM1QjJ/view?usp=drive_link" TargetMode="External"/><Relationship Id="rId115" Type="http://schemas.openxmlformats.org/officeDocument/2006/relationships/hyperlink" Target="https://drive.google.com/file/d/1davhSxDuZNhi5xMvx1qc6yUbp9a-alvk/view?usp=drive_link" TargetMode="External"/><Relationship Id="rId322" Type="http://schemas.openxmlformats.org/officeDocument/2006/relationships/hyperlink" Target="https://drive.google.com/file/d/1N4Zo1nyoTRwV-8yeADEdYoewjbxnID-Z/view?usp=drive_link" TargetMode="External"/><Relationship Id="rId767" Type="http://schemas.openxmlformats.org/officeDocument/2006/relationships/hyperlink" Target="https://drive.google.com/file/d/1xtKK1s6-PHzFzBwpapa8NlHm2NARujAZ/view?usp=drive_link" TargetMode="External"/><Relationship Id="rId974" Type="http://schemas.openxmlformats.org/officeDocument/2006/relationships/hyperlink" Target="https://drive.google.com/file/d/1dRnOElIobWmdZEkO8BRVE7TU1yvuxQXW/view?usp=drive_link" TargetMode="External"/><Relationship Id="rId2003" Type="http://schemas.openxmlformats.org/officeDocument/2006/relationships/hyperlink" Target="https://drive.google.com/file/d/1AoH0Y4ciTRcsU5X6S4aZ3HZiPs325E2e/view?usp=drive_link" TargetMode="External"/><Relationship Id="rId627" Type="http://schemas.openxmlformats.org/officeDocument/2006/relationships/hyperlink" Target="https://drive.google.com/file/d/1YYboHNgsShFzYyBHMkUoSzib7zJkM_P6/view" TargetMode="External"/><Relationship Id="rId834" Type="http://schemas.openxmlformats.org/officeDocument/2006/relationships/hyperlink" Target="https://drive.google.com/file/d/1q1S8kM3uWaJrbD9mRZ_cWxaj0alzeKgN/view?usp=drive_link" TargetMode="External"/><Relationship Id="rId1257" Type="http://schemas.openxmlformats.org/officeDocument/2006/relationships/hyperlink" Target="https://drive.google.com/file/d/1QSpwAu5G5jYzzAO2U4PsRnfbTsKxHd6s/view?usp=drive_link" TargetMode="External"/><Relationship Id="rId1464" Type="http://schemas.openxmlformats.org/officeDocument/2006/relationships/hyperlink" Target="https://drive.google.com/file/d/1YilrYlrEBR5j4gXQtSjyi1aNfDAiAnEu/view?usp=drive_link" TargetMode="External"/><Relationship Id="rId1671" Type="http://schemas.openxmlformats.org/officeDocument/2006/relationships/hyperlink" Target="https://drive.google.com/file/d/1ErzZnaGRbRgYHrCEwMv-7ly4fAk80jPD/view?usp=drive_link" TargetMode="External"/><Relationship Id="rId901" Type="http://schemas.openxmlformats.org/officeDocument/2006/relationships/hyperlink" Target="https://drive.google.com/file/d/1dMX3W21nvBkM9WPZUIo18OVNIoRxyreY/view?usp=drive_link" TargetMode="External"/><Relationship Id="rId1117" Type="http://schemas.openxmlformats.org/officeDocument/2006/relationships/hyperlink" Target="https://drive.google.com/file/d/1AWxAuRE6Vg50Zv6iozolSxiyZ-AwV82_/view?usp=drive_link" TargetMode="External"/><Relationship Id="rId1324" Type="http://schemas.openxmlformats.org/officeDocument/2006/relationships/hyperlink" Target="https://drive.google.com/file/d/1p6hIUtd-nvQqhm5QfcZ7_NmYe6thw_QN/view?usp=drive_link" TargetMode="External"/><Relationship Id="rId1531" Type="http://schemas.openxmlformats.org/officeDocument/2006/relationships/hyperlink" Target="https://drive.google.com/file/d/1XjKaIIKxhd8oZqb19P6albr-80-RL-hK/view?usp=drive_link" TargetMode="External"/><Relationship Id="rId1769" Type="http://schemas.openxmlformats.org/officeDocument/2006/relationships/hyperlink" Target="https://drive.google.com/file/d/1Q6MU9kG1fczWg0z99j87JV0I8dZyJDIP/view" TargetMode="External"/><Relationship Id="rId1976" Type="http://schemas.openxmlformats.org/officeDocument/2006/relationships/hyperlink" Target="https://drive.google.com/file/d/1La3JnRLTGosBhQtrjluRdPiS-rya-Lxf/view" TargetMode="External"/><Relationship Id="rId30" Type="http://schemas.openxmlformats.org/officeDocument/2006/relationships/hyperlink" Target="https://drive.google.com/file/d/1erAewuQjYKuSzO2J7M_BGEAM7u-DEnI2/view" TargetMode="External"/><Relationship Id="rId1629" Type="http://schemas.openxmlformats.org/officeDocument/2006/relationships/hyperlink" Target="https://drive.google.com/file/d/1jjzR1RyL3evEhn3RbMY2vgThzWgq-fJN/view" TargetMode="External"/><Relationship Id="rId1836" Type="http://schemas.openxmlformats.org/officeDocument/2006/relationships/hyperlink" Target="https://drive.google.com/file/d/11gAT3uSf6EhqY1gp7ESxBQx3ZJOIXz2O/view" TargetMode="External"/><Relationship Id="rId1903" Type="http://schemas.openxmlformats.org/officeDocument/2006/relationships/hyperlink" Target="https://drive.google.com/file/d/1EFP77JsHwvOLRKb7NL4f0-WTRLI4zmhV/view?usp=drive_link" TargetMode="External"/><Relationship Id="rId277" Type="http://schemas.openxmlformats.org/officeDocument/2006/relationships/hyperlink" Target="https://drive.google.com/file/d/1u7fyxEhz5ZBdqEUOis7aQ3eZaoNHO5t6/view" TargetMode="External"/><Relationship Id="rId484" Type="http://schemas.openxmlformats.org/officeDocument/2006/relationships/hyperlink" Target="https://drive.google.com/file/d/1hmXY9RLSychgJTsAJz7iOoJsrTTIp1VT/view?usp=drive_link" TargetMode="External"/><Relationship Id="rId137" Type="http://schemas.openxmlformats.org/officeDocument/2006/relationships/hyperlink" Target="https://drive.google.com/file/d/11ckN00HUeGC8mZ4NTbuNo3XBAKRafCzJ/view" TargetMode="External"/><Relationship Id="rId344" Type="http://schemas.openxmlformats.org/officeDocument/2006/relationships/hyperlink" Target="https://drive.google.com/file/d/1txs_xJtZSRV3s1r41GM6nzBz3ZapFemu/view?usp=drive_link" TargetMode="External"/><Relationship Id="rId691" Type="http://schemas.openxmlformats.org/officeDocument/2006/relationships/hyperlink" Target="https://drive.google.com/file/d/1a0Y0yLRRfNYWEbl7hjxRwwCR8iQ52iEa/view?usp=drive_link" TargetMode="External"/><Relationship Id="rId789" Type="http://schemas.openxmlformats.org/officeDocument/2006/relationships/hyperlink" Target="https://drive.google.com/file/d/1SQaSL7hmUFSKHN8i7pVPvx3STLMqAOAw/view?usp=drive_link" TargetMode="External"/><Relationship Id="rId996" Type="http://schemas.openxmlformats.org/officeDocument/2006/relationships/hyperlink" Target="https://drive.google.com/file/d/1jjzR1RyL3evEhn3RbMY2vgThzWgq-fJN/view" TargetMode="External"/><Relationship Id="rId2025" Type="http://schemas.openxmlformats.org/officeDocument/2006/relationships/hyperlink" Target="https://drive.google.com/file/d/1MQhooDZfb_a8dh1XjYQap8rFcmtl5opU/view" TargetMode="External"/><Relationship Id="rId551" Type="http://schemas.openxmlformats.org/officeDocument/2006/relationships/hyperlink" Target="https://drive.google.com/file/d/1_9wvDD0xzarupnO-MkGQjPWkgNEleRMr/view" TargetMode="External"/><Relationship Id="rId649" Type="http://schemas.openxmlformats.org/officeDocument/2006/relationships/hyperlink" Target="https://drive.google.com/file/d/1iBr6b26MBv3-qs2HfZPBv-_SZMciRoSv/view" TargetMode="External"/><Relationship Id="rId856" Type="http://schemas.openxmlformats.org/officeDocument/2006/relationships/hyperlink" Target="https://drive.google.com/file/d/1Kj7pGsto2d8qxWBBNeFSXHt0ZCv3amEr/view?usp=drive_link" TargetMode="External"/><Relationship Id="rId1181" Type="http://schemas.openxmlformats.org/officeDocument/2006/relationships/hyperlink" Target="https://drive.google.com/file/d/10RRCP9PqW1a0aXZkHVOxVr_hGOY01_Ce/view" TargetMode="External"/><Relationship Id="rId1279" Type="http://schemas.openxmlformats.org/officeDocument/2006/relationships/hyperlink" Target="https://drive.google.com/file/d/18HTGOY9i7bxWMrMLMgWvctC0TQbGDm_d/view?usp=drive_link" TargetMode="External"/><Relationship Id="rId1486" Type="http://schemas.openxmlformats.org/officeDocument/2006/relationships/hyperlink" Target="https://drive.google.com/file/d/1fUENaPvI5EGQBpB2AP1I0ESrESO08iWA/view?usp=drive_link" TargetMode="External"/><Relationship Id="rId204" Type="http://schemas.openxmlformats.org/officeDocument/2006/relationships/hyperlink" Target="https://drive.google.com/file/d/1Ri-YAEWJjvz1PE2D5W_tY9aB0o-kD3Cx/view" TargetMode="External"/><Relationship Id="rId411" Type="http://schemas.openxmlformats.org/officeDocument/2006/relationships/hyperlink" Target="https://drive.google.com/file/d/1d7EUl2nVrW2pVWhjsLWPCnuUAtvGF_0w/view?usp=drive_link" TargetMode="External"/><Relationship Id="rId509" Type="http://schemas.openxmlformats.org/officeDocument/2006/relationships/hyperlink" Target="https://drive.google.com/file/d/1zxbs_azC4N6-X3OZD0Sz6VP6Xjewm9-8/view" TargetMode="External"/><Relationship Id="rId1041" Type="http://schemas.openxmlformats.org/officeDocument/2006/relationships/hyperlink" Target="https://drive.google.com/file/d/1EShm-JCEBeUL9t9jvi_3B6OF8gY5AK0w/view?usp=drive_link" TargetMode="External"/><Relationship Id="rId1139" Type="http://schemas.openxmlformats.org/officeDocument/2006/relationships/hyperlink" Target="https://drive.google.com/file/d/1gB5Fi3nL6FCTnmd91Ei3_QQJ9QXEVQuG/view" TargetMode="External"/><Relationship Id="rId1346" Type="http://schemas.openxmlformats.org/officeDocument/2006/relationships/hyperlink" Target="https://drive.google.com/file/d/1PBCEYtD7A6r3bmKeU8hWJH7w8BXVVzH1/view" TargetMode="External"/><Relationship Id="rId1693" Type="http://schemas.openxmlformats.org/officeDocument/2006/relationships/hyperlink" Target="https://drive.google.com/file/d/18gvd1UBIqDir1Ui4hKFDzLdKhiyxJeTK/view?usp=drive_link" TargetMode="External"/><Relationship Id="rId1998" Type="http://schemas.openxmlformats.org/officeDocument/2006/relationships/hyperlink" Target="https://drive.google.com/file/d/1AoH0Y4ciTRcsU5X6S4aZ3HZiPs325E2e/view?usp=drive_link" TargetMode="External"/><Relationship Id="rId716" Type="http://schemas.openxmlformats.org/officeDocument/2006/relationships/hyperlink" Target="https://drive.google.com/file/d/1N9brwHmFW_PdvPj4vWj5-JYfwZ_j8qxo/view?usp=drive_link" TargetMode="External"/><Relationship Id="rId923" Type="http://schemas.openxmlformats.org/officeDocument/2006/relationships/hyperlink" Target="https://drive.google.com/file/d/1N22qwC0vrqCOzXJ46mu1iA931nPdVUdV/view?usp=drive_link" TargetMode="External"/><Relationship Id="rId1553" Type="http://schemas.openxmlformats.org/officeDocument/2006/relationships/hyperlink" Target="https://drive.google.com/file/d/13q2lrMXyrD-jFwOUSAmyXAyHguPjfyop/view?usp=drive_link" TargetMode="External"/><Relationship Id="rId1760" Type="http://schemas.openxmlformats.org/officeDocument/2006/relationships/hyperlink" Target="https://drive.google.com/file/d/1oxqPS_1tBA-gVsLfO5IQXOGLDroKN7-w/view?usp=drive_link" TargetMode="External"/><Relationship Id="rId1858" Type="http://schemas.openxmlformats.org/officeDocument/2006/relationships/hyperlink" Target="https://drive.google.com/file/d/1DZ00kl6N0YvT2ZAXdhcx9VQ5hnPKYmSP/view?usp=drive_link" TargetMode="External"/><Relationship Id="rId52" Type="http://schemas.openxmlformats.org/officeDocument/2006/relationships/hyperlink" Target="https://drive.google.com/file/d/1iggJgkxEIi33_uzKlp_ENRo47YLn90I8/view" TargetMode="External"/><Relationship Id="rId1206" Type="http://schemas.openxmlformats.org/officeDocument/2006/relationships/hyperlink" Target="https://drive.google.com/file/d/1JSFImQsE-aSNBi1_XGaeHY1TM31sTpH0/view?usp=drive_link" TargetMode="External"/><Relationship Id="rId1413" Type="http://schemas.openxmlformats.org/officeDocument/2006/relationships/hyperlink" Target="https://drive.google.com/file/d/1IobvhS63KW7w3xiQvQNpxHjV7ZiZaVbc/view?usp=drive_link" TargetMode="External"/><Relationship Id="rId1620" Type="http://schemas.openxmlformats.org/officeDocument/2006/relationships/hyperlink" Target="https://drive.google.com/file/d/1jjzR1RyL3evEhn3RbMY2vgThzWgq-fJN/view" TargetMode="External"/><Relationship Id="rId1718" Type="http://schemas.openxmlformats.org/officeDocument/2006/relationships/hyperlink" Target="https://drive.google.com/file/d/1U_VfOs-qUWoEMVHPtt9sq2AZH--X8AwT/view?usp=drive_link" TargetMode="External"/><Relationship Id="rId1925" Type="http://schemas.openxmlformats.org/officeDocument/2006/relationships/hyperlink" Target="https://drive.google.com/file/d/1-kULF92O7kA2Vy-9i1BZzi1_0bIC323S/view?usp=drive_link" TargetMode="External"/><Relationship Id="rId299" Type="http://schemas.openxmlformats.org/officeDocument/2006/relationships/hyperlink" Target="https://drive.google.com/file/d/1N4Zo1nyoTRwV-8yeADEdYoewjbxnID-Z/view" TargetMode="External"/><Relationship Id="rId159" Type="http://schemas.openxmlformats.org/officeDocument/2006/relationships/hyperlink" Target="https://drive.google.com/file/d/1Xv5IhBhdmlrvaY32k_gxD4v2dwCxj2S0/view" TargetMode="External"/><Relationship Id="rId366" Type="http://schemas.openxmlformats.org/officeDocument/2006/relationships/hyperlink" Target="https://drive.google.com/file/d/1DE97kviXT-3hj-mPkqohYwgjer1eZUEt/view?usp=drive_link" TargetMode="External"/><Relationship Id="rId573" Type="http://schemas.openxmlformats.org/officeDocument/2006/relationships/hyperlink" Target="https://drive.google.com/file/d/1XM56ViSsm-28H781ilJpgfRH-h3HxQCr/view" TargetMode="External"/><Relationship Id="rId780" Type="http://schemas.openxmlformats.org/officeDocument/2006/relationships/hyperlink" Target="https://drive.google.com/file/d/1SVtLDrCgd-EGMvj8P0ZCjolJ1bcQnWdH/view?usp=drive_link" TargetMode="External"/><Relationship Id="rId2047" Type="http://schemas.openxmlformats.org/officeDocument/2006/relationships/hyperlink" Target="https://drive.google.com/file/d/1mRE_86OJyxRYZgYUPJM_u7Ak456wW--d/view?usp=drive_link" TargetMode="External"/><Relationship Id="rId226" Type="http://schemas.openxmlformats.org/officeDocument/2006/relationships/hyperlink" Target="https://drive.google.com/file/d/17kFHEbF-AEDFcJjjgAoxnDoBUieKKDg3/view" TargetMode="External"/><Relationship Id="rId433" Type="http://schemas.openxmlformats.org/officeDocument/2006/relationships/hyperlink" Target="https://drive.google.com/file/d/1l032NhkgI8VXW1YdwE6IVXJ95axS_1_N/view?usp=drive_link" TargetMode="External"/><Relationship Id="rId878" Type="http://schemas.openxmlformats.org/officeDocument/2006/relationships/hyperlink" Target="https://drive.google.com/file/d/1UDZ3DSBMcsK5rQzLJk4M0--CngCzKop9/view?usp=drive_link" TargetMode="External"/><Relationship Id="rId1063" Type="http://schemas.openxmlformats.org/officeDocument/2006/relationships/hyperlink" Target="https://drive.google.com/file/d/1lHsS9HToAAkVgzUpu0SvP6Q74MdwpNaD/view?usp=drive_link" TargetMode="External"/><Relationship Id="rId1270" Type="http://schemas.openxmlformats.org/officeDocument/2006/relationships/hyperlink" Target="https://drive.google.com/file/d/18HTGOY9i7bxWMrMLMgWvctC0TQbGDm_d/view?usp=drive_link" TargetMode="External"/><Relationship Id="rId640" Type="http://schemas.openxmlformats.org/officeDocument/2006/relationships/hyperlink" Target="https://drive.google.com/file/d/1jRWn6nkUc6PyzKFIrav2bztHDn61jQYs/view" TargetMode="External"/><Relationship Id="rId738" Type="http://schemas.openxmlformats.org/officeDocument/2006/relationships/hyperlink" Target="https://drive.google.com/file/d/1ObN57YJNOg65CaDV-I6Uf3vEwf4ffCFW/view?usp=drive_link" TargetMode="External"/><Relationship Id="rId945" Type="http://schemas.openxmlformats.org/officeDocument/2006/relationships/hyperlink" Target="https://drive.google.com/file/d/1C77z3tm5EXrMVDwQXL6nGlcUbobUc3K6/view" TargetMode="External"/><Relationship Id="rId1368" Type="http://schemas.openxmlformats.org/officeDocument/2006/relationships/hyperlink" Target="https://drive.google.com/file/d/10HQlUfuCM9rvKh755NA9pHKofaluje0o/view" TargetMode="External"/><Relationship Id="rId1575" Type="http://schemas.openxmlformats.org/officeDocument/2006/relationships/hyperlink" Target="https://drive.google.com/file/d/1ruM5f-JPXrFoNb6xNaz40ic4CGr2kGvK/view" TargetMode="External"/><Relationship Id="rId1782" Type="http://schemas.openxmlformats.org/officeDocument/2006/relationships/hyperlink" Target="https://drive.google.com/file/d/1qZSXHwjD6UiZLiCnVCCPpTfeEZz74aAs/view" TargetMode="External"/><Relationship Id="rId74" Type="http://schemas.openxmlformats.org/officeDocument/2006/relationships/hyperlink" Target="https://drive.google.com/file/d/14_e23Fks39g6eB6scWs8oJVkvBf-w1QV/view" TargetMode="External"/><Relationship Id="rId500" Type="http://schemas.openxmlformats.org/officeDocument/2006/relationships/hyperlink" Target="https://drive.google.com/file/d/1E_lw9TkbspjWKBlfCTRgy2po44C1TCJP/view?usp=drive_link" TargetMode="External"/><Relationship Id="rId805" Type="http://schemas.openxmlformats.org/officeDocument/2006/relationships/hyperlink" Target="https://drive.google.com/file/d/1fVGTywNnBvbe_-XZ6i9qc-4BCJw5nmT1/view?usp=drive_link" TargetMode="External"/><Relationship Id="rId1130" Type="http://schemas.openxmlformats.org/officeDocument/2006/relationships/hyperlink" Target="https://drive.google.com/file/d/1De6vO_A2TlUNz8pj1sCUy_mHHl1A_xUW/view" TargetMode="External"/><Relationship Id="rId1228" Type="http://schemas.openxmlformats.org/officeDocument/2006/relationships/hyperlink" Target="https://drive.google.com/file/d/1wFL1KQ-QVw5hSLZv1AF-r-UdMul7WJMk/view?usp=drive_link" TargetMode="External"/><Relationship Id="rId1435" Type="http://schemas.openxmlformats.org/officeDocument/2006/relationships/hyperlink" Target="https://drive.google.com/file/d/1bB7YXERU6N6l2CgGXhfHlbgLBpqYC7xS/view?usp=drive_link" TargetMode="External"/><Relationship Id="rId1642" Type="http://schemas.openxmlformats.org/officeDocument/2006/relationships/hyperlink" Target="https://drive.google.com/file/d/1P8dv2yDVWK28813AIv4m4F9tgxPrdqDO/view" TargetMode="External"/><Relationship Id="rId1947" Type="http://schemas.openxmlformats.org/officeDocument/2006/relationships/hyperlink" Target="https://drive.google.com/file/d/1QZ18QaTmJF4nT-dAtMgJlTUA-K3sOYAQ/view?usp=drive_link" TargetMode="External"/><Relationship Id="rId1502" Type="http://schemas.openxmlformats.org/officeDocument/2006/relationships/hyperlink" Target="https://drive.google.com/file/d/1nd2LuxXC_tnKKOUoZp-2rCmz6m31uExe/view?usp=drive_link" TargetMode="External"/><Relationship Id="rId1807" Type="http://schemas.openxmlformats.org/officeDocument/2006/relationships/hyperlink" Target="https://drive.google.com/file/d/1FRRXo6J4o4AZtg9BHSw3llGraq7T31kv/view?usp=drive_link" TargetMode="External"/><Relationship Id="rId290" Type="http://schemas.openxmlformats.org/officeDocument/2006/relationships/hyperlink" Target="https://drive.google.com/file/d/1p2iUJtng5C_UXPw0fI_hg5oznXFeBhpI/view" TargetMode="External"/><Relationship Id="rId388" Type="http://schemas.openxmlformats.org/officeDocument/2006/relationships/hyperlink" Target="https://drive.google.com/file/d/1j2tLIzNNUoZkZ243oPB10Uwaw2b3_A58/view?usp=drive_link" TargetMode="External"/><Relationship Id="rId2069" Type="http://schemas.openxmlformats.org/officeDocument/2006/relationships/hyperlink" Target="https://drive.google.com/file/d/1XO6KFN11Xr9Vu-p4z4gv56Vfr7TRSm9W/view?usp=drive_link" TargetMode="External"/><Relationship Id="rId150" Type="http://schemas.openxmlformats.org/officeDocument/2006/relationships/hyperlink" Target="https://drive.google.com/file/d/1PN5QKrWfuLNLtg-y5ctP3wPnqv2s1Rlm/view" TargetMode="External"/><Relationship Id="rId595" Type="http://schemas.openxmlformats.org/officeDocument/2006/relationships/hyperlink" Target="https://drive.google.com/file/d/1TkkF924YYfv_46cDxUoc3DW_cdMcch42/view" TargetMode="External"/><Relationship Id="rId248" Type="http://schemas.openxmlformats.org/officeDocument/2006/relationships/hyperlink" Target="https://drive.google.com/file/d/1Ri-YAEWJjvz1PE2D5W_tY9aB0o-kD3Cx/view" TargetMode="External"/><Relationship Id="rId455" Type="http://schemas.openxmlformats.org/officeDocument/2006/relationships/hyperlink" Target="https://drive.google.com/file/d/1XZELMJDN7oiWnhqZnzMAEUGGr7oqakya/view?usp=drive_link" TargetMode="External"/><Relationship Id="rId662" Type="http://schemas.openxmlformats.org/officeDocument/2006/relationships/hyperlink" Target="https://drive.google.com/file/d/1q4cCVCNG__x2eJpAiRLTqR7FTiIzCqW_/view" TargetMode="External"/><Relationship Id="rId1085" Type="http://schemas.openxmlformats.org/officeDocument/2006/relationships/hyperlink" Target="https://drive.google.com/file/d/1bSZghuFPNMDy724R2VmzwB1Jr2rl9y3T/view?usp=drive_link" TargetMode="External"/><Relationship Id="rId1292" Type="http://schemas.openxmlformats.org/officeDocument/2006/relationships/hyperlink" Target="https://drive.google.com/file/d/1_yjMQo6gzbHLiIya48Wdfww-Xb1eVGfK/view?usp=drive_link" TargetMode="External"/><Relationship Id="rId108" Type="http://schemas.openxmlformats.org/officeDocument/2006/relationships/hyperlink" Target="https://drive.google.com/file/d/1UQjOfPn-C05A2ksrxMwMtksI2P0xlIz8/view" TargetMode="External"/><Relationship Id="rId315" Type="http://schemas.openxmlformats.org/officeDocument/2006/relationships/hyperlink" Target="https://drive.google.com/file/d/1p2iUJtng5C_UXPw0fI_hg5oznXFeBhpI/view" TargetMode="External"/><Relationship Id="rId522" Type="http://schemas.openxmlformats.org/officeDocument/2006/relationships/hyperlink" Target="https://drive.google.com/file/d/1tQyDFiR7dq4GijMcq4Q92uVh9nI1y4mw/view" TargetMode="External"/><Relationship Id="rId967" Type="http://schemas.openxmlformats.org/officeDocument/2006/relationships/hyperlink" Target="https://drive.google.com/file/d/1ns9WVi4LIlCy9kRsqLx6fuozbqpfzmaZ/view?usp=drive_link" TargetMode="External"/><Relationship Id="rId1152" Type="http://schemas.openxmlformats.org/officeDocument/2006/relationships/hyperlink" Target="https://drive.google.com/file/d/1l1qtJWULZ9Ls8rKQ1VUw4meyuzKWs1jT/view?usp=drive_link" TargetMode="External"/><Relationship Id="rId1597" Type="http://schemas.openxmlformats.org/officeDocument/2006/relationships/hyperlink" Target="https://drive.google.com/file/d/1plIl4OwrTQiOuqIP5TrPp953bH0vUYQ-/view?usp=drive_link" TargetMode="External"/><Relationship Id="rId96" Type="http://schemas.openxmlformats.org/officeDocument/2006/relationships/hyperlink" Target="https://drive.google.com/file/d/1TL9IrzKlPKxuk1hHUSBJEQg3OHu9BPMb/view" TargetMode="External"/><Relationship Id="rId827" Type="http://schemas.openxmlformats.org/officeDocument/2006/relationships/hyperlink" Target="https://drive.google.com/file/d/12sTUZOMQU8Yb4ZMfjTWU89XE7G6Mx5fV/view?usp=drive_link" TargetMode="External"/><Relationship Id="rId1012" Type="http://schemas.openxmlformats.org/officeDocument/2006/relationships/hyperlink" Target="https://drive.google.com/file/d/1P8dv2yDVWK28813AIv4m4F9tgxPrdqDO/view" TargetMode="External"/><Relationship Id="rId1457" Type="http://schemas.openxmlformats.org/officeDocument/2006/relationships/hyperlink" Target="https://drive.google.com/file/d/1Zy0KiYSeP-PDs5KIIeeW5fsWj9p4nkja/view?usp=drive_link" TargetMode="External"/><Relationship Id="rId1664" Type="http://schemas.openxmlformats.org/officeDocument/2006/relationships/hyperlink" Target="https://drive.google.com/file/d/1ErzZnaGRbRgYHrCEwMv-7ly4fAk80jPD/view?usp=drive_link" TargetMode="External"/><Relationship Id="rId1871" Type="http://schemas.openxmlformats.org/officeDocument/2006/relationships/hyperlink" Target="https://drive.google.com/file/d/12tCRalajPMVE-onCQiXS7R_4zEPBFs_C/view?usp=drive_link" TargetMode="External"/><Relationship Id="rId1317" Type="http://schemas.openxmlformats.org/officeDocument/2006/relationships/hyperlink" Target="https://drive.google.com/file/d/1xvK7oL2060tGjomnxIMM_vkytJCIFbUM/view" TargetMode="External"/><Relationship Id="rId1524" Type="http://schemas.openxmlformats.org/officeDocument/2006/relationships/hyperlink" Target="https://drive.google.com/file/d/1_Jil7Wkfj5WOP-6FE-VdY7qc0mLZ5DUM/view?usp=drive_link" TargetMode="External"/><Relationship Id="rId1731" Type="http://schemas.openxmlformats.org/officeDocument/2006/relationships/hyperlink" Target="https://drive.google.com/file/d/1eggsoLAPcrdATW-qSGgu_m3YksjLLiJO/view?usp=drive_link" TargetMode="External"/><Relationship Id="rId1969" Type="http://schemas.openxmlformats.org/officeDocument/2006/relationships/hyperlink" Target="https://drive.google.com/file/d/1La3JnRLTGosBhQtrjluRdPiS-rya-Lxf/view" TargetMode="External"/><Relationship Id="rId23" Type="http://schemas.openxmlformats.org/officeDocument/2006/relationships/hyperlink" Target="https://drive.google.com/file/d/1OnwdPVGGVlXHeDo0NSoyMOqv2DdSXlPD/view" TargetMode="External"/><Relationship Id="rId1829" Type="http://schemas.openxmlformats.org/officeDocument/2006/relationships/hyperlink" Target="https://drive.google.com/file/d/10RRCP9PqW1a0aXZkHVOxVr_hGOY01_Ce/view" TargetMode="External"/><Relationship Id="rId172" Type="http://schemas.openxmlformats.org/officeDocument/2006/relationships/hyperlink" Target="https://drive.google.com/file/d/1cGFZl0t3lci1ilX5gjjOKnRFdDklY_8G/view" TargetMode="External"/><Relationship Id="rId477" Type="http://schemas.openxmlformats.org/officeDocument/2006/relationships/hyperlink" Target="https://drive.google.com/file/d/1hmXY9RLSychgJTsAJz7iOoJsrTTIp1VT/view?usp=drive_link" TargetMode="External"/><Relationship Id="rId684" Type="http://schemas.openxmlformats.org/officeDocument/2006/relationships/hyperlink" Target="https://drive.google.com/file/d/1q4cCVCNG__x2eJpAiRLTqR7FTiIzCqW_/view" TargetMode="External"/><Relationship Id="rId2060" Type="http://schemas.openxmlformats.org/officeDocument/2006/relationships/hyperlink" Target="https://drive.google.com/file/d/1XO6KFN11Xr9Vu-p4z4gv56Vfr7TRSm9W/view?usp=drive_link" TargetMode="External"/><Relationship Id="rId337" Type="http://schemas.openxmlformats.org/officeDocument/2006/relationships/hyperlink" Target="https://drive.google.com/file/d/1hhxNGrt1RWUdQCNORiATApfV6dbwQHYv/view?usp=drive_link" TargetMode="External"/><Relationship Id="rId891" Type="http://schemas.openxmlformats.org/officeDocument/2006/relationships/hyperlink" Target="https://drive.google.com/file/d/1bYy1Ayup9OPnx4Ey4guSJ9WrktD4_Ot6/view?usp=drive_link" TargetMode="External"/><Relationship Id="rId989" Type="http://schemas.openxmlformats.org/officeDocument/2006/relationships/hyperlink" Target="https://drive.google.com/file/d/1hU_NG6jWFnAFsctWfxIixSLdfdg-2vbM/view" TargetMode="External"/><Relationship Id="rId2018" Type="http://schemas.openxmlformats.org/officeDocument/2006/relationships/hyperlink" Target="https://drive.google.com/file/d/1MQhooDZfb_a8dh1XjYQap8rFcmtl5opU/view" TargetMode="External"/><Relationship Id="rId544" Type="http://schemas.openxmlformats.org/officeDocument/2006/relationships/hyperlink" Target="https://drive.google.com/file/d/1_9wvDD0xzarupnO-MkGQjPWkgNEleRMr/view" TargetMode="External"/><Relationship Id="rId751" Type="http://schemas.openxmlformats.org/officeDocument/2006/relationships/hyperlink" Target="https://drive.google.com/file/d/17_08NSWt7_gBt9GqJ59cc4phZ7kJIzsK/view?usp=drive_link" TargetMode="External"/><Relationship Id="rId849" Type="http://schemas.openxmlformats.org/officeDocument/2006/relationships/hyperlink" Target="https://drive.google.com/file/d/1j8yRlDYok5MJSeLQ4eUWBEa5wF2-pNRd/view?usp=drive_link" TargetMode="External"/><Relationship Id="rId1174" Type="http://schemas.openxmlformats.org/officeDocument/2006/relationships/hyperlink" Target="https://drive.google.com/file/d/1AjudEJfSeA5pObV4i_-2eZywBMH4FjUH/view" TargetMode="External"/><Relationship Id="rId1381" Type="http://schemas.openxmlformats.org/officeDocument/2006/relationships/hyperlink" Target="https://drive.google.com/file/d/1OXVVqgSOAs7Kf0OYXBLzBzLajLz35A4_/view?usp=drive_link" TargetMode="External"/><Relationship Id="rId1479" Type="http://schemas.openxmlformats.org/officeDocument/2006/relationships/hyperlink" Target="https://drive.google.com/file/d/1fUENaPvI5EGQBpB2AP1I0ESrESO08iWA/view?usp=drive_link" TargetMode="External"/><Relationship Id="rId1686" Type="http://schemas.openxmlformats.org/officeDocument/2006/relationships/hyperlink" Target="https://drive.google.com/file/d/1YiebLoAQwQ3DDXk7k09Eme9jE5xzfvGC/view?usp=drive_link" TargetMode="External"/><Relationship Id="rId404" Type="http://schemas.openxmlformats.org/officeDocument/2006/relationships/hyperlink" Target="https://drive.google.com/file/d/1j2tLIzNNUoZkZ243oPB10Uwaw2b3_A58/view?usp=drive_link" TargetMode="External"/><Relationship Id="rId611" Type="http://schemas.openxmlformats.org/officeDocument/2006/relationships/hyperlink" Target="https://drive.google.com/file/d/1y-Ocgzn3Ss07_HRVm38HZw507xBX9Q3K/view" TargetMode="External"/><Relationship Id="rId1034" Type="http://schemas.openxmlformats.org/officeDocument/2006/relationships/hyperlink" Target="https://drive.google.com/file/d/1rB6fHuIxGh5D4VZSJD6ZhvSpEbCfXrnN/view?usp=drive_link" TargetMode="External"/><Relationship Id="rId1241" Type="http://schemas.openxmlformats.org/officeDocument/2006/relationships/hyperlink" Target="https://drive.google.com/file/d/1g0qE64GhrUOttT19f46pAEKIpTihMBf3/view?usp=drive_link" TargetMode="External"/><Relationship Id="rId1339" Type="http://schemas.openxmlformats.org/officeDocument/2006/relationships/hyperlink" Target="https://drive.google.com/file/d/1PBCEYtD7A6r3bmKeU8hWJH7w8BXVVzH1/view" TargetMode="External"/><Relationship Id="rId1893" Type="http://schemas.openxmlformats.org/officeDocument/2006/relationships/hyperlink" Target="https://drive.google.com/file/d/1oKDXnxtrdsnKiXx-rE-IOxBOcPslLQ0_/view?usp=drive_link" TargetMode="External"/><Relationship Id="rId709" Type="http://schemas.openxmlformats.org/officeDocument/2006/relationships/hyperlink" Target="https://drive.google.com/file/d/1oaU6aDLcm-WgPEMXNtdBYkqXGGsSkflq/view?usp=drive_link" TargetMode="External"/><Relationship Id="rId916" Type="http://schemas.openxmlformats.org/officeDocument/2006/relationships/hyperlink" Target="https://drive.google.com/file/d/1XNlB-TCqjbu1MIFEoH3KzWJaFDA0h4Mr/view?usp=drive_link" TargetMode="External"/><Relationship Id="rId1101" Type="http://schemas.openxmlformats.org/officeDocument/2006/relationships/hyperlink" Target="https://drive.google.com/file/d/1XDJ17puSEKXRlcpoac80pcUkSirH5iqT/view?usp=drive_link" TargetMode="External"/><Relationship Id="rId1546" Type="http://schemas.openxmlformats.org/officeDocument/2006/relationships/hyperlink" Target="https://drive.google.com/file/d/1b2eV06jwkZD183bC3zSDazL4_RSDXHSq/view?usp=drive_link" TargetMode="External"/><Relationship Id="rId1753" Type="http://schemas.openxmlformats.org/officeDocument/2006/relationships/hyperlink" Target="https://drive.google.com/file/d/1oGYK0VIxvZWojb4mGJZZsBVC1SfDMY6y/view?usp=drive_link" TargetMode="External"/><Relationship Id="rId1960" Type="http://schemas.openxmlformats.org/officeDocument/2006/relationships/hyperlink" Target="https://drive.google.com/file/d/1m_ZcOGPlgePKQ5iHcOHOG_LcxNkDkiJ-/view?usp=drive_link" TargetMode="External"/><Relationship Id="rId45" Type="http://schemas.openxmlformats.org/officeDocument/2006/relationships/hyperlink" Target="https://drive.google.com/file/d/1c3FBPHHZ7t7n-uvjJkQ1bEwKAXm0RkFQ/view" TargetMode="External"/><Relationship Id="rId1406" Type="http://schemas.openxmlformats.org/officeDocument/2006/relationships/hyperlink" Target="https://drive.google.com/file/d/1TDk98vxQ3RO5Vex4gTvzQ8srdHf8VMYQ/view?usp=drive_link" TargetMode="External"/><Relationship Id="rId1613" Type="http://schemas.openxmlformats.org/officeDocument/2006/relationships/hyperlink" Target="https://drive.google.com/file/d/1jjzR1RyL3evEhn3RbMY2vgThzWgq-fJN/view" TargetMode="External"/><Relationship Id="rId1820" Type="http://schemas.openxmlformats.org/officeDocument/2006/relationships/hyperlink" Target="https://drive.google.com/file/d/10RRCP9PqW1a0aXZkHVOxVr_hGOY01_Ce/view" TargetMode="External"/><Relationship Id="rId194" Type="http://schemas.openxmlformats.org/officeDocument/2006/relationships/hyperlink" Target="https://drive.google.com/file/d/1fD7AWmASsFIlXlxUeMDyf0RwmeJ-UJ8T/view" TargetMode="External"/><Relationship Id="rId1918" Type="http://schemas.openxmlformats.org/officeDocument/2006/relationships/hyperlink" Target="https://drive.google.com/file/d/1VU2oD951xXfxe0_lC75k2-XwxUlhDyj9/view?usp=drive_link" TargetMode="External"/><Relationship Id="rId2082" Type="http://schemas.openxmlformats.org/officeDocument/2006/relationships/hyperlink" Target="https://drive.google.com/file/d/1l3XQXS4Q2FCMyGl__1oip2yGbK6ML46S/view?usp=drive_link" TargetMode="External"/><Relationship Id="rId261" Type="http://schemas.openxmlformats.org/officeDocument/2006/relationships/hyperlink" Target="https://drive.google.com/file/d/17kFHEbF-AEDFcJjjgAoxnDoBUieKKDg3/view" TargetMode="External"/><Relationship Id="rId499" Type="http://schemas.openxmlformats.org/officeDocument/2006/relationships/hyperlink" Target="https://drive.google.com/file/d/1E_lw9TkbspjWKBlfCTRgy2po44C1TCJP/view?usp=drive_link" TargetMode="External"/><Relationship Id="rId359" Type="http://schemas.openxmlformats.org/officeDocument/2006/relationships/hyperlink" Target="https://drive.google.com/file/d/1DE97kviXT-3hj-mPkqohYwgjer1eZUEt/view?usp=drive_link" TargetMode="External"/><Relationship Id="rId566" Type="http://schemas.openxmlformats.org/officeDocument/2006/relationships/hyperlink" Target="https://drive.google.com/file/d/1rhCvHfKmw2WQRnaHsokOte7r7Nl3uIJy/view" TargetMode="External"/><Relationship Id="rId773" Type="http://schemas.openxmlformats.org/officeDocument/2006/relationships/hyperlink" Target="https://drive.google.com/file/d/1SVtLDrCgd-EGMvj8P0ZCjolJ1bcQnWdH/view?usp=drive_link" TargetMode="External"/><Relationship Id="rId1196" Type="http://schemas.openxmlformats.org/officeDocument/2006/relationships/hyperlink" Target="https://drive.google.com/file/d/11gAT3uSf6EhqY1gp7ESxBQx3ZJOIXz2O/view" TargetMode="External"/><Relationship Id="rId121" Type="http://schemas.openxmlformats.org/officeDocument/2006/relationships/hyperlink" Target="https://drive.google.com/file/d/19ZTyE2xeT2sZ01YGBhW0hDNK1zkOgzov/view" TargetMode="External"/><Relationship Id="rId219" Type="http://schemas.openxmlformats.org/officeDocument/2006/relationships/hyperlink" Target="https://drive.google.com/file/d/17kFHEbF-AEDFcJjjgAoxnDoBUieKKDg3/view" TargetMode="External"/><Relationship Id="rId426" Type="http://schemas.openxmlformats.org/officeDocument/2006/relationships/hyperlink" Target="https://drive.google.com/file/d/1l032NhkgI8VXW1YdwE6IVXJ95axS_1_N/view?usp=drive_link" TargetMode="External"/><Relationship Id="rId633" Type="http://schemas.openxmlformats.org/officeDocument/2006/relationships/hyperlink" Target="https://drive.google.com/file/d/1jRWn6nkUc6PyzKFIrav2bztHDn61jQYs/view" TargetMode="External"/><Relationship Id="rId980" Type="http://schemas.openxmlformats.org/officeDocument/2006/relationships/hyperlink" Target="https://drive.google.com/file/d/1hU_NG6jWFnAFsctWfxIixSLdfdg-2vbM/view" TargetMode="External"/><Relationship Id="rId1056" Type="http://schemas.openxmlformats.org/officeDocument/2006/relationships/hyperlink" Target="https://drive.google.com/file/d/17TfQKd0Cd9yG2mhJV3bja_JAtLRy5Hq5/view?usp=drive_link" TargetMode="External"/><Relationship Id="rId1263" Type="http://schemas.openxmlformats.org/officeDocument/2006/relationships/hyperlink" Target="https://drive.google.com/file/d/1Fr7FnU1zhPXLqSCHSNAy1t-LB8P_O5uZ/view?usp=drive_link" TargetMode="External"/><Relationship Id="rId840" Type="http://schemas.openxmlformats.org/officeDocument/2006/relationships/hyperlink" Target="https://drive.google.com/file/d/1q1S8kM3uWaJrbD9mRZ_cWxaj0alzeKgN/view?usp=drive_link" TargetMode="External"/><Relationship Id="rId938" Type="http://schemas.openxmlformats.org/officeDocument/2006/relationships/hyperlink" Target="https://drive.google.com/file/d/1C77z3tm5EXrMVDwQXL6nGlcUbobUc3K6/view" TargetMode="External"/><Relationship Id="rId1470" Type="http://schemas.openxmlformats.org/officeDocument/2006/relationships/hyperlink" Target="https://drive.google.com/file/d/1ivqBk1OAmLirXhfrxLBzeUL_jJxegxDI/view?usp=drive_link" TargetMode="External"/><Relationship Id="rId1568" Type="http://schemas.openxmlformats.org/officeDocument/2006/relationships/hyperlink" Target="https://drive.google.com/file/d/1xxrE3LPgzlDH2hVcRgO9_8Tj9dwrwVwk/view?usp=drive_link" TargetMode="External"/><Relationship Id="rId1775" Type="http://schemas.openxmlformats.org/officeDocument/2006/relationships/hyperlink" Target="https://drive.google.com/file/d/1Q6MU9kG1fczWg0z99j87JV0I8dZyJDIP/view" TargetMode="External"/><Relationship Id="rId67" Type="http://schemas.openxmlformats.org/officeDocument/2006/relationships/hyperlink" Target="https://drive.google.com/file/d/16ZFwzklgzbqlTBk2PblSupsG8QWIVKhr/view" TargetMode="External"/><Relationship Id="rId700" Type="http://schemas.openxmlformats.org/officeDocument/2006/relationships/hyperlink" Target="https://drive.google.com/file/d/1oaU6aDLcm-WgPEMXNtdBYkqXGGsSkflq/view?usp=drive_link" TargetMode="External"/><Relationship Id="rId1123" Type="http://schemas.openxmlformats.org/officeDocument/2006/relationships/hyperlink" Target="https://drive.google.com/file/d/1De6vO_A2TlUNz8pj1sCUy_mHHl1A_xUW/view" TargetMode="External"/><Relationship Id="rId1330" Type="http://schemas.openxmlformats.org/officeDocument/2006/relationships/hyperlink" Target="https://drive.google.com/file/d/1zGDlAkBICsrR-ZMduYzZLDdRYy5sHjtH/view?usp=drive_link" TargetMode="External"/><Relationship Id="rId1428" Type="http://schemas.openxmlformats.org/officeDocument/2006/relationships/hyperlink" Target="https://drive.google.com/file/d/1FFvziYQynsq9IGYLQaJ37iQbYGYyI7tt/view?usp=drive_link" TargetMode="External"/><Relationship Id="rId1635" Type="http://schemas.openxmlformats.org/officeDocument/2006/relationships/hyperlink" Target="https://drive.google.com/file/d/1jjzR1RyL3evEhn3RbMY2vgThzWgq-fJN/view" TargetMode="External"/><Relationship Id="rId1982" Type="http://schemas.openxmlformats.org/officeDocument/2006/relationships/hyperlink" Target="https://drive.google.com/file/d/197Upk1lRbxo1iH4nl3_asxDxnnQz-xvq/view" TargetMode="External"/><Relationship Id="rId1842" Type="http://schemas.openxmlformats.org/officeDocument/2006/relationships/hyperlink" Target="https://drive.google.com/file/d/11gAT3uSf6EhqY1gp7ESxBQx3ZJOIXz2O/view" TargetMode="External"/><Relationship Id="rId1702" Type="http://schemas.openxmlformats.org/officeDocument/2006/relationships/hyperlink" Target="https://drive.google.com/file/d/1hqFUNz-YrJL1D-KF62ciGzKLn0jl5v4Y/view?usp=drive_link" TargetMode="External"/><Relationship Id="rId283" Type="http://schemas.openxmlformats.org/officeDocument/2006/relationships/hyperlink" Target="https://drive.google.com/file/d/1u7fyxEhz5ZBdqEUOis7aQ3eZaoNHO5t6/view" TargetMode="External"/><Relationship Id="rId490" Type="http://schemas.openxmlformats.org/officeDocument/2006/relationships/hyperlink" Target="https://drive.google.com/file/d/1E_lw9TkbspjWKBlfCTRgy2po44C1TCJP/view?usp=drive_link" TargetMode="External"/><Relationship Id="rId143" Type="http://schemas.openxmlformats.org/officeDocument/2006/relationships/hyperlink" Target="https://drive.google.com/file/d/11ckN00HUeGC8mZ4NTbuNo3XBAKRafCzJ/view" TargetMode="External"/><Relationship Id="rId350" Type="http://schemas.openxmlformats.org/officeDocument/2006/relationships/hyperlink" Target="https://drive.google.com/file/d/1fHz1NxkdI260HU_cA-zOMox6gaTachXD/view?usp=drive_link" TargetMode="External"/><Relationship Id="rId588" Type="http://schemas.openxmlformats.org/officeDocument/2006/relationships/hyperlink" Target="https://drive.google.com/file/d/1TkkF924YYfv_46cDxUoc3DW_cdMcch42/view" TargetMode="External"/><Relationship Id="rId795" Type="http://schemas.openxmlformats.org/officeDocument/2006/relationships/hyperlink" Target="https://drive.google.com/file/d/1a0Y0yLRRfNYWEbl7hjxRwwCR8iQ52iEa/view?usp=drive_link" TargetMode="External"/><Relationship Id="rId2031" Type="http://schemas.openxmlformats.org/officeDocument/2006/relationships/hyperlink" Target="https://drive.google.com/file/d/1MQhooDZfb_a8dh1XjYQap8rFcmtl5opU/view" TargetMode="External"/><Relationship Id="rId9" Type="http://schemas.openxmlformats.org/officeDocument/2006/relationships/hyperlink" Target="https://drive.google.com/file/d/16BMdQPUP_243M9ZY1BsJCcqCz75Uhylv/view" TargetMode="External"/><Relationship Id="rId210" Type="http://schemas.openxmlformats.org/officeDocument/2006/relationships/hyperlink" Target="https://drive.google.com/file/d/1Ri-YAEWJjvz1PE2D5W_tY9aB0o-kD3Cx/view" TargetMode="External"/><Relationship Id="rId448" Type="http://schemas.openxmlformats.org/officeDocument/2006/relationships/hyperlink" Target="https://drive.google.com/file/d/1XZELMJDN7oiWnhqZnzMAEUGGr7oqakya/view?usp=drive_link" TargetMode="External"/><Relationship Id="rId655" Type="http://schemas.openxmlformats.org/officeDocument/2006/relationships/hyperlink" Target="https://drive.google.com/file/d/1q4cCVCNG__x2eJpAiRLTqR7FTiIzCqW_/view" TargetMode="External"/><Relationship Id="rId862" Type="http://schemas.openxmlformats.org/officeDocument/2006/relationships/hyperlink" Target="https://drive.google.com/file/d/1Kj7pGsto2d8qxWBBNeFSXHt0ZCv3amEr/view?usp=drive_link" TargetMode="External"/><Relationship Id="rId1078" Type="http://schemas.openxmlformats.org/officeDocument/2006/relationships/hyperlink" Target="https://drive.google.com/file/d/1LGG-xHMY2FIvsrUQHdBsimZyc6oVwUHI/view?usp=drive_link" TargetMode="External"/><Relationship Id="rId1285" Type="http://schemas.openxmlformats.org/officeDocument/2006/relationships/hyperlink" Target="https://drive.google.com/file/d/1_yjMQo6gzbHLiIya48Wdfww-Xb1eVGfK/view?usp=drive_link" TargetMode="External"/><Relationship Id="rId1492" Type="http://schemas.openxmlformats.org/officeDocument/2006/relationships/hyperlink" Target="https://drive.google.com/file/d/1nd2LuxXC_tnKKOUoZp-2rCmz6m31uExe/view?usp=drive_link" TargetMode="External"/><Relationship Id="rId308" Type="http://schemas.openxmlformats.org/officeDocument/2006/relationships/hyperlink" Target="https://drive.google.com/file/d/1u7fyxEhz5ZBdqEUOis7aQ3eZaoNHO5t6/view" TargetMode="External"/><Relationship Id="rId515" Type="http://schemas.openxmlformats.org/officeDocument/2006/relationships/hyperlink" Target="https://drive.google.com/file/d/1zxbs_azC4N6-X3OZD0Sz6VP6Xjewm9-8/view" TargetMode="External"/><Relationship Id="rId722" Type="http://schemas.openxmlformats.org/officeDocument/2006/relationships/hyperlink" Target="https://drive.google.com/file/d/1N9brwHmFW_PdvPj4vWj5-JYfwZ_j8qxo/view?usp=drive_link" TargetMode="External"/><Relationship Id="rId1145" Type="http://schemas.openxmlformats.org/officeDocument/2006/relationships/hyperlink" Target="https://drive.google.com/file/d/1gB5Fi3nL6FCTnmd91Ei3_QQJ9QXEVQuG/view" TargetMode="External"/><Relationship Id="rId1352" Type="http://schemas.openxmlformats.org/officeDocument/2006/relationships/hyperlink" Target="https://drive.google.com/file/d/1MQhooDZfb_a8dh1XjYQap8rFcmtl5opU/view" TargetMode="External"/><Relationship Id="rId1797" Type="http://schemas.openxmlformats.org/officeDocument/2006/relationships/hyperlink" Target="https://drive.google.com/file/d/1-9vqHAxMY7EOdGCf_1JiVVh1sMtEsHwD/view?usp=drive_link" TargetMode="External"/><Relationship Id="rId89" Type="http://schemas.openxmlformats.org/officeDocument/2006/relationships/hyperlink" Target="https://drive.google.com/file/d/1TL9IrzKlPKxuk1hHUSBJEQg3OHu9BPMb/view" TargetMode="External"/><Relationship Id="rId1005" Type="http://schemas.openxmlformats.org/officeDocument/2006/relationships/hyperlink" Target="https://drive.google.com/file/d/1P8dv2yDVWK28813AIv4m4F9tgxPrdqDO/view" TargetMode="External"/><Relationship Id="rId1212" Type="http://schemas.openxmlformats.org/officeDocument/2006/relationships/hyperlink" Target="https://drive.google.com/file/d/1JSFImQsE-aSNBi1_XGaeHY1TM31sTpH0/view?usp=drive_link" TargetMode="External"/><Relationship Id="rId1657" Type="http://schemas.openxmlformats.org/officeDocument/2006/relationships/hyperlink" Target="https://drive.google.com/file/d/1nRiloij6wjknh-vdXufPMtF9ywgwSqpI/view?usp=drive_link" TargetMode="External"/><Relationship Id="rId1864" Type="http://schemas.openxmlformats.org/officeDocument/2006/relationships/hyperlink" Target="https://drive.google.com/file/d/12tCRalajPMVE-onCQiXS7R_4zEPBFs_C/view?usp=drive_link" TargetMode="External"/><Relationship Id="rId1517" Type="http://schemas.openxmlformats.org/officeDocument/2006/relationships/hyperlink" Target="https://drive.google.com/file/d/1_Jil7Wkfj5WOP-6FE-VdY7qc0mLZ5DUM/view?usp=drive_link" TargetMode="External"/><Relationship Id="rId1724" Type="http://schemas.openxmlformats.org/officeDocument/2006/relationships/hyperlink" Target="https://drive.google.com/file/d/1eggsoLAPcrdATW-qSGgu_m3YksjLLiJO/view?usp=drive_link" TargetMode="External"/><Relationship Id="rId16" Type="http://schemas.openxmlformats.org/officeDocument/2006/relationships/hyperlink" Target="https://drive.google.com/file/d/17kFHEbF-AEDFcJjjgAoxnDoBUieKKDg3/view?usp=drive_link" TargetMode="External"/><Relationship Id="rId1931" Type="http://schemas.openxmlformats.org/officeDocument/2006/relationships/hyperlink" Target="https://drive.google.com/file/d/1-kULF92O7kA2Vy-9i1BZzi1_0bIC323S/view?usp=drive_link" TargetMode="External"/><Relationship Id="rId165" Type="http://schemas.openxmlformats.org/officeDocument/2006/relationships/hyperlink" Target="https://drive.google.com/file/d/1cGFZl0t3lci1ilX5gjjOKnRFdDklY_8G/view" TargetMode="External"/><Relationship Id="rId372" Type="http://schemas.openxmlformats.org/officeDocument/2006/relationships/hyperlink" Target="https://drive.google.com/file/d/1-uqOeguQnsVTKjN4CUm_DKAjRsf3GvNl/view?usp=drive_link" TargetMode="External"/><Relationship Id="rId677" Type="http://schemas.openxmlformats.org/officeDocument/2006/relationships/hyperlink" Target="https://drive.google.com/file/d/1pVsRJ1dyo2hYWyHHI4kWWKMR6i84lDfX/view?usp=sharing" TargetMode="External"/><Relationship Id="rId2053" Type="http://schemas.openxmlformats.org/officeDocument/2006/relationships/hyperlink" Target="https://drive.google.com/file/d/1mRE_86OJyxRYZgYUPJM_u7Ak456wW--d/view?usp=drive_link" TargetMode="External"/><Relationship Id="rId232" Type="http://schemas.openxmlformats.org/officeDocument/2006/relationships/hyperlink" Target="https://drive.google.com/file/d/1fD7AWmASsFIlXlxUeMDyf0RwmeJ-UJ8T/view" TargetMode="External"/><Relationship Id="rId884" Type="http://schemas.openxmlformats.org/officeDocument/2006/relationships/hyperlink" Target="https://drive.google.com/file/d/1UDZ3DSBMcsK5rQzLJk4M0--CngCzKop9/view?usp=drive_link" TargetMode="External"/><Relationship Id="rId537" Type="http://schemas.openxmlformats.org/officeDocument/2006/relationships/hyperlink" Target="https://drive.google.com/file/d/1KD8Xfrs6ZPDDeNsgaKv-b1oJyOORtcmH/view" TargetMode="External"/><Relationship Id="rId744" Type="http://schemas.openxmlformats.org/officeDocument/2006/relationships/hyperlink" Target="https://drive.google.com/file/d/17_08NSWt7_gBt9GqJ59cc4phZ7kJIzsK/view?usp=drive_link" TargetMode="External"/><Relationship Id="rId951" Type="http://schemas.openxmlformats.org/officeDocument/2006/relationships/hyperlink" Target="https://drive.google.com/file/d/1Ea4IsWWBHCZ29uRy7Zxp0SvMnOmdjCvn/view" TargetMode="External"/><Relationship Id="rId1167" Type="http://schemas.openxmlformats.org/officeDocument/2006/relationships/hyperlink" Target="https://drive.google.com/file/d/1AjudEJfSeA5pObV4i_-2eZywBMH4FjUH/view" TargetMode="External"/><Relationship Id="rId1374" Type="http://schemas.openxmlformats.org/officeDocument/2006/relationships/hyperlink" Target="https://drive.google.com/file/d/10HQlUfuCM9rvKh755NA9pHKofaluje0o/view" TargetMode="External"/><Relationship Id="rId1581" Type="http://schemas.openxmlformats.org/officeDocument/2006/relationships/hyperlink" Target="https://drive.google.com/file/d/1ruM5f-JPXrFoNb6xNaz40ic4CGr2kGvK/view" TargetMode="External"/><Relationship Id="rId1679" Type="http://schemas.openxmlformats.org/officeDocument/2006/relationships/hyperlink" Target="https://drive.google.com/file/d/1YiebLoAQwQ3DDXk7k09Eme9jE5xzfvGC/view?usp=drive_link" TargetMode="External"/><Relationship Id="rId80" Type="http://schemas.openxmlformats.org/officeDocument/2006/relationships/hyperlink" Target="https://drive.google.com/file/d/14_e23Fks39g6eB6scWs8oJVkvBf-w1QV/view" TargetMode="External"/><Relationship Id="rId604" Type="http://schemas.openxmlformats.org/officeDocument/2006/relationships/hyperlink" Target="https://drive.google.com/file/d/12FCTiQHROItKTuE1paH0D-F5NmHrtpx8/view" TargetMode="External"/><Relationship Id="rId811" Type="http://schemas.openxmlformats.org/officeDocument/2006/relationships/hyperlink" Target="https://drive.google.com/file/d/1fVGTywNnBvbe_-XZ6i9qc-4BCJw5nmT1/view?usp=drive_link" TargetMode="External"/><Relationship Id="rId1027" Type="http://schemas.openxmlformats.org/officeDocument/2006/relationships/hyperlink" Target="https://drive.google.com/file/d/1dtmjjVifpdyX31hTWKtbOj-VXJHs1FLR/view?usp=drive_link" TargetMode="External"/><Relationship Id="rId1234" Type="http://schemas.openxmlformats.org/officeDocument/2006/relationships/hyperlink" Target="https://drive.google.com/file/d/1wFL1KQ-QVw5hSLZv1AF-r-UdMul7WJMk/view?usp=drive_link" TargetMode="External"/><Relationship Id="rId1441" Type="http://schemas.openxmlformats.org/officeDocument/2006/relationships/hyperlink" Target="https://drive.google.com/file/d/1bB7YXERU6N6l2CgGXhfHlbgLBpqYC7xS/view?usp=drive_link" TargetMode="External"/><Relationship Id="rId1886" Type="http://schemas.openxmlformats.org/officeDocument/2006/relationships/hyperlink" Target="https://drive.google.com/file/d/1Si-fSzjLqtub6Ffxa9vP4q5-r_GljdPA/view?usp=drive_link" TargetMode="External"/><Relationship Id="rId909" Type="http://schemas.openxmlformats.org/officeDocument/2006/relationships/hyperlink" Target="https://drive.google.com/file/d/1N22qwC0vrqCOzXJ46mu1iA931nPdVUdV/view?usp=drive_link" TargetMode="External"/><Relationship Id="rId1301" Type="http://schemas.openxmlformats.org/officeDocument/2006/relationships/hyperlink" Target="https://drive.google.com/file/d/19aGB7slFQPfIgI387xmUjRUwIeJi_fXB/view?usp=drive_link" TargetMode="External"/><Relationship Id="rId1539" Type="http://schemas.openxmlformats.org/officeDocument/2006/relationships/hyperlink" Target="https://drive.google.com/file/d/1b2eV06jwkZD183bC3zSDazL4_RSDXHSq/view?usp=drive_link" TargetMode="External"/><Relationship Id="rId1746" Type="http://schemas.openxmlformats.org/officeDocument/2006/relationships/hyperlink" Target="https://drive.google.com/file/d/1oGYK0VIxvZWojb4mGJZZsBVC1SfDMY6y/view?usp=drive_link" TargetMode="External"/><Relationship Id="rId1953" Type="http://schemas.openxmlformats.org/officeDocument/2006/relationships/hyperlink" Target="https://drive.google.com/file/d/1QZ18QaTmJF4nT-dAtMgJlTUA-K3sOYAQ/view?usp=drive_link" TargetMode="External"/><Relationship Id="rId38" Type="http://schemas.openxmlformats.org/officeDocument/2006/relationships/hyperlink" Target="https://drive.google.com/file/d/1erAewuQjYKuSzO2J7M_BGEAM7u-DEnI2/view" TargetMode="External"/><Relationship Id="rId1606" Type="http://schemas.openxmlformats.org/officeDocument/2006/relationships/hyperlink" Target="https://drive.google.com/file/d/1nvLtx1HJOnLb38HmGIORDb_hqRjZMsuK/view?usp=drive_link" TargetMode="External"/><Relationship Id="rId1813" Type="http://schemas.openxmlformats.org/officeDocument/2006/relationships/hyperlink" Target="https://drive.google.com/file/d/10RRCP9PqW1a0aXZkHVOxVr_hGOY01_Ce/view" TargetMode="External"/><Relationship Id="rId187" Type="http://schemas.openxmlformats.org/officeDocument/2006/relationships/hyperlink" Target="https://drive.google.com/file/d/1xNwrwZ-kLTM_YhVN0HOVWrlrlMM1DCgm/view" TargetMode="External"/><Relationship Id="rId394" Type="http://schemas.openxmlformats.org/officeDocument/2006/relationships/hyperlink" Target="https://drive.google.com/file/d/1HbIMSG327H4IroIIbzG-UoNFRHW9d4tq/view?usp=drive_link" TargetMode="External"/><Relationship Id="rId2075" Type="http://schemas.openxmlformats.org/officeDocument/2006/relationships/hyperlink" Target="https://drive.google.com/file/d/1W509JmdVlzeICueDgcivjNXJagqJa2qz/view?usp=drive_link" TargetMode="External"/><Relationship Id="rId254" Type="http://schemas.openxmlformats.org/officeDocument/2006/relationships/hyperlink" Target="https://drive.google.com/file/d/17kFHEbF-AEDFcJjjgAoxnDoBUieKKDg3/view" TargetMode="External"/><Relationship Id="rId699" Type="http://schemas.openxmlformats.org/officeDocument/2006/relationships/hyperlink" Target="https://drive.google.com/file/d/1eUqriZfZ8ZcnMu4n6LORw1pcnpQae1-d/view?usp=drive_link" TargetMode="External"/><Relationship Id="rId1091" Type="http://schemas.openxmlformats.org/officeDocument/2006/relationships/hyperlink" Target="https://drive.google.com/file/d/1bSZghuFPNMDy724R2VmzwB1Jr2rl9y3T/view?usp=drive_link" TargetMode="External"/><Relationship Id="rId114" Type="http://schemas.openxmlformats.org/officeDocument/2006/relationships/hyperlink" Target="https://drive.google.com/file/d/1davhSxDuZNhi5xMvx1qc6yUbp9a-alvk/view?usp=drive_link" TargetMode="External"/><Relationship Id="rId461" Type="http://schemas.openxmlformats.org/officeDocument/2006/relationships/hyperlink" Target="https://drive.google.com/file/d/1E_lw9TkbspjWKBlfCTRgy2po44C1TCJP/view?usp=drive_link" TargetMode="External"/><Relationship Id="rId559" Type="http://schemas.openxmlformats.org/officeDocument/2006/relationships/hyperlink" Target="https://drive.google.com/file/d/1rhCvHfKmw2WQRnaHsokOte7r7Nl3uIJy/view" TargetMode="External"/><Relationship Id="rId766" Type="http://schemas.openxmlformats.org/officeDocument/2006/relationships/hyperlink" Target="https://drive.google.com/file/d/1xtKK1s6-PHzFzBwpapa8NlHm2NARujAZ/view?usp=drive_link" TargetMode="External"/><Relationship Id="rId1189" Type="http://schemas.openxmlformats.org/officeDocument/2006/relationships/hyperlink" Target="https://drive.google.com/file/d/10RRCP9PqW1a0aXZkHVOxVr_hGOY01_Ce/view" TargetMode="External"/><Relationship Id="rId1396" Type="http://schemas.openxmlformats.org/officeDocument/2006/relationships/hyperlink" Target="https://drive.google.com/file/d/16iCRVZ9FIxsqJnxI634PDZC4GeoM1QjJ/view?usp=drive_link" TargetMode="External"/><Relationship Id="rId321" Type="http://schemas.openxmlformats.org/officeDocument/2006/relationships/hyperlink" Target="https://drive.google.com/file/d/1p2iUJtng5C_UXPw0fI_hg5oznXFeBhpI/view" TargetMode="External"/><Relationship Id="rId419" Type="http://schemas.openxmlformats.org/officeDocument/2006/relationships/hyperlink" Target="https://drive.google.com/file/d/1ISoQA3fZJl3c0SFy1tNoIXbnwnuAAjGb/view?usp=drive_link" TargetMode="External"/><Relationship Id="rId626" Type="http://schemas.openxmlformats.org/officeDocument/2006/relationships/hyperlink" Target="https://drive.google.com/file/d/1YYboHNgsShFzYyBHMkUoSzib7zJkM_P6/view" TargetMode="External"/><Relationship Id="rId973" Type="http://schemas.openxmlformats.org/officeDocument/2006/relationships/hyperlink" Target="https://drive.google.com/file/d/1dRnOElIobWmdZEkO8BRVE7TU1yvuxQXW/view?usp=drive_link" TargetMode="External"/><Relationship Id="rId1049" Type="http://schemas.openxmlformats.org/officeDocument/2006/relationships/hyperlink" Target="https://drive.google.com/file/d/1EShm-JCEBeUL9t9jvi_3B6OF8gY5AK0w/view?usp=drive_link" TargetMode="External"/><Relationship Id="rId1256" Type="http://schemas.openxmlformats.org/officeDocument/2006/relationships/hyperlink" Target="https://drive.google.com/file/d/1QSpwAu5G5jYzzAO2U4PsRnfbTsKxHd6s/view?usp=drive_link" TargetMode="External"/><Relationship Id="rId2002" Type="http://schemas.openxmlformats.org/officeDocument/2006/relationships/hyperlink" Target="https://drive.google.com/file/d/1AoH0Y4ciTRcsU5X6S4aZ3HZiPs325E2e/view?usp=drive_link" TargetMode="External"/><Relationship Id="rId833" Type="http://schemas.openxmlformats.org/officeDocument/2006/relationships/hyperlink" Target="https://drive.google.com/file/d/1q1S8kM3uWaJrbD9mRZ_cWxaj0alzeKgN/view?usp=drive_link" TargetMode="External"/><Relationship Id="rId1116" Type="http://schemas.openxmlformats.org/officeDocument/2006/relationships/hyperlink" Target="https://drive.google.com/file/d/1AWxAuRE6Vg50Zv6iozolSxiyZ-AwV82_/view?usp=drive_link" TargetMode="External"/><Relationship Id="rId1463" Type="http://schemas.openxmlformats.org/officeDocument/2006/relationships/hyperlink" Target="https://drive.google.com/file/d/1YilrYlrEBR5j4gXQtSjyi1aNfDAiAnEu/view?usp=drive_link" TargetMode="External"/><Relationship Id="rId1670" Type="http://schemas.openxmlformats.org/officeDocument/2006/relationships/hyperlink" Target="https://drive.google.com/file/d/1ErzZnaGRbRgYHrCEwMv-7ly4fAk80jPD/view?usp=drive_link" TargetMode="External"/><Relationship Id="rId1768" Type="http://schemas.openxmlformats.org/officeDocument/2006/relationships/hyperlink" Target="https://drive.google.com/file/d/1Q6MU9kG1fczWg0z99j87JV0I8dZyJDIP/view" TargetMode="External"/><Relationship Id="rId900" Type="http://schemas.openxmlformats.org/officeDocument/2006/relationships/hyperlink" Target="https://drive.google.com/file/d/1dMX3W21nvBkM9WPZUIo18OVNIoRxyreY/view?usp=drive_link" TargetMode="External"/><Relationship Id="rId1323" Type="http://schemas.openxmlformats.org/officeDocument/2006/relationships/hyperlink" Target="https://drive.google.com/file/d/1p6hIUtd-nvQqhm5QfcZ7_NmYe6thw_QN/view?usp=drive_link" TargetMode="External"/><Relationship Id="rId1530" Type="http://schemas.openxmlformats.org/officeDocument/2006/relationships/hyperlink" Target="https://drive.google.com/file/d/1XjKaIIKxhd8oZqb19P6albr-80-RL-hK/view?usp=drive_link" TargetMode="External"/><Relationship Id="rId1628" Type="http://schemas.openxmlformats.org/officeDocument/2006/relationships/hyperlink" Target="https://drive.google.com/file/d/1jjzR1RyL3evEhn3RbMY2vgThzWgq-fJN/view" TargetMode="External"/><Relationship Id="rId1975" Type="http://schemas.openxmlformats.org/officeDocument/2006/relationships/hyperlink" Target="https://drive.google.com/file/d/1La3JnRLTGosBhQtrjluRdPiS-rya-Lxf/view" TargetMode="External"/><Relationship Id="rId1835" Type="http://schemas.openxmlformats.org/officeDocument/2006/relationships/hyperlink" Target="https://drive.google.com/file/d/10RRCP9PqW1a0aXZkHVOxVr_hGOY01_Ce/view" TargetMode="External"/><Relationship Id="rId1902" Type="http://schemas.openxmlformats.org/officeDocument/2006/relationships/hyperlink" Target="https://drive.google.com/file/d/1EFP77JsHwvOLRKb7NL4f0-WTRLI4zmhV/view?usp=drive_link" TargetMode="External"/><Relationship Id="rId276" Type="http://schemas.openxmlformats.org/officeDocument/2006/relationships/hyperlink" Target="https://drive.google.com/file/d/1N4Zo1nyoTRwV-8yeADEdYoewjbxnID-Z/view?usp=drive_link" TargetMode="External"/><Relationship Id="rId483" Type="http://schemas.openxmlformats.org/officeDocument/2006/relationships/hyperlink" Target="https://drive.google.com/file/d/1hmXY9RLSychgJTsAJz7iOoJsrTTIp1VT/view?usp=drive_link" TargetMode="External"/><Relationship Id="rId690" Type="http://schemas.openxmlformats.org/officeDocument/2006/relationships/hyperlink" Target="https://drive.google.com/file/d/1q1S8kM3uWaJrbD9mRZ_cWxaj0alzeKgN/view?usp=drive_link" TargetMode="External"/><Relationship Id="rId136" Type="http://schemas.openxmlformats.org/officeDocument/2006/relationships/hyperlink" Target="https://drive.google.com/file/d/11ckN00HUeGC8mZ4NTbuNo3XBAKRafCzJ/view" TargetMode="External"/><Relationship Id="rId343" Type="http://schemas.openxmlformats.org/officeDocument/2006/relationships/hyperlink" Target="https://drive.google.com/file/d/1txs_xJtZSRV3s1r41GM6nzBz3ZapFemu/view?usp=drive_link" TargetMode="External"/><Relationship Id="rId550" Type="http://schemas.openxmlformats.org/officeDocument/2006/relationships/hyperlink" Target="https://drive.google.com/file/d/1_9wvDD0xzarupnO-MkGQjPWkgNEleRMr/view" TargetMode="External"/><Relationship Id="rId788" Type="http://schemas.openxmlformats.org/officeDocument/2006/relationships/hyperlink" Target="https://drive.google.com/file/d/1SQaSL7hmUFSKHN8i7pVPvx3STLMqAOAw/view?usp=drive_link" TargetMode="External"/><Relationship Id="rId995" Type="http://schemas.openxmlformats.org/officeDocument/2006/relationships/hyperlink" Target="https://drive.google.com/file/d/1jjzR1RyL3evEhn3RbMY2vgThzWgq-fJN/view" TargetMode="External"/><Relationship Id="rId1180" Type="http://schemas.openxmlformats.org/officeDocument/2006/relationships/hyperlink" Target="https://drive.google.com/file/d/10RRCP9PqW1a0aXZkHVOxVr_hGOY01_Ce/view" TargetMode="External"/><Relationship Id="rId2024" Type="http://schemas.openxmlformats.org/officeDocument/2006/relationships/hyperlink" Target="https://drive.google.com/file/d/1MQhooDZfb_a8dh1XjYQap8rFcmtl5opU/view" TargetMode="External"/><Relationship Id="rId203" Type="http://schemas.openxmlformats.org/officeDocument/2006/relationships/hyperlink" Target="https://drive.google.com/file/d/1Ri-YAEWJjvz1PE2D5W_tY9aB0o-kD3Cx/view" TargetMode="External"/><Relationship Id="rId648" Type="http://schemas.openxmlformats.org/officeDocument/2006/relationships/hyperlink" Target="https://drive.google.com/file/d/1iBr6b26MBv3-qs2HfZPBv-_SZMciRoSv/view" TargetMode="External"/><Relationship Id="rId855" Type="http://schemas.openxmlformats.org/officeDocument/2006/relationships/hyperlink" Target="https://drive.google.com/file/d/1Kj7pGsto2d8qxWBBNeFSXHt0ZCv3amEr/view?usp=drive_link" TargetMode="External"/><Relationship Id="rId1040" Type="http://schemas.openxmlformats.org/officeDocument/2006/relationships/hyperlink" Target="https://drive.google.com/file/d/17TfQKd0Cd9yG2mhJV3bja_JAtLRy5Hq5/view?usp=drive_link" TargetMode="External"/><Relationship Id="rId1278" Type="http://schemas.openxmlformats.org/officeDocument/2006/relationships/hyperlink" Target="https://drive.google.com/file/d/18HTGOY9i7bxWMrMLMgWvctC0TQbGDm_d/view?usp=drive_link" TargetMode="External"/><Relationship Id="rId1485" Type="http://schemas.openxmlformats.org/officeDocument/2006/relationships/hyperlink" Target="https://drive.google.com/file/d/1fUENaPvI5EGQBpB2AP1I0ESrESO08iWA/view?usp=drive_link" TargetMode="External"/><Relationship Id="rId1692" Type="http://schemas.openxmlformats.org/officeDocument/2006/relationships/hyperlink" Target="https://drive.google.com/file/d/18gvd1UBIqDir1Ui4hKFDzLdKhiyxJeTK/view?usp=drive_link" TargetMode="External"/><Relationship Id="rId410" Type="http://schemas.openxmlformats.org/officeDocument/2006/relationships/hyperlink" Target="https://drive.google.com/file/d/1d7EUl2nVrW2pVWhjsLWPCnuUAtvGF_0w/view?usp=drive_link" TargetMode="External"/><Relationship Id="rId508" Type="http://schemas.openxmlformats.org/officeDocument/2006/relationships/hyperlink" Target="https://drive.google.com/file/d/1zxbs_azC4N6-X3OZD0Sz6VP6Xjewm9-8/view" TargetMode="External"/><Relationship Id="rId715" Type="http://schemas.openxmlformats.org/officeDocument/2006/relationships/hyperlink" Target="https://drive.google.com/file/d/1N9brwHmFW_PdvPj4vWj5-JYfwZ_j8qxo/view?usp=drive_link" TargetMode="External"/><Relationship Id="rId922" Type="http://schemas.openxmlformats.org/officeDocument/2006/relationships/hyperlink" Target="https://drive.google.com/file/d/1N22qwC0vrqCOzXJ46mu1iA931nPdVUdV/view?usp=drive_link" TargetMode="External"/><Relationship Id="rId1138" Type="http://schemas.openxmlformats.org/officeDocument/2006/relationships/hyperlink" Target="https://drive.google.com/file/d/1gB5Fi3nL6FCTnmd91Ei3_QQJ9QXEVQuG/view" TargetMode="External"/><Relationship Id="rId1345" Type="http://schemas.openxmlformats.org/officeDocument/2006/relationships/hyperlink" Target="https://drive.google.com/file/d/1PBCEYtD7A6r3bmKeU8hWJH7w8BXVVzH1/view" TargetMode="External"/><Relationship Id="rId1552" Type="http://schemas.openxmlformats.org/officeDocument/2006/relationships/hyperlink" Target="https://drive.google.com/file/d/13q2lrMXyrD-jFwOUSAmyXAyHguPjfyop/view?usp=drive_link" TargetMode="External"/><Relationship Id="rId1997" Type="http://schemas.openxmlformats.org/officeDocument/2006/relationships/hyperlink" Target="https://drive.google.com/file/d/1BakHXePkW3JZxwSnUkqqZxtPshE0ewsY/view?usp=drive_link" TargetMode="External"/><Relationship Id="rId1205" Type="http://schemas.openxmlformats.org/officeDocument/2006/relationships/hyperlink" Target="https://drive.google.com/file/d/1JSFImQsE-aSNBi1_XGaeHY1TM31sTpH0/view?usp=drive_link" TargetMode="External"/><Relationship Id="rId1857" Type="http://schemas.openxmlformats.org/officeDocument/2006/relationships/hyperlink" Target="https://drive.google.com/file/d/1DZ00kl6N0YvT2ZAXdhcx9VQ5hnPKYmSP/view?usp=drive_link" TargetMode="External"/><Relationship Id="rId51" Type="http://schemas.openxmlformats.org/officeDocument/2006/relationships/hyperlink" Target="https://drive.google.com/file/d/1iggJgkxEIi33_uzKlp_ENRo47YLn90I8/view" TargetMode="External"/><Relationship Id="rId1412" Type="http://schemas.openxmlformats.org/officeDocument/2006/relationships/hyperlink" Target="https://drive.google.com/file/d/1IobvhS63KW7w3xiQvQNpxHjV7ZiZaVbc/view?usp=drive_link" TargetMode="External"/><Relationship Id="rId1717" Type="http://schemas.openxmlformats.org/officeDocument/2006/relationships/hyperlink" Target="https://drive.google.com/file/d/1U_VfOs-qUWoEMVHPtt9sq2AZH--X8AwT/view?usp=drive_link" TargetMode="External"/><Relationship Id="rId1924" Type="http://schemas.openxmlformats.org/officeDocument/2006/relationships/hyperlink" Target="https://drive.google.com/file/d/1-kULF92O7kA2Vy-9i1BZzi1_0bIC323S/view?usp=drive_link" TargetMode="External"/><Relationship Id="rId298" Type="http://schemas.openxmlformats.org/officeDocument/2006/relationships/hyperlink" Target="https://drive.google.com/file/d/1N4Zo1nyoTRwV-8yeADEdYoewjbxnID-Z/view" TargetMode="External"/><Relationship Id="rId158" Type="http://schemas.openxmlformats.org/officeDocument/2006/relationships/hyperlink" Target="https://drive.google.com/file/d/1Xv5IhBhdmlrvaY32k_gxD4v2dwCxj2S0/view" TargetMode="External"/><Relationship Id="rId365" Type="http://schemas.openxmlformats.org/officeDocument/2006/relationships/hyperlink" Target="https://drive.google.com/file/d/1DE97kviXT-3hj-mPkqohYwgjer1eZUEt/view?usp=drive_link" TargetMode="External"/><Relationship Id="rId572" Type="http://schemas.openxmlformats.org/officeDocument/2006/relationships/hyperlink" Target="https://drive.google.com/file/d/1XM56ViSsm-28H781ilJpgfRH-h3HxQCr/view" TargetMode="External"/><Relationship Id="rId2046" Type="http://schemas.openxmlformats.org/officeDocument/2006/relationships/hyperlink" Target="https://drive.google.com/file/d/10HQlUfuCM9rvKh755NA9pHKofaluje0o/view" TargetMode="External"/><Relationship Id="rId225" Type="http://schemas.openxmlformats.org/officeDocument/2006/relationships/hyperlink" Target="https://drive.google.com/file/d/17kFHEbF-AEDFcJjjgAoxnDoBUieKKDg3/view" TargetMode="External"/><Relationship Id="rId432" Type="http://schemas.openxmlformats.org/officeDocument/2006/relationships/hyperlink" Target="https://drive.google.com/file/d/1l032NhkgI8VXW1YdwE6IVXJ95axS_1_N/view?usp=drive_link" TargetMode="External"/><Relationship Id="rId877" Type="http://schemas.openxmlformats.org/officeDocument/2006/relationships/hyperlink" Target="https://drive.google.com/file/d/1UDZ3DSBMcsK5rQzLJk4M0--CngCzKop9/view?usp=drive_link" TargetMode="External"/><Relationship Id="rId1062" Type="http://schemas.openxmlformats.org/officeDocument/2006/relationships/hyperlink" Target="https://drive.google.com/file/d/1lHsS9HToAAkVgzUpu0SvP6Q74MdwpNaD/view?usp=drive_link" TargetMode="External"/><Relationship Id="rId737" Type="http://schemas.openxmlformats.org/officeDocument/2006/relationships/hyperlink" Target="https://drive.google.com/file/d/1ObN57YJNOg65CaDV-I6Uf3vEwf4ffCFW/view?usp=drive_link" TargetMode="External"/><Relationship Id="rId944" Type="http://schemas.openxmlformats.org/officeDocument/2006/relationships/hyperlink" Target="https://drive.google.com/file/d/1C77z3tm5EXrMVDwQXL6nGlcUbobUc3K6/view" TargetMode="External"/><Relationship Id="rId1367" Type="http://schemas.openxmlformats.org/officeDocument/2006/relationships/hyperlink" Target="https://drive.google.com/file/d/10HQlUfuCM9rvKh755NA9pHKofaluje0o/view" TargetMode="External"/><Relationship Id="rId1574" Type="http://schemas.openxmlformats.org/officeDocument/2006/relationships/hyperlink" Target="https://drive.google.com/file/d/1ruM5f-JPXrFoNb6xNaz40ic4CGr2kGvK/view" TargetMode="External"/><Relationship Id="rId1781" Type="http://schemas.openxmlformats.org/officeDocument/2006/relationships/hyperlink" Target="https://drive.google.com/file/d/1qZSXHwjD6UiZLiCnVCCPpTfeEZz74aAs/view" TargetMode="External"/><Relationship Id="rId73" Type="http://schemas.openxmlformats.org/officeDocument/2006/relationships/hyperlink" Target="https://drive.google.com/file/d/14_e23Fks39g6eB6scWs8oJVkvBf-w1QV/view" TargetMode="External"/><Relationship Id="rId804" Type="http://schemas.openxmlformats.org/officeDocument/2006/relationships/hyperlink" Target="https://drive.google.com/file/d/1fVGTywNnBvbe_-XZ6i9qc-4BCJw5nmT1/view?usp=drive_link" TargetMode="External"/><Relationship Id="rId1227" Type="http://schemas.openxmlformats.org/officeDocument/2006/relationships/hyperlink" Target="https://drive.google.com/file/d/1wFL1KQ-QVw5hSLZv1AF-r-UdMul7WJMk/view?usp=drive_link" TargetMode="External"/><Relationship Id="rId1434" Type="http://schemas.openxmlformats.org/officeDocument/2006/relationships/hyperlink" Target="https://drive.google.com/file/d/1bB7YXERU6N6l2CgGXhfHlbgLBpqYC7xS/view?usp=drive_link" TargetMode="External"/><Relationship Id="rId1641" Type="http://schemas.openxmlformats.org/officeDocument/2006/relationships/hyperlink" Target="https://drive.google.com/file/d/1P8dv2yDVWK28813AIv4m4F9tgxPrdqDO/view" TargetMode="External"/><Relationship Id="rId1879" Type="http://schemas.openxmlformats.org/officeDocument/2006/relationships/hyperlink" Target="https://drive.google.com/file/d/1Si-fSzjLqtub6Ffxa9vP4q5-r_GljdPA/view?usp=drive_link" TargetMode="External"/><Relationship Id="rId1501" Type="http://schemas.openxmlformats.org/officeDocument/2006/relationships/hyperlink" Target="https://drive.google.com/file/d/1nd2LuxXC_tnKKOUoZp-2rCmz6m31uExe/view?usp=drive_link" TargetMode="External"/><Relationship Id="rId1739" Type="http://schemas.openxmlformats.org/officeDocument/2006/relationships/hyperlink" Target="https://drive.google.com/file/d/1PNmp5EMW5WyKjKqULNrxDdbiU7_eGUj0/view?usp=drive_link" TargetMode="External"/><Relationship Id="rId1946" Type="http://schemas.openxmlformats.org/officeDocument/2006/relationships/hyperlink" Target="https://drive.google.com/file/d/1QZ18QaTmJF4nT-dAtMgJlTUA-K3sOYAQ/view?usp=drive_link" TargetMode="External"/><Relationship Id="rId1806" Type="http://schemas.openxmlformats.org/officeDocument/2006/relationships/hyperlink" Target="https://drive.google.com/file/d/1FRRXo6J4o4AZtg9BHSw3llGraq7T31kv/view?usp=drive_link" TargetMode="External"/><Relationship Id="rId387" Type="http://schemas.openxmlformats.org/officeDocument/2006/relationships/hyperlink" Target="https://drive.google.com/file/d/1HbIMSG327H4IroIIbzG-UoNFRHW9d4tq/view?usp=drive_link" TargetMode="External"/><Relationship Id="rId594" Type="http://schemas.openxmlformats.org/officeDocument/2006/relationships/hyperlink" Target="https://drive.google.com/file/d/1TkkF924YYfv_46cDxUoc3DW_cdMcch42/view" TargetMode="External"/><Relationship Id="rId2068" Type="http://schemas.openxmlformats.org/officeDocument/2006/relationships/hyperlink" Target="https://drive.google.com/file/d/1XO6KFN11Xr9Vu-p4z4gv56Vfr7TRSm9W/view?usp=drive_link" TargetMode="External"/><Relationship Id="rId247" Type="http://schemas.openxmlformats.org/officeDocument/2006/relationships/hyperlink" Target="https://drive.google.com/file/d/1Ri-YAEWJjvz1PE2D5W_tY9aB0o-kD3Cx/view" TargetMode="External"/><Relationship Id="rId899" Type="http://schemas.openxmlformats.org/officeDocument/2006/relationships/hyperlink" Target="https://drive.google.com/file/d/1dMX3W21nvBkM9WPZUIo18OVNIoRxyreY/view?usp=drive_link" TargetMode="External"/><Relationship Id="rId1084" Type="http://schemas.openxmlformats.org/officeDocument/2006/relationships/hyperlink" Target="https://drive.google.com/file/d/1bSZghuFPNMDy724R2VmzwB1Jr2rl9y3T/view?usp=drive_link" TargetMode="External"/><Relationship Id="rId107" Type="http://schemas.openxmlformats.org/officeDocument/2006/relationships/hyperlink" Target="https://drive.google.com/file/d/1UQjOfPn-C05A2ksrxMwMtksI2P0xlIz8/view" TargetMode="External"/><Relationship Id="rId454" Type="http://schemas.openxmlformats.org/officeDocument/2006/relationships/hyperlink" Target="https://drive.google.com/file/d/1XZELMJDN7oiWnhqZnzMAEUGGr7oqakya/view?usp=drive_link" TargetMode="External"/><Relationship Id="rId661" Type="http://schemas.openxmlformats.org/officeDocument/2006/relationships/hyperlink" Target="https://drive.google.com/file/d/1q4cCVCNG__x2eJpAiRLTqR7FTiIzCqW_/view" TargetMode="External"/><Relationship Id="rId759" Type="http://schemas.openxmlformats.org/officeDocument/2006/relationships/hyperlink" Target="https://drive.google.com/file/d/1eUqriZfZ8ZcnMu4n6LORw1pcnpQae1-d/view?usp=drive_link" TargetMode="External"/><Relationship Id="rId966" Type="http://schemas.openxmlformats.org/officeDocument/2006/relationships/hyperlink" Target="https://drive.google.com/file/d/1ns9WVi4LIlCy9kRsqLx6fuozbqpfzmaZ/view?usp=drive_link" TargetMode="External"/><Relationship Id="rId1291" Type="http://schemas.openxmlformats.org/officeDocument/2006/relationships/hyperlink" Target="https://drive.google.com/file/d/1_yjMQo6gzbHLiIya48Wdfww-Xb1eVGfK/view?usp=drive_link" TargetMode="External"/><Relationship Id="rId1389" Type="http://schemas.openxmlformats.org/officeDocument/2006/relationships/hyperlink" Target="https://drive.google.com/file/d/16iCRVZ9FIxsqJnxI634PDZC4GeoM1QjJ/view?usp=drive_link" TargetMode="External"/><Relationship Id="rId1596" Type="http://schemas.openxmlformats.org/officeDocument/2006/relationships/hyperlink" Target="https://drive.google.com/file/d/1plIl4OwrTQiOuqIP5TrPp953bH0vUYQ-/view?usp=drive_link" TargetMode="External"/><Relationship Id="rId314" Type="http://schemas.openxmlformats.org/officeDocument/2006/relationships/hyperlink" Target="https://drive.google.com/file/d/1u7fyxEhz5ZBdqEUOis7aQ3eZaoNHO5t6/view" TargetMode="External"/><Relationship Id="rId521" Type="http://schemas.openxmlformats.org/officeDocument/2006/relationships/hyperlink" Target="https://drive.google.com/file/d/1tQyDFiR7dq4GijMcq4Q92uVh9nI1y4mw/view" TargetMode="External"/><Relationship Id="rId619" Type="http://schemas.openxmlformats.org/officeDocument/2006/relationships/hyperlink" Target="https://drive.google.com/file/d/1YYboHNgsShFzYyBHMkUoSzib7zJkM_P6/view" TargetMode="External"/><Relationship Id="rId1151" Type="http://schemas.openxmlformats.org/officeDocument/2006/relationships/hyperlink" Target="https://drive.google.com/file/d/1l1qtJWULZ9Ls8rKQ1VUw4meyuzKWs1jT/view?usp=drive_link" TargetMode="External"/><Relationship Id="rId1249" Type="http://schemas.openxmlformats.org/officeDocument/2006/relationships/hyperlink" Target="https://drive.google.com/file/d/1QSpwAu5G5jYzzAO2U4PsRnfbTsKxHd6s/view?usp=drive_link" TargetMode="External"/><Relationship Id="rId95" Type="http://schemas.openxmlformats.org/officeDocument/2006/relationships/hyperlink" Target="https://drive.google.com/file/d/1TL9IrzKlPKxuk1hHUSBJEQg3OHu9BPMb/view" TargetMode="External"/><Relationship Id="rId826" Type="http://schemas.openxmlformats.org/officeDocument/2006/relationships/hyperlink" Target="https://drive.google.com/file/d/12sTUZOMQU8Yb4ZMfjTWU89XE7G6Mx5fV/view?usp=drive_link" TargetMode="External"/><Relationship Id="rId1011" Type="http://schemas.openxmlformats.org/officeDocument/2006/relationships/hyperlink" Target="https://drive.google.com/file/d/1P8dv2yDVWK28813AIv4m4F9tgxPrdqDO/view" TargetMode="External"/><Relationship Id="rId1109" Type="http://schemas.openxmlformats.org/officeDocument/2006/relationships/hyperlink" Target="https://drive.google.com/file/d/1AWxAuRE6Vg50Zv6iozolSxiyZ-AwV82_/view?usp=drive_link" TargetMode="External"/><Relationship Id="rId1456" Type="http://schemas.openxmlformats.org/officeDocument/2006/relationships/hyperlink" Target="https://drive.google.com/file/d/1Zy0KiYSeP-PDs5KIIeeW5fsWj9p4nkja/view?usp=drive_link" TargetMode="External"/><Relationship Id="rId1663" Type="http://schemas.openxmlformats.org/officeDocument/2006/relationships/hyperlink" Target="https://drive.google.com/file/d/1ErzZnaGRbRgYHrCEwMv-7ly4fAk80jPD/view?usp=drive_link" TargetMode="External"/><Relationship Id="rId1870" Type="http://schemas.openxmlformats.org/officeDocument/2006/relationships/hyperlink" Target="https://drive.google.com/file/d/12tCRalajPMVE-onCQiXS7R_4zEPBFs_C/view?usp=drive_link" TargetMode="External"/><Relationship Id="rId1968" Type="http://schemas.openxmlformats.org/officeDocument/2006/relationships/hyperlink" Target="https://drive.google.com/file/d/1La3JnRLTGosBhQtrjluRdPiS-rya-Lxf/view" TargetMode="External"/><Relationship Id="rId1316" Type="http://schemas.openxmlformats.org/officeDocument/2006/relationships/hyperlink" Target="https://drive.google.com/file/d/1xvK7oL2060tGjomnxIMM_vkytJCIFbUM/view" TargetMode="External"/><Relationship Id="rId1523" Type="http://schemas.openxmlformats.org/officeDocument/2006/relationships/hyperlink" Target="https://drive.google.com/file/d/1_Jil7Wkfj5WOP-6FE-VdY7qc0mLZ5DUM/view?usp=drive_link" TargetMode="External"/><Relationship Id="rId1730" Type="http://schemas.openxmlformats.org/officeDocument/2006/relationships/hyperlink" Target="https://drive.google.com/file/d/1eggsoLAPcrdATW-qSGgu_m3YksjLLiJO/view?usp=drive_link" TargetMode="External"/><Relationship Id="rId22" Type="http://schemas.openxmlformats.org/officeDocument/2006/relationships/hyperlink" Target="https://drive.google.com/file/d/1UQjOfPn-C05A2ksrxMwMtksI2P0xlIz8/view" TargetMode="External"/><Relationship Id="rId1828" Type="http://schemas.openxmlformats.org/officeDocument/2006/relationships/hyperlink" Target="https://drive.google.com/file/d/10RRCP9PqW1a0aXZkHVOxVr_hGOY01_Ce/view" TargetMode="External"/><Relationship Id="rId171" Type="http://schemas.openxmlformats.org/officeDocument/2006/relationships/hyperlink" Target="https://drive.google.com/file/d/1cGFZl0t3lci1ilX5gjjOKnRFdDklY_8G/view" TargetMode="External"/><Relationship Id="rId269" Type="http://schemas.openxmlformats.org/officeDocument/2006/relationships/hyperlink" Target="https://drive.google.com/file/d/1N4Zo1nyoTRwV-8yeADEdYoewjbxnID-Z/view" TargetMode="External"/><Relationship Id="rId476" Type="http://schemas.openxmlformats.org/officeDocument/2006/relationships/hyperlink" Target="https://drive.google.com/file/d/1hmXY9RLSychgJTsAJz7iOoJsrTTIp1VT/view?usp=drive_link" TargetMode="External"/><Relationship Id="rId683" Type="http://schemas.openxmlformats.org/officeDocument/2006/relationships/hyperlink" Target="https://drive.google.com/file/d/1iBr6b26MBv3-qs2HfZPBv-_SZMciRoSv/view" TargetMode="External"/><Relationship Id="rId890" Type="http://schemas.openxmlformats.org/officeDocument/2006/relationships/hyperlink" Target="https://drive.google.com/file/d/1bYy1Ayup9OPnx4Ey4guSJ9WrktD4_Ot6/view?usp=drive_link" TargetMode="External"/><Relationship Id="rId129" Type="http://schemas.openxmlformats.org/officeDocument/2006/relationships/hyperlink" Target="https://drive.google.com/file/d/1Jq87qjyP8CX6GzfZ6UTJqN8h3tUDVJ4L/view" TargetMode="External"/><Relationship Id="rId336" Type="http://schemas.openxmlformats.org/officeDocument/2006/relationships/hyperlink" Target="https://drive.google.com/file/d/1hhxNGrt1RWUdQCNORiATApfV6dbwQHYv/view?usp=drive_link" TargetMode="External"/><Relationship Id="rId543" Type="http://schemas.openxmlformats.org/officeDocument/2006/relationships/hyperlink" Target="https://drive.google.com/file/d/1_9wvDD0xzarupnO-MkGQjPWkgNEleRMr/view" TargetMode="External"/><Relationship Id="rId988" Type="http://schemas.openxmlformats.org/officeDocument/2006/relationships/hyperlink" Target="https://drive.google.com/file/d/1hU_NG6jWFnAFsctWfxIixSLdfdg-2vbM/view" TargetMode="External"/><Relationship Id="rId1173" Type="http://schemas.openxmlformats.org/officeDocument/2006/relationships/hyperlink" Target="https://drive.google.com/file/d/1AjudEJfSeA5pObV4i_-2eZywBMH4FjUH/view" TargetMode="External"/><Relationship Id="rId1380" Type="http://schemas.openxmlformats.org/officeDocument/2006/relationships/hyperlink" Target="https://drive.google.com/file/d/1OXVVqgSOAs7Kf0OYXBLzBzLajLz35A4_/view?usp=drive_link" TargetMode="External"/><Relationship Id="rId2017" Type="http://schemas.openxmlformats.org/officeDocument/2006/relationships/hyperlink" Target="https://drive.google.com/file/d/1MQhooDZfb_a8dh1XjYQap8rFcmtl5opU/view" TargetMode="External"/><Relationship Id="rId403" Type="http://schemas.openxmlformats.org/officeDocument/2006/relationships/hyperlink" Target="https://drive.google.com/file/d/1j2tLIzNNUoZkZ243oPB10Uwaw2b3_A58/view?usp=drive_link" TargetMode="External"/><Relationship Id="rId750" Type="http://schemas.openxmlformats.org/officeDocument/2006/relationships/hyperlink" Target="https://drive.google.com/file/d/17_08NSWt7_gBt9GqJ59cc4phZ7kJIzsK/view?usp=drive_link" TargetMode="External"/><Relationship Id="rId848" Type="http://schemas.openxmlformats.org/officeDocument/2006/relationships/hyperlink" Target="https://drive.google.com/file/d/1j8yRlDYok5MJSeLQ4eUWBEa5wF2-pNRd/view?usp=drive_link" TargetMode="External"/><Relationship Id="rId1033" Type="http://schemas.openxmlformats.org/officeDocument/2006/relationships/hyperlink" Target="https://drive.google.com/file/d/1rB6fHuIxGh5D4VZSJD6ZhvSpEbCfXrnN/view?usp=drive_link" TargetMode="External"/><Relationship Id="rId1478" Type="http://schemas.openxmlformats.org/officeDocument/2006/relationships/hyperlink" Target="https://drive.google.com/file/d/1fUENaPvI5EGQBpB2AP1I0ESrESO08iWA/view?usp=drive_link" TargetMode="External"/><Relationship Id="rId1685" Type="http://schemas.openxmlformats.org/officeDocument/2006/relationships/hyperlink" Target="https://drive.google.com/file/d/1YiebLoAQwQ3DDXk7k09Eme9jE5xzfvGC/view?usp=drive_link" TargetMode="External"/><Relationship Id="rId1892" Type="http://schemas.openxmlformats.org/officeDocument/2006/relationships/hyperlink" Target="https://drive.google.com/file/d/1oKDXnxtrdsnKiXx-rE-IOxBOcPslLQ0_/view?usp=drive_link" TargetMode="External"/><Relationship Id="rId610" Type="http://schemas.openxmlformats.org/officeDocument/2006/relationships/hyperlink" Target="https://drive.google.com/file/d/1y-Ocgzn3Ss07_HRVm38HZw507xBX9Q3K/view" TargetMode="External"/><Relationship Id="rId708" Type="http://schemas.openxmlformats.org/officeDocument/2006/relationships/hyperlink" Target="https://drive.google.com/file/d/1oaU6aDLcm-WgPEMXNtdBYkqXGGsSkflq/view?usp=drive_link" TargetMode="External"/><Relationship Id="rId915" Type="http://schemas.openxmlformats.org/officeDocument/2006/relationships/hyperlink" Target="https://drive.google.com/file/d/1XNlB-TCqjbu1MIFEoH3KzWJaFDA0h4Mr/view?usp=drive_link" TargetMode="External"/><Relationship Id="rId1240" Type="http://schemas.openxmlformats.org/officeDocument/2006/relationships/hyperlink" Target="https://drive.google.com/file/d/1g0qE64GhrUOttT19f46pAEKIpTihMBf3/view?usp=drive_link" TargetMode="External"/><Relationship Id="rId1338" Type="http://schemas.openxmlformats.org/officeDocument/2006/relationships/hyperlink" Target="https://drive.google.com/file/d/1PBCEYtD7A6r3bmKeU8hWJH7w8BXVVzH1/view" TargetMode="External"/><Relationship Id="rId1545" Type="http://schemas.openxmlformats.org/officeDocument/2006/relationships/hyperlink" Target="https://drive.google.com/file/d/1b2eV06jwkZD183bC3zSDazL4_RSDXHSq/view?usp=drive_link" TargetMode="External"/><Relationship Id="rId1100" Type="http://schemas.openxmlformats.org/officeDocument/2006/relationships/hyperlink" Target="https://drive.google.com/file/d/1XDJ17puSEKXRlcpoac80pcUkSirH5iqT/view?usp=drive_link" TargetMode="External"/><Relationship Id="rId1405" Type="http://schemas.openxmlformats.org/officeDocument/2006/relationships/hyperlink" Target="https://drive.google.com/file/d/1TDk98vxQ3RO5Vex4gTvzQ8srdHf8VMYQ/view?usp=drive_link" TargetMode="External"/><Relationship Id="rId1752" Type="http://schemas.openxmlformats.org/officeDocument/2006/relationships/hyperlink" Target="https://drive.google.com/file/d/1oGYK0VIxvZWojb4mGJZZsBVC1SfDMY6y/view?usp=drive_link" TargetMode="External"/><Relationship Id="rId44" Type="http://schemas.openxmlformats.org/officeDocument/2006/relationships/hyperlink" Target="https://drive.google.com/file/d/1c3FBPHHZ7t7n-uvjJkQ1bEwKAXm0RkFQ/view" TargetMode="External"/><Relationship Id="rId1612" Type="http://schemas.openxmlformats.org/officeDocument/2006/relationships/hyperlink" Target="https://drive.google.com/file/d/1hU_NG6jWFnAFsctWfxIixSLdfdg-2vbM/view" TargetMode="External"/><Relationship Id="rId1917" Type="http://schemas.openxmlformats.org/officeDocument/2006/relationships/hyperlink" Target="https://drive.google.com/file/d/1VU2oD951xXfxe0_lC75k2-XwxUlhDyj9/view?usp=drive_link" TargetMode="External"/><Relationship Id="rId193" Type="http://schemas.openxmlformats.org/officeDocument/2006/relationships/hyperlink" Target="https://drive.google.com/file/d/1fD7AWmASsFIlXlxUeMDyf0RwmeJ-UJ8T/view" TargetMode="External"/><Relationship Id="rId498" Type="http://schemas.openxmlformats.org/officeDocument/2006/relationships/hyperlink" Target="https://drive.google.com/file/d/1E_lw9TkbspjWKBlfCTRgy2po44C1TCJP/view?usp=drive_link" TargetMode="External"/><Relationship Id="rId2081" Type="http://schemas.openxmlformats.org/officeDocument/2006/relationships/hyperlink" Target="https://drive.google.com/file/d/1l3XQXS4Q2FCMyGl__1oip2yGbK6ML46S/view?usp=drive_link" TargetMode="External"/><Relationship Id="rId260" Type="http://schemas.openxmlformats.org/officeDocument/2006/relationships/hyperlink" Target="https://drive.google.com/file/d/17kFHEbF-AEDFcJjjgAoxnDoBUieKKDg3/view" TargetMode="External"/><Relationship Id="rId120" Type="http://schemas.openxmlformats.org/officeDocument/2006/relationships/hyperlink" Target="https://drive.google.com/file/d/19ZTyE2xeT2sZ01YGBhW0hDNK1zkOgzov/view" TargetMode="External"/><Relationship Id="rId358" Type="http://schemas.openxmlformats.org/officeDocument/2006/relationships/hyperlink" Target="https://drive.google.com/file/d/1LSdEMIAx0nOnLCMaT-0CJD9nxONTEfbb/view?usp=drive_link" TargetMode="External"/><Relationship Id="rId565" Type="http://schemas.openxmlformats.org/officeDocument/2006/relationships/hyperlink" Target="https://drive.google.com/file/d/1rhCvHfKmw2WQRnaHsokOte7r7Nl3uIJy/view" TargetMode="External"/><Relationship Id="rId772" Type="http://schemas.openxmlformats.org/officeDocument/2006/relationships/hyperlink" Target="https://drive.google.com/file/d/1xtKK1s6-PHzFzBwpapa8NlHm2NARujAZ/view?usp=drive_link" TargetMode="External"/><Relationship Id="rId1195" Type="http://schemas.openxmlformats.org/officeDocument/2006/relationships/hyperlink" Target="https://drive.google.com/file/d/11gAT3uSf6EhqY1gp7ESxBQx3ZJOIXz2O/view" TargetMode="External"/><Relationship Id="rId2039" Type="http://schemas.openxmlformats.org/officeDocument/2006/relationships/hyperlink" Target="https://drive.google.com/file/d/10HQlUfuCM9rvKh755NA9pHKofaluje0o/view" TargetMode="External"/><Relationship Id="rId218" Type="http://schemas.openxmlformats.org/officeDocument/2006/relationships/hyperlink" Target="https://drive.google.com/file/d/17kFHEbF-AEDFcJjjgAoxnDoBUieKKDg3/view" TargetMode="External"/><Relationship Id="rId425" Type="http://schemas.openxmlformats.org/officeDocument/2006/relationships/hyperlink" Target="https://drive.google.com/file/d/1XZELMJDN7oiWnhqZnzMAEUGGr7oqakya/view?usp=drive_link" TargetMode="External"/><Relationship Id="rId632" Type="http://schemas.openxmlformats.org/officeDocument/2006/relationships/hyperlink" Target="https://drive.google.com/file/d/1jRWn6nkUc6PyzKFIrav2bztHDn61jQYs/view" TargetMode="External"/><Relationship Id="rId1055" Type="http://schemas.openxmlformats.org/officeDocument/2006/relationships/hyperlink" Target="https://drive.google.com/file/d/17TfQKd0Cd9yG2mhJV3bja_JAtLRy5Hq5/view?usp=drive_link" TargetMode="External"/><Relationship Id="rId1262" Type="http://schemas.openxmlformats.org/officeDocument/2006/relationships/hyperlink" Target="https://drive.google.com/file/d/1Fr7FnU1zhPXLqSCHSNAy1t-LB8P_O5uZ/view?usp=drive_link" TargetMode="External"/><Relationship Id="rId937" Type="http://schemas.openxmlformats.org/officeDocument/2006/relationships/hyperlink" Target="https://drive.google.com/file/d/1C77z3tm5EXrMVDwQXL6nGlcUbobUc3K6/view" TargetMode="External"/><Relationship Id="rId1122" Type="http://schemas.openxmlformats.org/officeDocument/2006/relationships/hyperlink" Target="https://drive.google.com/file/d/1De6vO_A2TlUNz8pj1sCUy_mHHl1A_xUW/view" TargetMode="External"/><Relationship Id="rId1567" Type="http://schemas.openxmlformats.org/officeDocument/2006/relationships/hyperlink" Target="https://drive.google.com/file/d/1xxrE3LPgzlDH2hVcRgO9_8Tj9dwrwVwk/view?usp=drive_link" TargetMode="External"/><Relationship Id="rId1774" Type="http://schemas.openxmlformats.org/officeDocument/2006/relationships/hyperlink" Target="https://drive.google.com/file/d/1Q6MU9kG1fczWg0z99j87JV0I8dZyJDIP/view" TargetMode="External"/><Relationship Id="rId1981" Type="http://schemas.openxmlformats.org/officeDocument/2006/relationships/hyperlink" Target="https://drive.google.com/file/d/197Upk1lRbxo1iH4nl3_asxDxnnQz-xvq/view" TargetMode="External"/><Relationship Id="rId66" Type="http://schemas.openxmlformats.org/officeDocument/2006/relationships/hyperlink" Target="https://drive.google.com/file/d/16ZFwzklgzbqlTBk2PblSupsG8QWIVKhr/view" TargetMode="External"/><Relationship Id="rId1427" Type="http://schemas.openxmlformats.org/officeDocument/2006/relationships/hyperlink" Target="https://drive.google.com/file/d/1FFvziYQynsq9IGYLQaJ37iQbYGYyI7tt/view?usp=drive_link" TargetMode="External"/><Relationship Id="rId1634" Type="http://schemas.openxmlformats.org/officeDocument/2006/relationships/hyperlink" Target="https://drive.google.com/file/d/1jjzR1RyL3evEhn3RbMY2vgThzWgq-fJN/view" TargetMode="External"/><Relationship Id="rId1841" Type="http://schemas.openxmlformats.org/officeDocument/2006/relationships/hyperlink" Target="https://drive.google.com/file/d/11gAT3uSf6EhqY1gp7ESxBQx3ZJOIXz2O/view" TargetMode="External"/><Relationship Id="rId1939" Type="http://schemas.openxmlformats.org/officeDocument/2006/relationships/hyperlink" Target="https://drive.google.com/file/d/1862llNXCy3_gI0LM41mc5JpDXdHEOV2P/view?usp=drive_link" TargetMode="External"/><Relationship Id="rId1701" Type="http://schemas.openxmlformats.org/officeDocument/2006/relationships/hyperlink" Target="https://drive.google.com/file/d/1hqFUNz-YrJL1D-KF62ciGzKLn0jl5v4Y/view?usp=drive_link" TargetMode="External"/><Relationship Id="rId282" Type="http://schemas.openxmlformats.org/officeDocument/2006/relationships/hyperlink" Target="https://drive.google.com/file/d/1u7fyxEhz5ZBdqEUOis7aQ3eZaoNHO5t6/view" TargetMode="External"/><Relationship Id="rId587" Type="http://schemas.openxmlformats.org/officeDocument/2006/relationships/hyperlink" Target="https://drive.google.com/file/d/1TkkF924YYfv_46cDxUoc3DW_cdMcch42/view" TargetMode="External"/><Relationship Id="rId8" Type="http://schemas.openxmlformats.org/officeDocument/2006/relationships/hyperlink" Target="https://drive.google.com/file/d/1ubpEtvc1oWuPQhwTMdh21fiJQLJ6YQjL/view" TargetMode="External"/><Relationship Id="rId142" Type="http://schemas.openxmlformats.org/officeDocument/2006/relationships/hyperlink" Target="https://drive.google.com/file/d/11ckN00HUeGC8mZ4NTbuNo3XBAKRafCzJ/view" TargetMode="External"/><Relationship Id="rId447" Type="http://schemas.openxmlformats.org/officeDocument/2006/relationships/hyperlink" Target="https://drive.google.com/file/d/1iRpGkfGlUpy_9sZc0sYjyX4pKKrv-yKh/view?usp=drive_link" TargetMode="External"/><Relationship Id="rId794" Type="http://schemas.openxmlformats.org/officeDocument/2006/relationships/hyperlink" Target="https://drive.google.com/file/d/1a0Y0yLRRfNYWEbl7hjxRwwCR8iQ52iEa/view?usp=drive_link" TargetMode="External"/><Relationship Id="rId1077" Type="http://schemas.openxmlformats.org/officeDocument/2006/relationships/hyperlink" Target="https://drive.google.com/file/d/1LGG-xHMY2FIvsrUQHdBsimZyc6oVwUHI/view?usp=drive_link" TargetMode="External"/><Relationship Id="rId2030" Type="http://schemas.openxmlformats.org/officeDocument/2006/relationships/hyperlink" Target="https://drive.google.com/file/d/1MQhooDZfb_a8dh1XjYQap8rFcmtl5opU/view" TargetMode="External"/><Relationship Id="rId654" Type="http://schemas.openxmlformats.org/officeDocument/2006/relationships/hyperlink" Target="https://drive.google.com/file/d/1q4cCVCNG__x2eJpAiRLTqR7FTiIzCqW_/view" TargetMode="External"/><Relationship Id="rId861" Type="http://schemas.openxmlformats.org/officeDocument/2006/relationships/hyperlink" Target="https://drive.google.com/file/d/1Kj7pGsto2d8qxWBBNeFSXHt0ZCv3amEr/view?usp=drive_link" TargetMode="External"/><Relationship Id="rId959" Type="http://schemas.openxmlformats.org/officeDocument/2006/relationships/hyperlink" Target="https://drive.google.com/file/d/1Ea4IsWWBHCZ29uRy7Zxp0SvMnOmdjCvn/view" TargetMode="External"/><Relationship Id="rId1284" Type="http://schemas.openxmlformats.org/officeDocument/2006/relationships/hyperlink" Target="https://drive.google.com/file/d/1_yjMQo6gzbHLiIya48Wdfww-Xb1eVGfK/view?usp=drive_link" TargetMode="External"/><Relationship Id="rId1491" Type="http://schemas.openxmlformats.org/officeDocument/2006/relationships/hyperlink" Target="https://drive.google.com/file/d/1fUENaPvI5EGQBpB2AP1I0ESrESO08iWA/view?usp=drive_link" TargetMode="External"/><Relationship Id="rId1589" Type="http://schemas.openxmlformats.org/officeDocument/2006/relationships/hyperlink" Target="https://drive.google.com/file/d/1N6JLvInqt6UGVAo8jpPfLxV1anlM3LhC/view" TargetMode="External"/><Relationship Id="rId307" Type="http://schemas.openxmlformats.org/officeDocument/2006/relationships/hyperlink" Target="https://drive.google.com/file/d/1N4Zo1nyoTRwV-8yeADEdYoewjbxnID-Z/view?usp=drive_link" TargetMode="External"/><Relationship Id="rId514" Type="http://schemas.openxmlformats.org/officeDocument/2006/relationships/hyperlink" Target="https://drive.google.com/file/d/1zxbs_azC4N6-X3OZD0Sz6VP6Xjewm9-8/view" TargetMode="External"/><Relationship Id="rId721" Type="http://schemas.openxmlformats.org/officeDocument/2006/relationships/hyperlink" Target="https://drive.google.com/file/d/1N9brwHmFW_PdvPj4vWj5-JYfwZ_j8qxo/view?usp=drive_link" TargetMode="External"/><Relationship Id="rId1144" Type="http://schemas.openxmlformats.org/officeDocument/2006/relationships/hyperlink" Target="https://drive.google.com/file/d/1gB5Fi3nL6FCTnmd91Ei3_QQJ9QXEVQuG/view" TargetMode="External"/><Relationship Id="rId1351" Type="http://schemas.openxmlformats.org/officeDocument/2006/relationships/hyperlink" Target="https://drive.google.com/file/d/1MQhooDZfb_a8dh1XjYQap8rFcmtl5opU/view" TargetMode="External"/><Relationship Id="rId1449" Type="http://schemas.openxmlformats.org/officeDocument/2006/relationships/hyperlink" Target="https://drive.google.com/file/d/1nxqhANLSmBJ-olV0_wGYRyXJpm4XiNGD/view?usp=drive_link" TargetMode="External"/><Relationship Id="rId1796" Type="http://schemas.openxmlformats.org/officeDocument/2006/relationships/hyperlink" Target="https://drive.google.com/file/d/1-9vqHAxMY7EOdGCf_1JiVVh1sMtEsHwD/view?usp=drive_link" TargetMode="External"/><Relationship Id="rId88" Type="http://schemas.openxmlformats.org/officeDocument/2006/relationships/hyperlink" Target="https://drive.google.com/file/d/1Xx52lP-CL3Mjgh7XgJuGe8OZtl_A0Kie/view" TargetMode="External"/><Relationship Id="rId819" Type="http://schemas.openxmlformats.org/officeDocument/2006/relationships/hyperlink" Target="https://drive.google.com/file/d/14YXw1eE_uNUTiyyJLFE-3TZXAvUd7kRa/view?usp=drive_link" TargetMode="External"/><Relationship Id="rId1004" Type="http://schemas.openxmlformats.org/officeDocument/2006/relationships/hyperlink" Target="https://drive.google.com/file/d/1P8dv2yDVWK28813AIv4m4F9tgxPrdqDO/view" TargetMode="External"/><Relationship Id="rId1211" Type="http://schemas.openxmlformats.org/officeDocument/2006/relationships/hyperlink" Target="https://drive.google.com/file/d/1JSFImQsE-aSNBi1_XGaeHY1TM31sTpH0/view?usp=drive_link" TargetMode="External"/><Relationship Id="rId1656" Type="http://schemas.openxmlformats.org/officeDocument/2006/relationships/hyperlink" Target="https://drive.google.com/file/d/1uEFxmPjjwD8Nqb0QvhaTsvG7Fe2EVwdA/view?usp=drive_link" TargetMode="External"/><Relationship Id="rId1863" Type="http://schemas.openxmlformats.org/officeDocument/2006/relationships/hyperlink" Target="https://drive.google.com/file/d/12tCRalajPMVE-onCQiXS7R_4zEPBFs_C/view?usp=drive_link" TargetMode="External"/><Relationship Id="rId1309" Type="http://schemas.openxmlformats.org/officeDocument/2006/relationships/hyperlink" Target="https://drive.google.com/file/d/1xvK7oL2060tGjomnxIMM_vkytJCIFbUM/view" TargetMode="External"/><Relationship Id="rId1516" Type="http://schemas.openxmlformats.org/officeDocument/2006/relationships/hyperlink" Target="https://drive.google.com/file/d/1_Jil7Wkfj5WOP-6FE-VdY7qc0mLZ5DUM/view?usp=drive_link" TargetMode="External"/><Relationship Id="rId1723" Type="http://schemas.openxmlformats.org/officeDocument/2006/relationships/hyperlink" Target="https://drive.google.com/file/d/1eggsoLAPcrdATW-qSGgu_m3YksjLLiJO/view?usp=drive_link" TargetMode="External"/><Relationship Id="rId1930" Type="http://schemas.openxmlformats.org/officeDocument/2006/relationships/hyperlink" Target="https://drive.google.com/file/d/1-kULF92O7kA2Vy-9i1BZzi1_0bIC323S/view?usp=drive_link" TargetMode="External"/><Relationship Id="rId15" Type="http://schemas.openxmlformats.org/officeDocument/2006/relationships/hyperlink" Target="https://drive.google.com/file/d/1Ri-YAEWJjvz1PE2D5W_tY9aB0o-kD3Cx/view?usp=drive_link" TargetMode="External"/><Relationship Id="rId164" Type="http://schemas.openxmlformats.org/officeDocument/2006/relationships/hyperlink" Target="https://drive.google.com/file/d/1cGFZl0t3lci1ilX5gjjOKnRFdDklY_8G/view" TargetMode="External"/><Relationship Id="rId371" Type="http://schemas.openxmlformats.org/officeDocument/2006/relationships/hyperlink" Target="https://drive.google.com/file/d/1mdyrvDZwnHDAJR9GoBxTgVEGuoFOKVP7/view?usp=drive_link" TargetMode="External"/><Relationship Id="rId2052" Type="http://schemas.openxmlformats.org/officeDocument/2006/relationships/hyperlink" Target="https://drive.google.com/file/d/1mRE_86OJyxRYZgYUPJM_u7Ak456wW--d/view?usp=drive_link" TargetMode="External"/><Relationship Id="rId469" Type="http://schemas.openxmlformats.org/officeDocument/2006/relationships/hyperlink" Target="https://drive.google.com/file/d/1CGnDxWakVhMcyf3ArpxC0Xg8NB2NJ04m/view?usp=drive_link" TargetMode="External"/><Relationship Id="rId676" Type="http://schemas.openxmlformats.org/officeDocument/2006/relationships/hyperlink" Target="https://drive.google.com/file/d/1pVsRJ1dyo2hYWyHHI4kWWKMR6i84lDfX/view?usp=sharing" TargetMode="External"/><Relationship Id="rId883" Type="http://schemas.openxmlformats.org/officeDocument/2006/relationships/hyperlink" Target="https://drive.google.com/file/d/1UDZ3DSBMcsK5rQzLJk4M0--CngCzKop9/view?usp=drive_link" TargetMode="External"/><Relationship Id="rId1099" Type="http://schemas.openxmlformats.org/officeDocument/2006/relationships/hyperlink" Target="https://drive.google.com/file/d/1XDJ17puSEKXRlcpoac80pcUkSirH5iqT/view?usp=drive_link" TargetMode="External"/><Relationship Id="rId231" Type="http://schemas.openxmlformats.org/officeDocument/2006/relationships/hyperlink" Target="https://drive.google.com/file/d/1fD7AWmASsFIlXlxUeMDyf0RwmeJ-UJ8T/view" TargetMode="External"/><Relationship Id="rId329" Type="http://schemas.openxmlformats.org/officeDocument/2006/relationships/hyperlink" Target="https://drive.google.com/file/d/1auczJq74YC7zQtmuh6xlGQH7tRkhMdYG/view?usp=drive_link" TargetMode="External"/><Relationship Id="rId536" Type="http://schemas.openxmlformats.org/officeDocument/2006/relationships/hyperlink" Target="https://drive.google.com/file/d/1KD8Xfrs6ZPDDeNsgaKv-b1oJyOORtcmH/view" TargetMode="External"/><Relationship Id="rId1166" Type="http://schemas.openxmlformats.org/officeDocument/2006/relationships/hyperlink" Target="https://drive.google.com/file/d/1AjudEJfSeA5pObV4i_-2eZywBMH4FjUH/view" TargetMode="External"/><Relationship Id="rId1373" Type="http://schemas.openxmlformats.org/officeDocument/2006/relationships/hyperlink" Target="https://drive.google.com/file/d/10HQlUfuCM9rvKh755NA9pHKofaluje0o/view" TargetMode="External"/><Relationship Id="rId743" Type="http://schemas.openxmlformats.org/officeDocument/2006/relationships/hyperlink" Target="https://drive.google.com/file/d/17_08NSWt7_gBt9GqJ59cc4phZ7kJIzsK/view?usp=drive_link" TargetMode="External"/><Relationship Id="rId950" Type="http://schemas.openxmlformats.org/officeDocument/2006/relationships/hyperlink" Target="https://drive.google.com/file/d/1Ea4IsWWBHCZ29uRy7Zxp0SvMnOmdjCvn/view" TargetMode="External"/><Relationship Id="rId1026" Type="http://schemas.openxmlformats.org/officeDocument/2006/relationships/hyperlink" Target="https://drive.google.com/file/d/1dtmjjVifpdyX31hTWKtbOj-VXJHs1FLR/view?usp=drive_link" TargetMode="External"/><Relationship Id="rId1580" Type="http://schemas.openxmlformats.org/officeDocument/2006/relationships/hyperlink" Target="https://drive.google.com/file/d/1ruM5f-JPXrFoNb6xNaz40ic4CGr2kGvK/view" TargetMode="External"/><Relationship Id="rId1678" Type="http://schemas.openxmlformats.org/officeDocument/2006/relationships/hyperlink" Target="https://drive.google.com/file/d/1YiebLoAQwQ3DDXk7k09Eme9jE5xzfvGC/view?usp=drive_link" TargetMode="External"/><Relationship Id="rId1885" Type="http://schemas.openxmlformats.org/officeDocument/2006/relationships/hyperlink" Target="https://drive.google.com/file/d/1Si-fSzjLqtub6Ffxa9vP4q5-r_GljdPA/view?usp=drive_link" TargetMode="External"/><Relationship Id="rId603" Type="http://schemas.openxmlformats.org/officeDocument/2006/relationships/hyperlink" Target="https://drive.google.com/file/d/12FCTiQHROItKTuE1paH0D-F5NmHrtpx8/view" TargetMode="External"/><Relationship Id="rId810" Type="http://schemas.openxmlformats.org/officeDocument/2006/relationships/hyperlink" Target="https://drive.google.com/file/d/1fVGTywNnBvbe_-XZ6i9qc-4BCJw5nmT1/view?usp=drive_link" TargetMode="External"/><Relationship Id="rId908" Type="http://schemas.openxmlformats.org/officeDocument/2006/relationships/hyperlink" Target="https://drive.google.com/file/d/1XNlB-TCqjbu1MIFEoH3KzWJaFDA0h4Mr/view?usp=drive_link" TargetMode="External"/><Relationship Id="rId1233" Type="http://schemas.openxmlformats.org/officeDocument/2006/relationships/hyperlink" Target="https://drive.google.com/file/d/1wFL1KQ-QVw5hSLZv1AF-r-UdMul7WJMk/view?usp=drive_link" TargetMode="External"/><Relationship Id="rId1440" Type="http://schemas.openxmlformats.org/officeDocument/2006/relationships/hyperlink" Target="https://drive.google.com/file/d/1bB7YXERU6N6l2CgGXhfHlbgLBpqYC7xS/view?usp=drive_link" TargetMode="External"/><Relationship Id="rId1538" Type="http://schemas.openxmlformats.org/officeDocument/2006/relationships/hyperlink" Target="https://drive.google.com/file/d/1b2eV06jwkZD183bC3zSDazL4_RSDXHSq/view?usp=drive_link" TargetMode="External"/><Relationship Id="rId1300" Type="http://schemas.openxmlformats.org/officeDocument/2006/relationships/hyperlink" Target="https://drive.google.com/file/d/19aGB7slFQPfIgI387xmUjRUwIeJi_fXB/view?usp=drive_link" TargetMode="External"/><Relationship Id="rId1745" Type="http://schemas.openxmlformats.org/officeDocument/2006/relationships/hyperlink" Target="https://drive.google.com/file/d/1oGYK0VIxvZWojb4mGJZZsBVC1SfDMY6y/view?usp=drive_link" TargetMode="External"/><Relationship Id="rId1952" Type="http://schemas.openxmlformats.org/officeDocument/2006/relationships/hyperlink" Target="https://drive.google.com/file/d/1QZ18QaTmJF4nT-dAtMgJlTUA-K3sOYAQ/view?usp=drive_link" TargetMode="External"/><Relationship Id="rId37" Type="http://schemas.openxmlformats.org/officeDocument/2006/relationships/hyperlink" Target="https://drive.google.com/file/d/1erAewuQjYKuSzO2J7M_BGEAM7u-DEnI2/view" TargetMode="External"/><Relationship Id="rId1605" Type="http://schemas.openxmlformats.org/officeDocument/2006/relationships/hyperlink" Target="https://drive.google.com/file/d/1nvLtx1HJOnLb38HmGIORDb_hqRjZMsuK/view?usp=drive_link" TargetMode="External"/><Relationship Id="rId1812" Type="http://schemas.openxmlformats.org/officeDocument/2006/relationships/hyperlink" Target="https://drive.google.com/file/d/10RRCP9PqW1a0aXZkHVOxVr_hGOY01_Ce/view" TargetMode="External"/><Relationship Id="rId186" Type="http://schemas.openxmlformats.org/officeDocument/2006/relationships/hyperlink" Target="https://drive.google.com/file/d/1xNwrwZ-kLTM_YhVN0HOVWrlrlMM1DCgm/view" TargetMode="External"/><Relationship Id="rId393" Type="http://schemas.openxmlformats.org/officeDocument/2006/relationships/hyperlink" Target="https://drive.google.com/file/d/1HbIMSG327H4IroIIbzG-UoNFRHW9d4tq/view?usp=drive_link" TargetMode="External"/><Relationship Id="rId2074" Type="http://schemas.openxmlformats.org/officeDocument/2006/relationships/hyperlink" Target="https://drive.google.com/file/d/1W509JmdVlzeICueDgcivjNXJagqJa2qz/view?usp=drive_link" TargetMode="External"/><Relationship Id="rId253" Type="http://schemas.openxmlformats.org/officeDocument/2006/relationships/hyperlink" Target="https://drive.google.com/file/d/17kFHEbF-AEDFcJjjgAoxnDoBUieKKDg3/view" TargetMode="External"/><Relationship Id="rId460" Type="http://schemas.openxmlformats.org/officeDocument/2006/relationships/hyperlink" Target="https://drive.google.com/file/d/1hmXY9RLSychgJTsAJz7iOoJsrTTIp1VT/view?usp=drive_link" TargetMode="External"/><Relationship Id="rId698" Type="http://schemas.openxmlformats.org/officeDocument/2006/relationships/hyperlink" Target="https://drive.google.com/file/d/17_08NSWt7_gBt9GqJ59cc4phZ7kJIzsK/view?usp=drive_link" TargetMode="External"/><Relationship Id="rId1090" Type="http://schemas.openxmlformats.org/officeDocument/2006/relationships/hyperlink" Target="https://drive.google.com/file/d/1bSZghuFPNMDy724R2VmzwB1Jr2rl9y3T/view?usp=drive_link" TargetMode="External"/><Relationship Id="rId113" Type="http://schemas.openxmlformats.org/officeDocument/2006/relationships/hyperlink" Target="https://drive.google.com/file/d/1m0sCGqTc1t6OyfiPeptI64GQWmQuBkv8/view?usp=drive_link" TargetMode="External"/><Relationship Id="rId320" Type="http://schemas.openxmlformats.org/officeDocument/2006/relationships/hyperlink" Target="https://drive.google.com/file/d/1p2iUJtng5C_UXPw0fI_hg5oznXFeBhpI/view" TargetMode="External"/><Relationship Id="rId558" Type="http://schemas.openxmlformats.org/officeDocument/2006/relationships/hyperlink" Target="https://drive.google.com/file/d/1rhCvHfKmw2WQRnaHsokOte7r7Nl3uIJy/view" TargetMode="External"/><Relationship Id="rId765" Type="http://schemas.openxmlformats.org/officeDocument/2006/relationships/hyperlink" Target="https://drive.google.com/file/d/1xtKK1s6-PHzFzBwpapa8NlHm2NARujAZ/view?usp=drive_link" TargetMode="External"/><Relationship Id="rId972" Type="http://schemas.openxmlformats.org/officeDocument/2006/relationships/hyperlink" Target="https://drive.google.com/file/d/1dRnOElIobWmdZEkO8BRVE7TU1yvuxQXW/view?usp=drive_link" TargetMode="External"/><Relationship Id="rId1188" Type="http://schemas.openxmlformats.org/officeDocument/2006/relationships/hyperlink" Target="https://drive.google.com/file/d/10RRCP9PqW1a0aXZkHVOxVr_hGOY01_Ce/view" TargetMode="External"/><Relationship Id="rId1395" Type="http://schemas.openxmlformats.org/officeDocument/2006/relationships/hyperlink" Target="https://drive.google.com/file/d/16iCRVZ9FIxsqJnxI634PDZC4GeoM1QjJ/view?usp=drive_link" TargetMode="External"/><Relationship Id="rId2001" Type="http://schemas.openxmlformats.org/officeDocument/2006/relationships/hyperlink" Target="https://drive.google.com/file/d/1AoH0Y4ciTRcsU5X6S4aZ3HZiPs325E2e/view?usp=drive_link" TargetMode="External"/><Relationship Id="rId418" Type="http://schemas.openxmlformats.org/officeDocument/2006/relationships/hyperlink" Target="https://drive.google.com/file/d/1ISoQA3fZJl3c0SFy1tNoIXbnwnuAAjGb/view?usp=drive_link" TargetMode="External"/><Relationship Id="rId625" Type="http://schemas.openxmlformats.org/officeDocument/2006/relationships/hyperlink" Target="https://drive.google.com/file/d/1YYboHNgsShFzYyBHMkUoSzib7zJkM_P6/view" TargetMode="External"/><Relationship Id="rId832" Type="http://schemas.openxmlformats.org/officeDocument/2006/relationships/hyperlink" Target="https://drive.google.com/file/d/12sTUZOMQU8Yb4ZMfjTWU89XE7G6Mx5fV/view?usp=drive_link" TargetMode="External"/><Relationship Id="rId1048" Type="http://schemas.openxmlformats.org/officeDocument/2006/relationships/hyperlink" Target="https://drive.google.com/file/d/1EShm-JCEBeUL9t9jvi_3B6OF8gY5AK0w/view?usp=drive_link" TargetMode="External"/><Relationship Id="rId1255" Type="http://schemas.openxmlformats.org/officeDocument/2006/relationships/hyperlink" Target="https://drive.google.com/file/d/1QSpwAu5G5jYzzAO2U4PsRnfbTsKxHd6s/view?usp=drive_link" TargetMode="External"/><Relationship Id="rId1462" Type="http://schemas.openxmlformats.org/officeDocument/2006/relationships/hyperlink" Target="https://drive.google.com/file/d/1YilrYlrEBR5j4gXQtSjyi1aNfDAiAnEu/view?usp=drive_link" TargetMode="External"/><Relationship Id="rId1115" Type="http://schemas.openxmlformats.org/officeDocument/2006/relationships/hyperlink" Target="https://drive.google.com/file/d/1AWxAuRE6Vg50Zv6iozolSxiyZ-AwV82_/view?usp=drive_link" TargetMode="External"/><Relationship Id="rId1322" Type="http://schemas.openxmlformats.org/officeDocument/2006/relationships/hyperlink" Target="https://drive.google.com/file/d/1p6hIUtd-nvQqhm5QfcZ7_NmYe6thw_QN/view?usp=drive_link" TargetMode="External"/><Relationship Id="rId1767" Type="http://schemas.openxmlformats.org/officeDocument/2006/relationships/hyperlink" Target="https://drive.google.com/file/d/1Q6MU9kG1fczWg0z99j87JV0I8dZyJDIP/view" TargetMode="External"/><Relationship Id="rId1974" Type="http://schemas.openxmlformats.org/officeDocument/2006/relationships/hyperlink" Target="https://drive.google.com/file/d/1La3JnRLTGosBhQtrjluRdPiS-rya-Lxf/view" TargetMode="External"/><Relationship Id="rId59" Type="http://schemas.openxmlformats.org/officeDocument/2006/relationships/hyperlink" Target="https://drive.google.com/file/d/1aotzsm6c1YRrRltmEBM3La85GahLY-Sa/view" TargetMode="External"/><Relationship Id="rId1627" Type="http://schemas.openxmlformats.org/officeDocument/2006/relationships/hyperlink" Target="https://drive.google.com/file/d/1jjzR1RyL3evEhn3RbMY2vgThzWgq-fJN/view" TargetMode="External"/><Relationship Id="rId1834" Type="http://schemas.openxmlformats.org/officeDocument/2006/relationships/hyperlink" Target="https://drive.google.com/file/d/10RRCP9PqW1a0aXZkHVOxVr_hGOY01_Ce/view" TargetMode="External"/><Relationship Id="rId1901" Type="http://schemas.openxmlformats.org/officeDocument/2006/relationships/hyperlink" Target="https://drive.google.com/file/d/1EFP77JsHwvOLRKb7NL4f0-WTRLI4zmhV/view?usp=drive_link" TargetMode="External"/><Relationship Id="rId275" Type="http://schemas.openxmlformats.org/officeDocument/2006/relationships/hyperlink" Target="https://drive.google.com/file/d/1N4Zo1nyoTRwV-8yeADEdYoewjbxnID-Z/view?usp=drive_link" TargetMode="External"/><Relationship Id="rId482" Type="http://schemas.openxmlformats.org/officeDocument/2006/relationships/hyperlink" Target="https://drive.google.com/file/d/1hmXY9RLSychgJTsAJz7iOoJsrTTIp1VT/view?usp=drive_link" TargetMode="External"/><Relationship Id="rId135" Type="http://schemas.openxmlformats.org/officeDocument/2006/relationships/hyperlink" Target="https://drive.google.com/file/d/1Jq87qjyP8CX6GzfZ6UTJqN8h3tUDVJ4L/view" TargetMode="External"/><Relationship Id="rId342" Type="http://schemas.openxmlformats.org/officeDocument/2006/relationships/hyperlink" Target="https://drive.google.com/file/d/1txs_xJtZSRV3s1r41GM6nzBz3ZapFemu/view?usp=drive_link" TargetMode="External"/><Relationship Id="rId787" Type="http://schemas.openxmlformats.org/officeDocument/2006/relationships/hyperlink" Target="https://drive.google.com/file/d/1SQaSL7hmUFSKHN8i7pVPvx3STLMqAOAw/view?usp=drive_link" TargetMode="External"/><Relationship Id="rId994" Type="http://schemas.openxmlformats.org/officeDocument/2006/relationships/hyperlink" Target="https://drive.google.com/file/d/1jjzR1RyL3evEhn3RbMY2vgThzWgq-fJN/view" TargetMode="External"/><Relationship Id="rId2023" Type="http://schemas.openxmlformats.org/officeDocument/2006/relationships/hyperlink" Target="https://drive.google.com/file/d/1MQhooDZfb_a8dh1XjYQap8rFcmtl5opU/view" TargetMode="External"/><Relationship Id="rId202" Type="http://schemas.openxmlformats.org/officeDocument/2006/relationships/hyperlink" Target="https://drive.google.com/file/d/1fD7AWmASsFIlXlxUeMDyf0RwmeJ-UJ8T/view" TargetMode="External"/><Relationship Id="rId647" Type="http://schemas.openxmlformats.org/officeDocument/2006/relationships/hyperlink" Target="https://drive.google.com/file/d/1iBr6b26MBv3-qs2HfZPBv-_SZMciRoSv/view" TargetMode="External"/><Relationship Id="rId854" Type="http://schemas.openxmlformats.org/officeDocument/2006/relationships/hyperlink" Target="https://drive.google.com/file/d/1Kj7pGsto2d8qxWBBNeFSXHt0ZCv3amEr/view?usp=drive_link" TargetMode="External"/><Relationship Id="rId1277" Type="http://schemas.openxmlformats.org/officeDocument/2006/relationships/hyperlink" Target="https://drive.google.com/file/d/18HTGOY9i7bxWMrMLMgWvctC0TQbGDm_d/view?usp=drive_link" TargetMode="External"/><Relationship Id="rId1484" Type="http://schemas.openxmlformats.org/officeDocument/2006/relationships/hyperlink" Target="https://drive.google.com/file/d/1fUENaPvI5EGQBpB2AP1I0ESrESO08iWA/view?usp=drive_link" TargetMode="External"/><Relationship Id="rId1691" Type="http://schemas.openxmlformats.org/officeDocument/2006/relationships/hyperlink" Target="https://drive.google.com/file/d/18gvd1UBIqDir1Ui4hKFDzLdKhiyxJeTK/view?usp=drive_link" TargetMode="External"/><Relationship Id="rId507" Type="http://schemas.openxmlformats.org/officeDocument/2006/relationships/hyperlink" Target="https://drive.google.com/file/d/1zxbs_azC4N6-X3OZD0Sz6VP6Xjewm9-8/view" TargetMode="External"/><Relationship Id="rId714" Type="http://schemas.openxmlformats.org/officeDocument/2006/relationships/hyperlink" Target="https://drive.google.com/file/d/1N9brwHmFW_PdvPj4vWj5-JYfwZ_j8qxo/view?usp=drive_link" TargetMode="External"/><Relationship Id="rId921" Type="http://schemas.openxmlformats.org/officeDocument/2006/relationships/hyperlink" Target="https://drive.google.com/file/d/1N22qwC0vrqCOzXJ46mu1iA931nPdVUdV/view?usp=drive_link" TargetMode="External"/><Relationship Id="rId1137" Type="http://schemas.openxmlformats.org/officeDocument/2006/relationships/hyperlink" Target="https://drive.google.com/file/d/1gB5Fi3nL6FCTnmd91Ei3_QQJ9QXEVQuG/view" TargetMode="External"/><Relationship Id="rId1344" Type="http://schemas.openxmlformats.org/officeDocument/2006/relationships/hyperlink" Target="https://drive.google.com/file/d/1PBCEYtD7A6r3bmKeU8hWJH7w8BXVVzH1/view" TargetMode="External"/><Relationship Id="rId1551" Type="http://schemas.openxmlformats.org/officeDocument/2006/relationships/hyperlink" Target="https://drive.google.com/file/d/13q2lrMXyrD-jFwOUSAmyXAyHguPjfyop/view?usp=drive_link" TargetMode="External"/><Relationship Id="rId1789" Type="http://schemas.openxmlformats.org/officeDocument/2006/relationships/hyperlink" Target="https://drive.google.com/file/d/1qZSXHwjD6UiZLiCnVCCPpTfeEZz74aAs/view" TargetMode="External"/><Relationship Id="rId1996" Type="http://schemas.openxmlformats.org/officeDocument/2006/relationships/hyperlink" Target="https://drive.google.com/file/d/1BakHXePkW3JZxwSnUkqqZxtPshE0ewsY/view?usp=drive_link" TargetMode="External"/><Relationship Id="rId50" Type="http://schemas.openxmlformats.org/officeDocument/2006/relationships/hyperlink" Target="https://drive.google.com/file/d/1iggJgkxEIi33_uzKlp_ENRo47YLn90I8/view" TargetMode="External"/><Relationship Id="rId1204" Type="http://schemas.openxmlformats.org/officeDocument/2006/relationships/hyperlink" Target="https://drive.google.com/file/d/1JSFImQsE-aSNBi1_XGaeHY1TM31sTpH0/view?usp=drive_link" TargetMode="External"/><Relationship Id="rId1411" Type="http://schemas.openxmlformats.org/officeDocument/2006/relationships/hyperlink" Target="https://drive.google.com/file/d/1IobvhS63KW7w3xiQvQNpxHjV7ZiZaVbc/view?usp=drive_link" TargetMode="External"/><Relationship Id="rId1649" Type="http://schemas.openxmlformats.org/officeDocument/2006/relationships/hyperlink" Target="https://drive.google.com/file/d/1P8dv2yDVWK28813AIv4m4F9tgxPrdqDO/view" TargetMode="External"/><Relationship Id="rId1856" Type="http://schemas.openxmlformats.org/officeDocument/2006/relationships/hyperlink" Target="https://drive.google.com/file/d/1DZ00kl6N0YvT2ZAXdhcx9VQ5hnPKYmSP/view?usp=drive_link" TargetMode="External"/><Relationship Id="rId1509" Type="http://schemas.openxmlformats.org/officeDocument/2006/relationships/hyperlink" Target="https://drive.google.com/file/d/1W-gf0VbzbihbaBDbivu-eAIuFgmf1g2H/view?usp=drive_link" TargetMode="External"/><Relationship Id="rId1716" Type="http://schemas.openxmlformats.org/officeDocument/2006/relationships/hyperlink" Target="https://drive.google.com/file/d/1U_VfOs-qUWoEMVHPtt9sq2AZH--X8AwT/view?usp=drive_link" TargetMode="External"/><Relationship Id="rId1923" Type="http://schemas.openxmlformats.org/officeDocument/2006/relationships/hyperlink" Target="https://drive.google.com/file/d/1-kULF92O7kA2Vy-9i1BZzi1_0bIC323S/view?usp=drive_link" TargetMode="External"/><Relationship Id="rId297" Type="http://schemas.openxmlformats.org/officeDocument/2006/relationships/hyperlink" Target="https://drive.google.com/file/d/1N4Zo1nyoTRwV-8yeADEdYoewjbxnID-Z/view" TargetMode="External"/><Relationship Id="rId157" Type="http://schemas.openxmlformats.org/officeDocument/2006/relationships/hyperlink" Target="https://drive.google.com/file/d/1Xv5IhBhdmlrvaY32k_gxD4v2dwCxj2S0/view" TargetMode="External"/><Relationship Id="rId364" Type="http://schemas.openxmlformats.org/officeDocument/2006/relationships/hyperlink" Target="https://drive.google.com/file/d/1DE97kviXT-3hj-mPkqohYwgjer1eZUEt/view?usp=drive_link" TargetMode="External"/><Relationship Id="rId2045" Type="http://schemas.openxmlformats.org/officeDocument/2006/relationships/hyperlink" Target="https://drive.google.com/file/d/10HQlUfuCM9rvKh755NA9pHKofaluje0o/view" TargetMode="External"/><Relationship Id="rId571" Type="http://schemas.openxmlformats.org/officeDocument/2006/relationships/hyperlink" Target="https://drive.google.com/file/d/1XM56ViSsm-28H781ilJpgfRH-h3HxQCr/view" TargetMode="External"/><Relationship Id="rId669" Type="http://schemas.openxmlformats.org/officeDocument/2006/relationships/hyperlink" Target="https://drive.google.com/file/d/1pVsRJ1dyo2hYWyHHI4kWWKMR6i84lDfX/view?usp=sharing" TargetMode="External"/><Relationship Id="rId876" Type="http://schemas.openxmlformats.org/officeDocument/2006/relationships/hyperlink" Target="https://drive.google.com/file/d/1UDZ3DSBMcsK5rQzLJk4M0--CngCzKop9/view?usp=drive_link" TargetMode="External"/><Relationship Id="rId1299" Type="http://schemas.openxmlformats.org/officeDocument/2006/relationships/hyperlink" Target="https://drive.google.com/file/d/19aGB7slFQPfIgI387xmUjRUwIeJi_fXB/view?usp=drive_link" TargetMode="External"/><Relationship Id="rId224" Type="http://schemas.openxmlformats.org/officeDocument/2006/relationships/hyperlink" Target="https://drive.google.com/file/d/17kFHEbF-AEDFcJjjgAoxnDoBUieKKDg3/view" TargetMode="External"/><Relationship Id="rId431" Type="http://schemas.openxmlformats.org/officeDocument/2006/relationships/hyperlink" Target="https://drive.google.com/file/d/1l032NhkgI8VXW1YdwE6IVXJ95axS_1_N/view?usp=drive_link" TargetMode="External"/><Relationship Id="rId529" Type="http://schemas.openxmlformats.org/officeDocument/2006/relationships/hyperlink" Target="https://drive.google.com/file/d/1KD8Xfrs6ZPDDeNsgaKv-b1oJyOORtcmH/view" TargetMode="External"/><Relationship Id="rId736" Type="http://schemas.openxmlformats.org/officeDocument/2006/relationships/hyperlink" Target="https://drive.google.com/file/d/1ObN57YJNOg65CaDV-I6Uf3vEwf4ffCFW/view?usp=drive_link" TargetMode="External"/><Relationship Id="rId1061" Type="http://schemas.openxmlformats.org/officeDocument/2006/relationships/hyperlink" Target="https://drive.google.com/file/d/1lHsS9HToAAkVgzUpu0SvP6Q74MdwpNaD/view?usp=drive_link" TargetMode="External"/><Relationship Id="rId1159" Type="http://schemas.openxmlformats.org/officeDocument/2006/relationships/hyperlink" Target="https://drive.google.com/file/d/19xTvun6qzsNy4xAj6wKum7MQ98om515z/view?usp=drive_link" TargetMode="External"/><Relationship Id="rId1366" Type="http://schemas.openxmlformats.org/officeDocument/2006/relationships/hyperlink" Target="https://drive.google.com/file/d/10HQlUfuCM9rvKh755NA9pHKofaluje0o/view" TargetMode="External"/><Relationship Id="rId943" Type="http://schemas.openxmlformats.org/officeDocument/2006/relationships/hyperlink" Target="https://drive.google.com/file/d/1C77z3tm5EXrMVDwQXL6nGlcUbobUc3K6/view" TargetMode="External"/><Relationship Id="rId1019" Type="http://schemas.openxmlformats.org/officeDocument/2006/relationships/hyperlink" Target="https://drive.google.com/file/d/1dtmjjVifpdyX31hTWKtbOj-VXJHs1FLR/view?usp=drive_link" TargetMode="External"/><Relationship Id="rId1573" Type="http://schemas.openxmlformats.org/officeDocument/2006/relationships/hyperlink" Target="https://drive.google.com/file/d/1ruM5f-JPXrFoNb6xNaz40ic4CGr2kGvK/view" TargetMode="External"/><Relationship Id="rId1780" Type="http://schemas.openxmlformats.org/officeDocument/2006/relationships/hyperlink" Target="https://drive.google.com/file/d/1qZSXHwjD6UiZLiCnVCCPpTfeEZz74aAs/view" TargetMode="External"/><Relationship Id="rId1878" Type="http://schemas.openxmlformats.org/officeDocument/2006/relationships/hyperlink" Target="https://drive.google.com/file/d/1Si-fSzjLqtub6Ffxa9vP4q5-r_GljdPA/view?usp=drive_link" TargetMode="External"/><Relationship Id="rId72" Type="http://schemas.openxmlformats.org/officeDocument/2006/relationships/hyperlink" Target="https://drive.google.com/file/d/16ZFwzklgzbqlTBk2PblSupsG8QWIVKhr/view" TargetMode="External"/><Relationship Id="rId803" Type="http://schemas.openxmlformats.org/officeDocument/2006/relationships/hyperlink" Target="https://drive.google.com/file/d/1fVGTywNnBvbe_-XZ6i9qc-4BCJw5nmT1/view?usp=drive_link" TargetMode="External"/><Relationship Id="rId1226" Type="http://schemas.openxmlformats.org/officeDocument/2006/relationships/hyperlink" Target="https://drive.google.com/file/d/1g0qE64GhrUOttT19f46pAEKIpTihMBf3/view?usp=drive_link" TargetMode="External"/><Relationship Id="rId1433" Type="http://schemas.openxmlformats.org/officeDocument/2006/relationships/hyperlink" Target="https://drive.google.com/file/d/1bB7YXERU6N6l2CgGXhfHlbgLBpqYC7xS/view?usp=drive_link" TargetMode="External"/><Relationship Id="rId1640" Type="http://schemas.openxmlformats.org/officeDocument/2006/relationships/hyperlink" Target="https://drive.google.com/file/d/1P8dv2yDVWK28813AIv4m4F9tgxPrdqDO/view" TargetMode="External"/><Relationship Id="rId1738" Type="http://schemas.openxmlformats.org/officeDocument/2006/relationships/hyperlink" Target="https://drive.google.com/file/d/1PNmp5EMW5WyKjKqULNrxDdbiU7_eGUj0/view?usp=drive_link" TargetMode="External"/><Relationship Id="rId1500" Type="http://schemas.openxmlformats.org/officeDocument/2006/relationships/hyperlink" Target="https://drive.google.com/file/d/1nd2LuxXC_tnKKOUoZp-2rCmz6m31uExe/view?usp=drive_link" TargetMode="External"/><Relationship Id="rId1945" Type="http://schemas.openxmlformats.org/officeDocument/2006/relationships/hyperlink" Target="https://drive.google.com/file/d/1QZ18QaTmJF4nT-dAtMgJlTUA-K3sOYAQ/view?usp=drive_link" TargetMode="External"/><Relationship Id="rId1805" Type="http://schemas.openxmlformats.org/officeDocument/2006/relationships/hyperlink" Target="https://drive.google.com/file/d/1FRRXo6J4o4AZtg9BHSw3llGraq7T31kv/view?usp=drive_link" TargetMode="External"/><Relationship Id="rId179" Type="http://schemas.openxmlformats.org/officeDocument/2006/relationships/hyperlink" Target="https://drive.google.com/file/d/16BMdQPUP_243M9ZY1BsJCcqCz75Uhylv/view" TargetMode="External"/><Relationship Id="rId386" Type="http://schemas.openxmlformats.org/officeDocument/2006/relationships/hyperlink" Target="https://drive.google.com/file/d/1mdyrvDZwnHDAJR9GoBxTgVEGuoFOKVP7/view?usp=drive_link" TargetMode="External"/><Relationship Id="rId593" Type="http://schemas.openxmlformats.org/officeDocument/2006/relationships/hyperlink" Target="https://drive.google.com/file/d/1TkkF924YYfv_46cDxUoc3DW_cdMcch42/view" TargetMode="External"/><Relationship Id="rId2067" Type="http://schemas.openxmlformats.org/officeDocument/2006/relationships/hyperlink" Target="https://drive.google.com/file/d/1XO6KFN11Xr9Vu-p4z4gv56Vfr7TRSm9W/view?usp=drive_link" TargetMode="External"/><Relationship Id="rId246" Type="http://schemas.openxmlformats.org/officeDocument/2006/relationships/hyperlink" Target="https://drive.google.com/file/d/1Ri-YAEWJjvz1PE2D5W_tY9aB0o-kD3Cx/view" TargetMode="External"/><Relationship Id="rId453" Type="http://schemas.openxmlformats.org/officeDocument/2006/relationships/hyperlink" Target="https://drive.google.com/file/d/1XZELMJDN7oiWnhqZnzMAEUGGr7oqakya/view?usp=drive_link" TargetMode="External"/><Relationship Id="rId660" Type="http://schemas.openxmlformats.org/officeDocument/2006/relationships/hyperlink" Target="https://drive.google.com/file/d/1q4cCVCNG__x2eJpAiRLTqR7FTiIzCqW_/view" TargetMode="External"/><Relationship Id="rId898" Type="http://schemas.openxmlformats.org/officeDocument/2006/relationships/hyperlink" Target="https://drive.google.com/file/d/1dMX3W21nvBkM9WPZUIo18OVNIoRxyreY/view?usp=drive_link" TargetMode="External"/><Relationship Id="rId1083" Type="http://schemas.openxmlformats.org/officeDocument/2006/relationships/hyperlink" Target="https://drive.google.com/file/d/1bSZghuFPNMDy724R2VmzwB1Jr2rl9y3T/view?usp=drive_link" TargetMode="External"/><Relationship Id="rId1290" Type="http://schemas.openxmlformats.org/officeDocument/2006/relationships/hyperlink" Target="https://drive.google.com/file/d/1_yjMQo6gzbHLiIya48Wdfww-Xb1eVGfK/view?usp=drive_link" TargetMode="External"/><Relationship Id="rId106" Type="http://schemas.openxmlformats.org/officeDocument/2006/relationships/hyperlink" Target="https://drive.google.com/file/d/1dOSANF0t0AMhLvT5qlmKuF_szpDrFIOV/view" TargetMode="External"/><Relationship Id="rId313" Type="http://schemas.openxmlformats.org/officeDocument/2006/relationships/hyperlink" Target="https://drive.google.com/file/d/1u7fyxEhz5ZBdqEUOis7aQ3eZaoNHO5t6/view" TargetMode="External"/><Relationship Id="rId758" Type="http://schemas.openxmlformats.org/officeDocument/2006/relationships/hyperlink" Target="https://drive.google.com/file/d/1eUqriZfZ8ZcnMu4n6LORw1pcnpQae1-d/view?usp=drive_link" TargetMode="External"/><Relationship Id="rId965" Type="http://schemas.openxmlformats.org/officeDocument/2006/relationships/hyperlink" Target="https://drive.google.com/file/d/1ns9WVi4LIlCy9kRsqLx6fuozbqpfzmaZ/view?usp=drive_link" TargetMode="External"/><Relationship Id="rId1150" Type="http://schemas.openxmlformats.org/officeDocument/2006/relationships/hyperlink" Target="https://drive.google.com/file/d/1l1qtJWULZ9Ls8rKQ1VUw4meyuzKWs1jT/view?usp=drive_link" TargetMode="External"/><Relationship Id="rId1388" Type="http://schemas.openxmlformats.org/officeDocument/2006/relationships/hyperlink" Target="https://drive.google.com/file/d/16iCRVZ9FIxsqJnxI634PDZC4GeoM1QjJ/view?usp=drive_link" TargetMode="External"/><Relationship Id="rId1595" Type="http://schemas.openxmlformats.org/officeDocument/2006/relationships/hyperlink" Target="https://drive.google.com/file/d/1plIl4OwrTQiOuqIP5TrPp953bH0vUYQ-/view?usp=drive_link" TargetMode="External"/><Relationship Id="rId94" Type="http://schemas.openxmlformats.org/officeDocument/2006/relationships/hyperlink" Target="https://drive.google.com/file/d/1TL9IrzKlPKxuk1hHUSBJEQg3OHu9BPMb/view" TargetMode="External"/><Relationship Id="rId520" Type="http://schemas.openxmlformats.org/officeDocument/2006/relationships/hyperlink" Target="https://drive.google.com/file/d/1tQyDFiR7dq4GijMcq4Q92uVh9nI1y4mw/view" TargetMode="External"/><Relationship Id="rId618" Type="http://schemas.openxmlformats.org/officeDocument/2006/relationships/hyperlink" Target="https://drive.google.com/file/d/1YYboHNgsShFzYyBHMkUoSzib7zJkM_P6/view" TargetMode="External"/><Relationship Id="rId825" Type="http://schemas.openxmlformats.org/officeDocument/2006/relationships/hyperlink" Target="https://drive.google.com/file/d/12sTUZOMQU8Yb4ZMfjTWU89XE7G6Mx5fV/view?usp=drive_link" TargetMode="External"/><Relationship Id="rId1248" Type="http://schemas.openxmlformats.org/officeDocument/2006/relationships/hyperlink" Target="https://drive.google.com/file/d/1QSpwAu5G5jYzzAO2U4PsRnfbTsKxHd6s/view?usp=drive_link" TargetMode="External"/><Relationship Id="rId1455" Type="http://schemas.openxmlformats.org/officeDocument/2006/relationships/hyperlink" Target="https://drive.google.com/file/d/1Zy0KiYSeP-PDs5KIIeeW5fsWj9p4nkja/view?usp=drive_link" TargetMode="External"/><Relationship Id="rId1662" Type="http://schemas.openxmlformats.org/officeDocument/2006/relationships/hyperlink" Target="https://drive.google.com/file/d/1nRiloij6wjknh-vdXufPMtF9ywgwSqpI/view?usp=drive_link" TargetMode="External"/><Relationship Id="rId1010" Type="http://schemas.openxmlformats.org/officeDocument/2006/relationships/hyperlink" Target="https://drive.google.com/file/d/1P8dv2yDVWK28813AIv4m4F9tgxPrdqDO/view" TargetMode="External"/><Relationship Id="rId1108" Type="http://schemas.openxmlformats.org/officeDocument/2006/relationships/hyperlink" Target="https://drive.google.com/file/d/1AWxAuRE6Vg50Zv6iozolSxiyZ-AwV82_/view?usp=drive_link" TargetMode="External"/><Relationship Id="rId1315" Type="http://schemas.openxmlformats.org/officeDocument/2006/relationships/hyperlink" Target="https://drive.google.com/file/d/1xvK7oL2060tGjomnxIMM_vkytJCIFbUM/view" TargetMode="External"/><Relationship Id="rId1967" Type="http://schemas.openxmlformats.org/officeDocument/2006/relationships/hyperlink" Target="https://drive.google.com/file/d/1La3JnRLTGosBhQtrjluRdPiS-rya-Lxf/view" TargetMode="External"/><Relationship Id="rId1522" Type="http://schemas.openxmlformats.org/officeDocument/2006/relationships/hyperlink" Target="https://drive.google.com/file/d/1_Jil7Wkfj5WOP-6FE-VdY7qc0mLZ5DUM/view?usp=drive_link" TargetMode="External"/><Relationship Id="rId21" Type="http://schemas.openxmlformats.org/officeDocument/2006/relationships/hyperlink" Target="https://drive.google.com/file/d/1dOSANF0t0AMhLvT5qlmKuF_szpDrFIOV/view" TargetMode="External"/><Relationship Id="rId268" Type="http://schemas.openxmlformats.org/officeDocument/2006/relationships/hyperlink" Target="https://drive.google.com/file/d/1N4Zo1nyoTRwV-8yeADEdYoewjbxnID-Z/view" TargetMode="External"/><Relationship Id="rId475" Type="http://schemas.openxmlformats.org/officeDocument/2006/relationships/hyperlink" Target="https://drive.google.com/file/d/1CGnDxWakVhMcyf3ArpxC0Xg8NB2NJ04m/view?usp=drive_link" TargetMode="External"/><Relationship Id="rId682" Type="http://schemas.openxmlformats.org/officeDocument/2006/relationships/hyperlink" Target="https://drive.google.com/file/d/1jRWn6nkUc6PyzKFIrav2bztHDn61jQYs/view" TargetMode="External"/><Relationship Id="rId128" Type="http://schemas.openxmlformats.org/officeDocument/2006/relationships/hyperlink" Target="https://drive.google.com/file/d/1Jq87qjyP8CX6GzfZ6UTJqN8h3tUDVJ4L/view" TargetMode="External"/><Relationship Id="rId335" Type="http://schemas.openxmlformats.org/officeDocument/2006/relationships/hyperlink" Target="https://drive.google.com/file/d/1hhxNGrt1RWUdQCNORiATApfV6dbwQHYv/view?usp=drive_link" TargetMode="External"/><Relationship Id="rId542" Type="http://schemas.openxmlformats.org/officeDocument/2006/relationships/hyperlink" Target="https://drive.google.com/file/d/1XM56ViSsm-28H781ilJpgfRH-h3HxQCr/view" TargetMode="External"/><Relationship Id="rId1172" Type="http://schemas.openxmlformats.org/officeDocument/2006/relationships/hyperlink" Target="https://drive.google.com/file/d/1AjudEJfSeA5pObV4i_-2eZywBMH4FjUH/view" TargetMode="External"/><Relationship Id="rId2016" Type="http://schemas.openxmlformats.org/officeDocument/2006/relationships/hyperlink" Target="https://drive.google.com/file/d/1MQhooDZfb_a8dh1XjYQap8rFcmtl5opU/view" TargetMode="External"/><Relationship Id="rId402" Type="http://schemas.openxmlformats.org/officeDocument/2006/relationships/hyperlink" Target="https://drive.google.com/file/d/1j2tLIzNNUoZkZ243oPB10Uwaw2b3_A58/view?usp=drive_link" TargetMode="External"/><Relationship Id="rId1032" Type="http://schemas.openxmlformats.org/officeDocument/2006/relationships/hyperlink" Target="https://drive.google.com/file/d/1rB6fHuIxGh5D4VZSJD6ZhvSpEbCfXrnN/view?usp=drive_link" TargetMode="External"/><Relationship Id="rId1989" Type="http://schemas.openxmlformats.org/officeDocument/2006/relationships/hyperlink" Target="https://drive.google.com/file/d/197Upk1lRbxo1iH4nl3_asxDxnnQz-xvq/view" TargetMode="External"/><Relationship Id="rId1849" Type="http://schemas.openxmlformats.org/officeDocument/2006/relationships/hyperlink" Target="https://drive.google.com/file/d/18smY9gvWxQDfgihbZYRWZ76-V_fFiVyk/view?usp=drive_link" TargetMode="External"/><Relationship Id="rId192" Type="http://schemas.openxmlformats.org/officeDocument/2006/relationships/hyperlink" Target="https://drive.google.com/file/d/1fD7AWmASsFIlXlxUeMDyf0RwmeJ-UJ8T/view" TargetMode="External"/><Relationship Id="rId1709" Type="http://schemas.openxmlformats.org/officeDocument/2006/relationships/hyperlink" Target="https://drive.google.com/file/d/1hqFUNz-YrJL1D-KF62ciGzKLn0jl5v4Y/view?usp=drive_link" TargetMode="External"/><Relationship Id="rId1916" Type="http://schemas.openxmlformats.org/officeDocument/2006/relationships/hyperlink" Target="https://drive.google.com/file/d/1VU2oD951xXfxe0_lC75k2-XwxUlhDyj9/view?usp=drive_link" TargetMode="External"/><Relationship Id="rId2080" Type="http://schemas.openxmlformats.org/officeDocument/2006/relationships/hyperlink" Target="https://drive.google.com/file/d/1l3XQXS4Q2FCMyGl__1oip2yGbK6ML46S/view?usp=drive_link"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47"/>
  <sheetViews>
    <sheetView zoomScaleNormal="100" workbookViewId="0">
      <selection activeCell="C17" sqref="C17"/>
    </sheetView>
  </sheetViews>
  <sheetFormatPr defaultRowHeight="15"/>
  <cols>
    <col min="1" max="1" width="7.85546875" bestFit="1" customWidth="1"/>
    <col min="2" max="2" width="11.5703125" bestFit="1" customWidth="1"/>
    <col min="3" max="3" width="45.85546875" customWidth="1"/>
    <col min="4" max="4" width="15.28515625" customWidth="1"/>
    <col min="5" max="5" width="26.42578125" customWidth="1"/>
    <col min="6" max="6" width="16" customWidth="1"/>
    <col min="7" max="7" width="7.85546875" customWidth="1"/>
    <col min="8" max="8" width="10.28515625" bestFit="1" customWidth="1"/>
    <col min="9" max="9" width="11.7109375" bestFit="1" customWidth="1"/>
    <col min="10" max="10" width="21.28515625" bestFit="1" customWidth="1"/>
    <col min="11" max="12" width="21.28515625" customWidth="1"/>
    <col min="13" max="13" width="20.7109375" bestFit="1" customWidth="1"/>
    <col min="14" max="14" width="14.28515625" bestFit="1" customWidth="1"/>
    <col min="15" max="15" width="18.42578125" bestFit="1" customWidth="1"/>
    <col min="16" max="16" width="22.7109375" bestFit="1" customWidth="1"/>
    <col min="17" max="17" width="23.42578125" customWidth="1"/>
    <col min="18" max="18" width="14.28515625" bestFit="1" customWidth="1"/>
    <col min="19" max="19" width="21" bestFit="1" customWidth="1"/>
    <col min="20" max="20" width="21.85546875" bestFit="1" customWidth="1"/>
    <col min="21" max="21" width="29.42578125" customWidth="1"/>
    <col min="22" max="22" width="23.7109375" hidden="1" customWidth="1"/>
    <col min="23" max="23" width="20.28515625" hidden="1" customWidth="1"/>
    <col min="24" max="24" width="23.7109375" hidden="1" customWidth="1"/>
    <col min="25" max="25" width="21.7109375" hidden="1" customWidth="1"/>
    <col min="26" max="26" width="24.28515625" hidden="1" customWidth="1"/>
    <col min="27" max="27" width="14.85546875" hidden="1" customWidth="1"/>
    <col min="28" max="28" width="17.28515625" hidden="1" customWidth="1"/>
    <col min="29" max="31" width="9.140625" hidden="1" customWidth="1"/>
  </cols>
  <sheetData>
    <row r="1" spans="1:31" s="1" customFormat="1">
      <c r="A1" s="3" t="s">
        <v>16</v>
      </c>
      <c r="B1" s="3" t="s">
        <v>0</v>
      </c>
      <c r="C1" s="3" t="s">
        <v>29</v>
      </c>
      <c r="D1" s="3" t="s">
        <v>4</v>
      </c>
      <c r="E1" s="3" t="s">
        <v>1</v>
      </c>
      <c r="F1" s="3" t="s">
        <v>2</v>
      </c>
      <c r="G1" s="3" t="s">
        <v>3</v>
      </c>
      <c r="H1" s="3" t="s">
        <v>27</v>
      </c>
      <c r="I1" s="3" t="s">
        <v>26</v>
      </c>
      <c r="J1" s="3" t="s">
        <v>28</v>
      </c>
      <c r="K1" s="3" t="s">
        <v>59</v>
      </c>
      <c r="L1" s="3" t="s">
        <v>60</v>
      </c>
      <c r="M1" s="3" t="s">
        <v>5</v>
      </c>
      <c r="N1" s="3" t="s">
        <v>7</v>
      </c>
      <c r="O1" s="3" t="s">
        <v>6</v>
      </c>
      <c r="P1" s="3" t="s">
        <v>13</v>
      </c>
      <c r="Q1" s="3" t="s">
        <v>14</v>
      </c>
      <c r="R1" s="3" t="s">
        <v>15</v>
      </c>
      <c r="S1" s="3" t="s">
        <v>17</v>
      </c>
      <c r="T1" s="3" t="s">
        <v>10</v>
      </c>
      <c r="U1" s="3" t="s">
        <v>61</v>
      </c>
      <c r="V1" s="3" t="s">
        <v>44</v>
      </c>
      <c r="W1" s="3" t="s">
        <v>45</v>
      </c>
      <c r="X1" s="3" t="s">
        <v>46</v>
      </c>
      <c r="Y1" s="3" t="s">
        <v>47</v>
      </c>
      <c r="Z1" s="3" t="s">
        <v>48</v>
      </c>
      <c r="AA1" s="3" t="s">
        <v>49</v>
      </c>
      <c r="AB1" s="3" t="s">
        <v>58</v>
      </c>
      <c r="AC1" s="3" t="s">
        <v>55</v>
      </c>
      <c r="AD1" s="3" t="s">
        <v>56</v>
      </c>
      <c r="AE1" s="3" t="s">
        <v>57</v>
      </c>
    </row>
    <row r="2" spans="1:31" s="23" customFormat="1">
      <c r="A2" s="17">
        <v>1</v>
      </c>
      <c r="B2" s="17" t="s">
        <v>23</v>
      </c>
      <c r="C2" s="125" t="s">
        <v>62</v>
      </c>
      <c r="D2" s="17" t="s">
        <v>8</v>
      </c>
      <c r="E2" s="17" t="s">
        <v>63</v>
      </c>
      <c r="F2" s="17" t="s">
        <v>64</v>
      </c>
      <c r="G2" s="17" t="s">
        <v>9</v>
      </c>
      <c r="H2" s="17">
        <v>24.433330000000002</v>
      </c>
      <c r="I2" s="17">
        <v>54.37274</v>
      </c>
      <c r="J2" s="18">
        <v>43831</v>
      </c>
      <c r="K2" s="18">
        <v>44743</v>
      </c>
      <c r="L2" s="17"/>
      <c r="M2" s="17" t="s">
        <v>65</v>
      </c>
      <c r="N2" s="17">
        <v>300</v>
      </c>
      <c r="O2" s="19">
        <v>3000</v>
      </c>
      <c r="P2" s="17" t="s">
        <v>66</v>
      </c>
      <c r="Q2" s="17" t="s">
        <v>66</v>
      </c>
      <c r="R2" s="17" t="s">
        <v>67</v>
      </c>
      <c r="S2" s="17" t="s">
        <v>18</v>
      </c>
      <c r="T2" s="17" t="s">
        <v>21</v>
      </c>
      <c r="U2" s="17" t="s">
        <v>68</v>
      </c>
      <c r="V2" s="20"/>
      <c r="W2" s="20"/>
      <c r="X2" s="21"/>
      <c r="Y2" s="20"/>
      <c r="Z2" s="20"/>
      <c r="AA2" s="20"/>
      <c r="AB2" s="20"/>
      <c r="AC2" s="22"/>
      <c r="AD2" s="22"/>
      <c r="AE2" s="22"/>
    </row>
    <row r="3" spans="1:31" s="23" customFormat="1">
      <c r="A3" s="17">
        <v>2</v>
      </c>
      <c r="B3" s="145" t="s">
        <v>24</v>
      </c>
      <c r="C3" s="17" t="s">
        <v>69</v>
      </c>
      <c r="D3" s="17" t="s">
        <v>8</v>
      </c>
      <c r="E3" s="17" t="s">
        <v>70</v>
      </c>
      <c r="F3" s="17" t="s">
        <v>71</v>
      </c>
      <c r="G3" s="17" t="s">
        <v>72</v>
      </c>
      <c r="H3" s="17">
        <v>24.539570000000001</v>
      </c>
      <c r="I3" s="17">
        <v>54.680770000000003</v>
      </c>
      <c r="J3" s="18">
        <v>45265</v>
      </c>
      <c r="K3" s="18">
        <v>45862</v>
      </c>
      <c r="L3" s="17" t="s">
        <v>60</v>
      </c>
      <c r="M3" s="17" t="s">
        <v>65</v>
      </c>
      <c r="N3" s="17">
        <v>666</v>
      </c>
      <c r="O3" s="19">
        <v>5270</v>
      </c>
      <c r="P3" s="17" t="s">
        <v>73</v>
      </c>
      <c r="Q3" s="17" t="s">
        <v>73</v>
      </c>
      <c r="R3" s="17" t="s">
        <v>74</v>
      </c>
      <c r="S3" s="17" t="s">
        <v>19</v>
      </c>
      <c r="T3" s="17" t="s">
        <v>21</v>
      </c>
      <c r="U3" s="17" t="s">
        <v>68</v>
      </c>
      <c r="V3" s="20"/>
      <c r="W3" s="20"/>
      <c r="X3" s="21"/>
      <c r="Y3" s="20"/>
      <c r="Z3" s="20"/>
      <c r="AA3" s="20"/>
      <c r="AB3" s="20"/>
      <c r="AC3" s="22"/>
      <c r="AD3" s="22"/>
      <c r="AE3" s="22"/>
    </row>
    <row r="4" spans="1:31" s="23" customFormat="1">
      <c r="A4" s="17">
        <v>3</v>
      </c>
      <c r="B4" s="145" t="s">
        <v>25</v>
      </c>
      <c r="C4" s="17" t="s">
        <v>82</v>
      </c>
      <c r="D4" s="17" t="s">
        <v>8</v>
      </c>
      <c r="E4" s="17" t="s">
        <v>83</v>
      </c>
      <c r="F4" s="17" t="s">
        <v>84</v>
      </c>
      <c r="G4" s="17" t="s">
        <v>85</v>
      </c>
      <c r="H4" s="17">
        <v>24.339780000000001</v>
      </c>
      <c r="I4" s="17">
        <v>54.556010000000001</v>
      </c>
      <c r="J4" s="18">
        <v>45265</v>
      </c>
      <c r="K4" s="18">
        <v>45862</v>
      </c>
      <c r="L4" s="17" t="s">
        <v>60</v>
      </c>
      <c r="M4" s="17" t="s">
        <v>65</v>
      </c>
      <c r="N4" s="17">
        <v>408</v>
      </c>
      <c r="O4" s="19">
        <f>4935+1780</f>
        <v>6715</v>
      </c>
      <c r="P4" s="17" t="s">
        <v>73</v>
      </c>
      <c r="Q4" s="17" t="s">
        <v>73</v>
      </c>
      <c r="R4" s="17" t="s">
        <v>74</v>
      </c>
      <c r="S4" s="17" t="s">
        <v>19</v>
      </c>
      <c r="T4" s="17" t="s">
        <v>21</v>
      </c>
      <c r="U4" s="17" t="s">
        <v>68</v>
      </c>
      <c r="V4" s="17"/>
      <c r="W4" s="20"/>
      <c r="X4" s="21"/>
      <c r="Y4" s="20"/>
      <c r="Z4" s="20"/>
      <c r="AA4" s="20"/>
      <c r="AB4" s="20"/>
      <c r="AC4" s="20"/>
      <c r="AD4" s="20"/>
      <c r="AE4" s="20"/>
    </row>
    <row r="5" spans="1:31" s="23" customFormat="1">
      <c r="A5" s="17">
        <v>4</v>
      </c>
      <c r="B5" s="145" t="s">
        <v>81</v>
      </c>
      <c r="C5" s="24" t="s">
        <v>75</v>
      </c>
      <c r="D5" s="17" t="s">
        <v>8</v>
      </c>
      <c r="E5" s="17" t="s">
        <v>76</v>
      </c>
      <c r="F5" s="17" t="s">
        <v>77</v>
      </c>
      <c r="G5" s="17" t="s">
        <v>78</v>
      </c>
      <c r="H5" s="17">
        <v>24.39012</v>
      </c>
      <c r="I5" s="17">
        <v>54.615070000000003</v>
      </c>
      <c r="J5" s="18">
        <v>45446</v>
      </c>
      <c r="K5" s="18">
        <v>46023</v>
      </c>
      <c r="L5" s="17" t="s">
        <v>60</v>
      </c>
      <c r="M5" s="17" t="s">
        <v>65</v>
      </c>
      <c r="N5" s="17">
        <v>1040</v>
      </c>
      <c r="O5" s="19">
        <v>7048</v>
      </c>
      <c r="P5" s="17" t="s">
        <v>79</v>
      </c>
      <c r="Q5" s="17" t="s">
        <v>79</v>
      </c>
      <c r="R5" s="17" t="s">
        <v>80</v>
      </c>
      <c r="S5" s="17" t="s">
        <v>19</v>
      </c>
      <c r="T5" s="17" t="s">
        <v>21</v>
      </c>
      <c r="U5" s="17" t="s">
        <v>68</v>
      </c>
      <c r="V5" s="20"/>
      <c r="W5" s="20"/>
      <c r="X5" s="21"/>
      <c r="Y5" s="20"/>
      <c r="Z5" s="20"/>
      <c r="AA5" s="20"/>
      <c r="AB5" s="20"/>
      <c r="AC5" s="20"/>
      <c r="AD5" s="20"/>
      <c r="AE5" s="20"/>
    </row>
    <row r="6" spans="1:31" s="23" customFormat="1">
      <c r="A6" s="17">
        <v>5</v>
      </c>
      <c r="B6" s="17" t="s">
        <v>86</v>
      </c>
      <c r="C6" s="24" t="s">
        <v>96</v>
      </c>
      <c r="D6" s="17" t="s">
        <v>8</v>
      </c>
      <c r="E6" s="17" t="s">
        <v>97</v>
      </c>
      <c r="F6" s="17" t="s">
        <v>98</v>
      </c>
      <c r="G6" s="17" t="s">
        <v>99</v>
      </c>
      <c r="H6" s="17">
        <v>24.30527</v>
      </c>
      <c r="I6" s="17">
        <v>54.652389999999997</v>
      </c>
      <c r="J6" s="18">
        <v>45446</v>
      </c>
      <c r="K6" s="18">
        <v>46174</v>
      </c>
      <c r="L6" s="17" t="s">
        <v>60</v>
      </c>
      <c r="M6" s="17" t="s">
        <v>65</v>
      </c>
      <c r="N6" s="17">
        <v>606</v>
      </c>
      <c r="O6" s="19">
        <v>6020</v>
      </c>
      <c r="P6" s="17" t="s">
        <v>79</v>
      </c>
      <c r="Q6" s="17" t="s">
        <v>79</v>
      </c>
      <c r="R6" s="17" t="s">
        <v>80</v>
      </c>
      <c r="S6" s="17" t="s">
        <v>19</v>
      </c>
      <c r="T6" s="17" t="s">
        <v>21</v>
      </c>
      <c r="U6" s="17" t="s">
        <v>68</v>
      </c>
      <c r="V6" s="17"/>
      <c r="W6" s="20"/>
      <c r="X6" s="21"/>
      <c r="Y6" s="20"/>
      <c r="Z6" s="20"/>
      <c r="AA6" s="20"/>
      <c r="AB6" s="20"/>
      <c r="AC6" s="20"/>
      <c r="AD6" s="20"/>
      <c r="AE6" s="20"/>
    </row>
    <row r="7" spans="1:31" s="23" customFormat="1">
      <c r="A7" s="17">
        <v>6</v>
      </c>
      <c r="B7" s="17" t="s">
        <v>90</v>
      </c>
      <c r="C7" s="24" t="s">
        <v>87</v>
      </c>
      <c r="D7" s="17" t="s">
        <v>8</v>
      </c>
      <c r="E7" s="17" t="s">
        <v>88</v>
      </c>
      <c r="F7" s="17" t="s">
        <v>89</v>
      </c>
      <c r="G7" s="17" t="s">
        <v>11</v>
      </c>
      <c r="H7" s="17">
        <v>24.39865</v>
      </c>
      <c r="I7" s="17">
        <v>54.564689999999999</v>
      </c>
      <c r="J7" s="18">
        <v>45427</v>
      </c>
      <c r="K7" s="18">
        <v>45999</v>
      </c>
      <c r="L7" s="17" t="s">
        <v>60</v>
      </c>
      <c r="M7" s="17" t="s">
        <v>65</v>
      </c>
      <c r="N7" s="17">
        <v>970</v>
      </c>
      <c r="O7" s="19">
        <v>7113</v>
      </c>
      <c r="P7" s="17" t="s">
        <v>79</v>
      </c>
      <c r="Q7" s="17" t="s">
        <v>79</v>
      </c>
      <c r="R7" s="17" t="s">
        <v>74</v>
      </c>
      <c r="S7" s="17" t="s">
        <v>19</v>
      </c>
      <c r="T7" s="17" t="s">
        <v>21</v>
      </c>
      <c r="U7" s="17" t="s">
        <v>68</v>
      </c>
      <c r="V7" s="17"/>
      <c r="W7" s="20"/>
      <c r="X7" s="21"/>
      <c r="Y7" s="20"/>
      <c r="Z7" s="20"/>
      <c r="AA7" s="20"/>
      <c r="AB7" s="20"/>
      <c r="AC7" s="20"/>
      <c r="AD7" s="20"/>
      <c r="AE7" s="20"/>
    </row>
    <row r="8" spans="1:31" s="23" customFormat="1">
      <c r="A8" s="17">
        <v>7</v>
      </c>
      <c r="B8" s="17" t="s">
        <v>95</v>
      </c>
      <c r="C8" s="17" t="s">
        <v>91</v>
      </c>
      <c r="D8" s="17" t="s">
        <v>8</v>
      </c>
      <c r="E8" s="17" t="s">
        <v>92</v>
      </c>
      <c r="F8" s="17" t="s">
        <v>93</v>
      </c>
      <c r="G8" s="17" t="s">
        <v>94</v>
      </c>
      <c r="H8" s="17">
        <v>24.302759999999999</v>
      </c>
      <c r="I8" s="17">
        <v>54.565840000000001</v>
      </c>
      <c r="J8" s="18">
        <v>45427</v>
      </c>
      <c r="K8" s="18">
        <v>46006</v>
      </c>
      <c r="L8" s="17" t="s">
        <v>60</v>
      </c>
      <c r="M8" s="17" t="s">
        <v>65</v>
      </c>
      <c r="N8" s="17">
        <v>736</v>
      </c>
      <c r="O8" s="19">
        <v>6415</v>
      </c>
      <c r="P8" s="17" t="s">
        <v>79</v>
      </c>
      <c r="Q8" s="17" t="s">
        <v>79</v>
      </c>
      <c r="R8" s="17" t="s">
        <v>74</v>
      </c>
      <c r="S8" s="17" t="s">
        <v>19</v>
      </c>
      <c r="T8" s="17" t="s">
        <v>21</v>
      </c>
      <c r="U8" s="17" t="s">
        <v>68</v>
      </c>
      <c r="V8" s="17"/>
      <c r="W8" s="20"/>
      <c r="X8" s="21"/>
      <c r="Y8" s="20"/>
      <c r="Z8" s="20"/>
      <c r="AA8" s="20"/>
      <c r="AB8" s="20"/>
      <c r="AC8" s="20"/>
      <c r="AD8" s="20"/>
      <c r="AE8" s="20"/>
    </row>
    <row r="9" spans="1:31" s="23" customFormat="1">
      <c r="A9" s="17">
        <v>8</v>
      </c>
      <c r="B9" s="145" t="s">
        <v>100</v>
      </c>
      <c r="C9" s="17" t="s">
        <v>101</v>
      </c>
      <c r="D9" s="17" t="s">
        <v>8</v>
      </c>
      <c r="E9" s="17" t="s">
        <v>102</v>
      </c>
      <c r="F9" s="17" t="s">
        <v>103</v>
      </c>
      <c r="G9" s="17" t="s">
        <v>12</v>
      </c>
      <c r="H9" s="17">
        <v>24.292529999999999</v>
      </c>
      <c r="I9" s="17">
        <v>54.74324</v>
      </c>
      <c r="J9" s="18">
        <v>45474</v>
      </c>
      <c r="K9" s="18">
        <v>46235</v>
      </c>
      <c r="L9" s="17" t="s">
        <v>60</v>
      </c>
      <c r="M9" s="17" t="s">
        <v>65</v>
      </c>
      <c r="N9" s="17">
        <v>1200</v>
      </c>
      <c r="O9" s="19">
        <f>6160+1840</f>
        <v>8000</v>
      </c>
      <c r="P9" s="17" t="s">
        <v>73</v>
      </c>
      <c r="Q9" s="17" t="s">
        <v>73</v>
      </c>
      <c r="R9" s="17" t="s">
        <v>104</v>
      </c>
      <c r="S9" s="17" t="s">
        <v>19</v>
      </c>
      <c r="T9" s="17" t="s">
        <v>21</v>
      </c>
      <c r="U9" s="17" t="s">
        <v>68</v>
      </c>
      <c r="V9" s="17"/>
      <c r="W9" s="20"/>
      <c r="X9" s="21"/>
      <c r="Y9" s="20"/>
      <c r="Z9" s="20"/>
      <c r="AA9" s="20"/>
      <c r="AB9" s="20"/>
      <c r="AC9" s="20"/>
      <c r="AD9" s="20"/>
      <c r="AE9" s="20"/>
    </row>
    <row r="10" spans="1:31" s="23" customFormat="1">
      <c r="A10" s="17">
        <v>9</v>
      </c>
      <c r="B10" s="145" t="s">
        <v>105</v>
      </c>
      <c r="C10" s="24" t="s">
        <v>106</v>
      </c>
      <c r="D10" s="17" t="s">
        <v>8</v>
      </c>
      <c r="E10" s="17" t="s">
        <v>107</v>
      </c>
      <c r="F10" s="17" t="s">
        <v>108</v>
      </c>
      <c r="G10" s="17" t="s">
        <v>109</v>
      </c>
      <c r="H10" s="17">
        <v>24.34121</v>
      </c>
      <c r="I10" s="17">
        <v>54.698250000000002</v>
      </c>
      <c r="J10" s="18">
        <v>45474</v>
      </c>
      <c r="K10" s="18">
        <v>46235</v>
      </c>
      <c r="L10" s="17" t="s">
        <v>60</v>
      </c>
      <c r="M10" s="17" t="s">
        <v>65</v>
      </c>
      <c r="N10" s="17">
        <v>4000</v>
      </c>
      <c r="O10" s="19">
        <v>18440</v>
      </c>
      <c r="P10" s="17" t="s">
        <v>73</v>
      </c>
      <c r="Q10" s="17" t="s">
        <v>73</v>
      </c>
      <c r="R10" s="17" t="s">
        <v>104</v>
      </c>
      <c r="S10" s="17" t="s">
        <v>19</v>
      </c>
      <c r="T10" s="17" t="s">
        <v>21</v>
      </c>
      <c r="U10" s="17" t="s">
        <v>68</v>
      </c>
      <c r="V10" s="17"/>
      <c r="W10" s="20"/>
      <c r="X10" s="21"/>
      <c r="Y10" s="20"/>
      <c r="Z10" s="20"/>
      <c r="AA10" s="20"/>
      <c r="AB10" s="20"/>
      <c r="AC10" s="20"/>
      <c r="AD10" s="20"/>
      <c r="AE10" s="20"/>
    </row>
    <row r="11" spans="1:31" s="23" customFormat="1">
      <c r="A11" s="17">
        <v>10</v>
      </c>
      <c r="B11" s="17" t="s">
        <v>110</v>
      </c>
      <c r="C11" s="17" t="s">
        <v>135</v>
      </c>
      <c r="D11" s="17" t="s">
        <v>129</v>
      </c>
      <c r="E11" s="17" t="s">
        <v>136</v>
      </c>
      <c r="F11" s="17" t="s">
        <v>137</v>
      </c>
      <c r="G11" s="17">
        <v>10</v>
      </c>
      <c r="H11" s="17">
        <v>24.307099999999998</v>
      </c>
      <c r="I11" s="17">
        <v>55.760689999999997</v>
      </c>
      <c r="J11" s="18">
        <v>45474</v>
      </c>
      <c r="K11" s="18">
        <v>46082</v>
      </c>
      <c r="L11" s="17" t="s">
        <v>60</v>
      </c>
      <c r="M11" s="17" t="s">
        <v>65</v>
      </c>
      <c r="N11" s="17">
        <v>1800</v>
      </c>
      <c r="O11" s="19">
        <f t="shared" ref="O11" si="0">5000+2000</f>
        <v>7000</v>
      </c>
      <c r="P11" s="17" t="s">
        <v>132</v>
      </c>
      <c r="Q11" s="17" t="s">
        <v>132</v>
      </c>
      <c r="R11" s="17" t="s">
        <v>133</v>
      </c>
      <c r="S11" s="17" t="s">
        <v>19</v>
      </c>
      <c r="T11" s="17" t="s">
        <v>21</v>
      </c>
      <c r="U11" s="17" t="s">
        <v>68</v>
      </c>
      <c r="V11" s="17"/>
      <c r="W11" s="20"/>
      <c r="X11" s="21"/>
      <c r="Y11" s="20"/>
      <c r="Z11" s="20"/>
      <c r="AA11" s="20"/>
      <c r="AB11" s="20"/>
      <c r="AC11" s="20"/>
      <c r="AD11" s="20"/>
      <c r="AE11" s="20"/>
    </row>
    <row r="12" spans="1:31" s="23" customFormat="1">
      <c r="A12" s="17">
        <v>11</v>
      </c>
      <c r="B12" s="17" t="s">
        <v>113</v>
      </c>
      <c r="C12" s="17" t="s">
        <v>128</v>
      </c>
      <c r="D12" s="17" t="s">
        <v>129</v>
      </c>
      <c r="E12" s="17" t="s">
        <v>130</v>
      </c>
      <c r="F12" s="17" t="s">
        <v>131</v>
      </c>
      <c r="G12" s="17">
        <v>13</v>
      </c>
      <c r="H12" s="17">
        <v>24.242640000000002</v>
      </c>
      <c r="I12" s="17">
        <v>55.688809999999997</v>
      </c>
      <c r="J12" s="18">
        <v>45474</v>
      </c>
      <c r="K12" s="18">
        <v>46082</v>
      </c>
      <c r="L12" s="17" t="s">
        <v>60</v>
      </c>
      <c r="M12" s="17" t="s">
        <v>65</v>
      </c>
      <c r="N12" s="17">
        <v>658</v>
      </c>
      <c r="O12" s="19">
        <v>6000</v>
      </c>
      <c r="P12" s="17" t="s">
        <v>132</v>
      </c>
      <c r="Q12" s="17" t="s">
        <v>132</v>
      </c>
      <c r="R12" s="17" t="s">
        <v>133</v>
      </c>
      <c r="S12" s="17" t="s">
        <v>19</v>
      </c>
      <c r="T12" s="17" t="s">
        <v>21</v>
      </c>
      <c r="U12" s="17" t="s">
        <v>68</v>
      </c>
      <c r="V12" s="17"/>
      <c r="W12" s="20"/>
      <c r="X12" s="21"/>
      <c r="Y12" s="20"/>
      <c r="Z12" s="20"/>
      <c r="AA12" s="20"/>
      <c r="AB12" s="20"/>
      <c r="AC12" s="20"/>
      <c r="AD12" s="20"/>
      <c r="AE12" s="20"/>
    </row>
    <row r="13" spans="1:31" s="23" customFormat="1">
      <c r="A13" s="17">
        <v>12</v>
      </c>
      <c r="B13" s="145" t="s">
        <v>117</v>
      </c>
      <c r="C13" s="17" t="s">
        <v>111</v>
      </c>
      <c r="D13" s="17" t="s">
        <v>8</v>
      </c>
      <c r="E13" s="17" t="s">
        <v>92</v>
      </c>
      <c r="F13" s="17" t="s">
        <v>112</v>
      </c>
      <c r="G13" s="17" t="s">
        <v>11</v>
      </c>
      <c r="H13" s="17">
        <v>24.364650000000001</v>
      </c>
      <c r="I13" s="17">
        <v>54.534419999999997</v>
      </c>
      <c r="J13" s="18">
        <v>45489</v>
      </c>
      <c r="K13" s="18">
        <v>46096</v>
      </c>
      <c r="L13" s="17" t="s">
        <v>60</v>
      </c>
      <c r="M13" s="17" t="s">
        <v>65</v>
      </c>
      <c r="N13" s="17">
        <v>1206</v>
      </c>
      <c r="O13" s="19">
        <v>8237.7099999999991</v>
      </c>
      <c r="P13" s="17" t="s">
        <v>79</v>
      </c>
      <c r="Q13" s="17" t="s">
        <v>79</v>
      </c>
      <c r="R13" s="17" t="s">
        <v>74</v>
      </c>
      <c r="S13" s="17" t="s">
        <v>19</v>
      </c>
      <c r="T13" s="17" t="s">
        <v>21</v>
      </c>
      <c r="U13" s="17" t="s">
        <v>68</v>
      </c>
      <c r="V13" s="17"/>
      <c r="W13" s="20"/>
      <c r="X13" s="21"/>
      <c r="Y13" s="20"/>
      <c r="Z13" s="20"/>
      <c r="AA13" s="20"/>
      <c r="AB13" s="20"/>
      <c r="AC13" s="20"/>
      <c r="AD13" s="20"/>
      <c r="AE13" s="20"/>
    </row>
    <row r="14" spans="1:31" s="23" customFormat="1">
      <c r="A14" s="17">
        <v>13</v>
      </c>
      <c r="B14" s="145" t="s">
        <v>122</v>
      </c>
      <c r="C14" s="24" t="s">
        <v>114</v>
      </c>
      <c r="D14" s="17" t="s">
        <v>8</v>
      </c>
      <c r="E14" s="17" t="s">
        <v>102</v>
      </c>
      <c r="F14" s="17" t="s">
        <v>115</v>
      </c>
      <c r="G14" s="17" t="s">
        <v>116</v>
      </c>
      <c r="H14" s="17">
        <v>24.3353</v>
      </c>
      <c r="I14" s="17">
        <v>54.765569999999997</v>
      </c>
      <c r="J14" s="18">
        <v>45489</v>
      </c>
      <c r="K14" s="18">
        <v>46082</v>
      </c>
      <c r="L14" s="17" t="s">
        <v>60</v>
      </c>
      <c r="M14" s="17" t="s">
        <v>65</v>
      </c>
      <c r="N14" s="17">
        <v>800</v>
      </c>
      <c r="O14" s="19">
        <v>6674</v>
      </c>
      <c r="P14" s="17" t="s">
        <v>79</v>
      </c>
      <c r="Q14" s="17" t="s">
        <v>79</v>
      </c>
      <c r="R14" s="17" t="s">
        <v>74</v>
      </c>
      <c r="S14" s="17" t="s">
        <v>19</v>
      </c>
      <c r="T14" s="17" t="s">
        <v>21</v>
      </c>
      <c r="U14" s="17" t="s">
        <v>68</v>
      </c>
      <c r="V14" s="17"/>
      <c r="W14" s="20"/>
      <c r="X14" s="21"/>
      <c r="Y14" s="20"/>
      <c r="Z14" s="20"/>
      <c r="AA14" s="20"/>
      <c r="AB14" s="20"/>
      <c r="AC14" s="20"/>
      <c r="AD14" s="20"/>
      <c r="AE14" s="20"/>
    </row>
    <row r="15" spans="1:31" s="23" customFormat="1">
      <c r="A15" s="17">
        <v>14</v>
      </c>
      <c r="B15" s="145" t="s">
        <v>127</v>
      </c>
      <c r="C15" s="17" t="s">
        <v>118</v>
      </c>
      <c r="D15" s="17" t="s">
        <v>8</v>
      </c>
      <c r="E15" s="17" t="s">
        <v>119</v>
      </c>
      <c r="F15" s="17" t="s">
        <v>120</v>
      </c>
      <c r="G15" s="17" t="s">
        <v>121</v>
      </c>
      <c r="H15" s="17">
        <v>24.654920000000001</v>
      </c>
      <c r="I15" s="17">
        <v>54.759720000000002</v>
      </c>
      <c r="J15" s="18">
        <v>45489</v>
      </c>
      <c r="K15" s="18">
        <v>46082</v>
      </c>
      <c r="L15" s="17" t="s">
        <v>60</v>
      </c>
      <c r="M15" s="17" t="s">
        <v>65</v>
      </c>
      <c r="N15" s="17">
        <v>992</v>
      </c>
      <c r="O15" s="19">
        <v>7781.76</v>
      </c>
      <c r="P15" s="17" t="s">
        <v>79</v>
      </c>
      <c r="Q15" s="17" t="s">
        <v>79</v>
      </c>
      <c r="R15" s="17" t="s">
        <v>74</v>
      </c>
      <c r="S15" s="17" t="s">
        <v>19</v>
      </c>
      <c r="T15" s="17" t="s">
        <v>21</v>
      </c>
      <c r="U15" s="17" t="s">
        <v>68</v>
      </c>
      <c r="V15" s="17"/>
      <c r="W15" s="20"/>
      <c r="X15" s="21"/>
      <c r="Y15" s="20"/>
      <c r="Z15" s="20"/>
      <c r="AA15" s="20"/>
      <c r="AB15" s="20"/>
      <c r="AC15" s="20"/>
      <c r="AD15" s="20"/>
      <c r="AE15" s="20"/>
    </row>
    <row r="16" spans="1:31" s="23" customFormat="1">
      <c r="A16" s="17">
        <v>15</v>
      </c>
      <c r="B16" s="17" t="s">
        <v>134</v>
      </c>
      <c r="C16" s="24" t="s">
        <v>123</v>
      </c>
      <c r="D16" s="17" t="s">
        <v>8</v>
      </c>
      <c r="E16" s="17" t="s">
        <v>124</v>
      </c>
      <c r="F16" s="17" t="s">
        <v>125</v>
      </c>
      <c r="G16" s="17" t="s">
        <v>126</v>
      </c>
      <c r="H16" s="17">
        <v>24.31475</v>
      </c>
      <c r="I16" s="17">
        <v>54.65549</v>
      </c>
      <c r="J16" s="18">
        <v>45536</v>
      </c>
      <c r="K16" s="18">
        <v>46082</v>
      </c>
      <c r="L16" s="17" t="s">
        <v>60</v>
      </c>
      <c r="M16" s="17" t="s">
        <v>65</v>
      </c>
      <c r="N16" s="17">
        <v>1348</v>
      </c>
      <c r="O16" s="19">
        <v>6999</v>
      </c>
      <c r="P16" s="17" t="s">
        <v>79</v>
      </c>
      <c r="Q16" s="17" t="s">
        <v>79</v>
      </c>
      <c r="R16" s="17" t="s">
        <v>74</v>
      </c>
      <c r="S16" s="17" t="s">
        <v>19</v>
      </c>
      <c r="T16" s="17" t="s">
        <v>21</v>
      </c>
      <c r="U16" s="17" t="s">
        <v>68</v>
      </c>
      <c r="V16" s="17"/>
      <c r="W16" s="20"/>
      <c r="X16" s="21"/>
      <c r="Y16" s="20"/>
      <c r="Z16" s="20"/>
      <c r="AA16" s="20"/>
      <c r="AB16" s="20"/>
      <c r="AC16" s="20"/>
      <c r="AD16" s="20"/>
      <c r="AE16" s="20"/>
    </row>
    <row r="17" spans="1:31" s="23" customFormat="1">
      <c r="A17" s="17">
        <v>16</v>
      </c>
      <c r="B17" s="17" t="s">
        <v>138</v>
      </c>
      <c r="C17" s="17" t="s">
        <v>139</v>
      </c>
      <c r="D17" s="17" t="s">
        <v>129</v>
      </c>
      <c r="E17" s="17" t="s">
        <v>136</v>
      </c>
      <c r="F17" s="17" t="s">
        <v>140</v>
      </c>
      <c r="G17" s="17">
        <v>2</v>
      </c>
      <c r="H17" s="17">
        <v>24.287769999999998</v>
      </c>
      <c r="I17" s="17">
        <v>55.76587</v>
      </c>
      <c r="J17" s="18">
        <v>45627</v>
      </c>
      <c r="K17" s="18">
        <v>46235</v>
      </c>
      <c r="L17" s="17"/>
      <c r="M17" s="17" t="s">
        <v>65</v>
      </c>
      <c r="N17" s="17">
        <v>1400</v>
      </c>
      <c r="O17" s="19"/>
      <c r="P17" s="17" t="s">
        <v>132</v>
      </c>
      <c r="Q17" s="17" t="s">
        <v>132</v>
      </c>
      <c r="R17" s="17"/>
      <c r="S17" s="17" t="s">
        <v>20</v>
      </c>
      <c r="T17" s="17" t="s">
        <v>21</v>
      </c>
      <c r="U17" s="17" t="s">
        <v>68</v>
      </c>
      <c r="V17" s="17"/>
      <c r="W17" s="20"/>
      <c r="X17" s="21"/>
      <c r="Y17" s="20"/>
      <c r="Z17" s="20"/>
      <c r="AA17" s="20"/>
      <c r="AB17" s="20"/>
      <c r="AC17" s="20"/>
      <c r="AD17" s="20"/>
      <c r="AE17" s="20"/>
    </row>
    <row r="18" spans="1:31" s="23" customFormat="1">
      <c r="A18" s="17">
        <v>17</v>
      </c>
      <c r="B18" s="17" t="s">
        <v>141</v>
      </c>
      <c r="C18" s="24" t="s">
        <v>142</v>
      </c>
      <c r="D18" s="17" t="s">
        <v>8</v>
      </c>
      <c r="E18" s="17" t="s">
        <v>143</v>
      </c>
      <c r="F18" s="17" t="s">
        <v>144</v>
      </c>
      <c r="G18" s="17" t="s">
        <v>145</v>
      </c>
      <c r="H18" s="17">
        <v>24.489509999999999</v>
      </c>
      <c r="I18" s="17">
        <v>54.365099999999998</v>
      </c>
      <c r="J18" s="18">
        <v>44835</v>
      </c>
      <c r="K18" s="18">
        <v>45443</v>
      </c>
      <c r="L18" s="17"/>
      <c r="M18" s="17" t="s">
        <v>146</v>
      </c>
      <c r="N18" s="19">
        <v>3184</v>
      </c>
      <c r="O18" s="19">
        <v>21660</v>
      </c>
      <c r="P18" s="17" t="s">
        <v>147</v>
      </c>
      <c r="Q18" s="17" t="s">
        <v>147</v>
      </c>
      <c r="R18" s="17" t="s">
        <v>148</v>
      </c>
      <c r="S18" s="17" t="s">
        <v>18</v>
      </c>
      <c r="T18" s="17" t="s">
        <v>22</v>
      </c>
      <c r="U18" s="17" t="s">
        <v>68</v>
      </c>
      <c r="V18" s="17"/>
      <c r="W18" s="20"/>
      <c r="X18" s="21"/>
      <c r="Y18" s="20"/>
      <c r="Z18" s="20"/>
      <c r="AA18" s="20"/>
      <c r="AB18" s="20"/>
      <c r="AC18" s="20"/>
      <c r="AD18" s="20"/>
      <c r="AE18" s="20"/>
    </row>
    <row r="19" spans="1:31" s="23" customFormat="1">
      <c r="A19" s="17">
        <v>18</v>
      </c>
      <c r="B19" s="17" t="s">
        <v>149</v>
      </c>
      <c r="C19" s="17" t="s">
        <v>150</v>
      </c>
      <c r="D19" s="17" t="s">
        <v>8</v>
      </c>
      <c r="E19" s="17" t="s">
        <v>143</v>
      </c>
      <c r="F19" s="17" t="s">
        <v>151</v>
      </c>
      <c r="G19" s="17" t="s">
        <v>109</v>
      </c>
      <c r="H19" s="17">
        <v>24.491869999999999</v>
      </c>
      <c r="I19" s="17">
        <v>54.35924</v>
      </c>
      <c r="J19" s="18">
        <v>44835</v>
      </c>
      <c r="K19" s="18">
        <v>45443</v>
      </c>
      <c r="L19" s="17"/>
      <c r="M19" s="17" t="s">
        <v>146</v>
      </c>
      <c r="N19" s="19">
        <v>5075</v>
      </c>
      <c r="O19" s="19">
        <v>38955</v>
      </c>
      <c r="P19" s="17" t="s">
        <v>147</v>
      </c>
      <c r="Q19" s="17" t="s">
        <v>147</v>
      </c>
      <c r="R19" s="17" t="s">
        <v>148</v>
      </c>
      <c r="S19" s="17" t="s">
        <v>18</v>
      </c>
      <c r="T19" s="17" t="s">
        <v>22</v>
      </c>
      <c r="U19" s="17" t="s">
        <v>68</v>
      </c>
      <c r="V19" s="17"/>
      <c r="W19" s="20"/>
      <c r="X19" s="21"/>
      <c r="Y19" s="20"/>
      <c r="Z19" s="20"/>
      <c r="AA19" s="20"/>
      <c r="AB19" s="20"/>
      <c r="AC19" s="20"/>
      <c r="AD19" s="20"/>
      <c r="AE19" s="20"/>
    </row>
    <row r="20" spans="1:31" s="23" customFormat="1">
      <c r="A20" s="17">
        <v>19</v>
      </c>
      <c r="B20" s="17" t="s">
        <v>152</v>
      </c>
      <c r="C20" s="24" t="s">
        <v>153</v>
      </c>
      <c r="D20" s="17" t="s">
        <v>8</v>
      </c>
      <c r="E20" s="17" t="s">
        <v>143</v>
      </c>
      <c r="F20" s="17" t="s">
        <v>154</v>
      </c>
      <c r="G20" s="17" t="s">
        <v>155</v>
      </c>
      <c r="H20" s="17">
        <v>24.489239999999999</v>
      </c>
      <c r="I20" s="17">
        <v>54.35904</v>
      </c>
      <c r="J20" s="18">
        <v>45474</v>
      </c>
      <c r="K20" s="18">
        <v>46082</v>
      </c>
      <c r="L20" s="17" t="s">
        <v>60</v>
      </c>
      <c r="M20" s="17" t="s">
        <v>146</v>
      </c>
      <c r="N20" s="19">
        <v>2299</v>
      </c>
      <c r="O20" s="19">
        <f>11000*0+14647.07*0+14378.39*0+14197</f>
        <v>14197</v>
      </c>
      <c r="P20" s="17" t="s">
        <v>132</v>
      </c>
      <c r="Q20" s="17" t="s">
        <v>132</v>
      </c>
      <c r="R20" s="17" t="s">
        <v>148</v>
      </c>
      <c r="S20" s="17" t="s">
        <v>19</v>
      </c>
      <c r="T20" s="17" t="s">
        <v>22</v>
      </c>
      <c r="U20" s="17" t="s">
        <v>68</v>
      </c>
      <c r="V20" s="17"/>
      <c r="W20" s="20"/>
      <c r="X20" s="21"/>
      <c r="Y20" s="20"/>
      <c r="Z20" s="20"/>
      <c r="AA20" s="20"/>
      <c r="AB20" s="20"/>
      <c r="AC20" s="20"/>
      <c r="AD20" s="20"/>
      <c r="AE20" s="20"/>
    </row>
    <row r="21" spans="1:31">
      <c r="A21" s="17">
        <v>20</v>
      </c>
      <c r="B21" s="2" t="s">
        <v>156</v>
      </c>
      <c r="C21" s="8" t="s">
        <v>157</v>
      </c>
      <c r="D21" s="2" t="s">
        <v>8</v>
      </c>
      <c r="E21" s="2" t="s">
        <v>143</v>
      </c>
      <c r="F21" s="2" t="s">
        <v>154</v>
      </c>
      <c r="G21" s="2" t="s">
        <v>158</v>
      </c>
      <c r="H21" s="2">
        <v>24.489809999999999</v>
      </c>
      <c r="I21" s="2">
        <v>54.360529999999997</v>
      </c>
      <c r="J21" s="14">
        <v>45474</v>
      </c>
      <c r="K21" s="14">
        <v>46082</v>
      </c>
      <c r="L21" s="2" t="s">
        <v>60</v>
      </c>
      <c r="M21" s="2" t="s">
        <v>146</v>
      </c>
      <c r="N21" s="4">
        <v>6950</v>
      </c>
      <c r="O21" s="4">
        <f>19000*0+50252.69*0+43885*0+44230</f>
        <v>44230</v>
      </c>
      <c r="P21" s="2" t="s">
        <v>132</v>
      </c>
      <c r="Q21" s="2" t="s">
        <v>132</v>
      </c>
      <c r="R21" s="2" t="s">
        <v>148</v>
      </c>
      <c r="S21" s="2" t="s">
        <v>19</v>
      </c>
      <c r="T21" s="2" t="s">
        <v>22</v>
      </c>
      <c r="U21" s="2" t="s">
        <v>68</v>
      </c>
      <c r="V21" s="2"/>
      <c r="W21" s="5"/>
      <c r="X21" s="6"/>
      <c r="Y21" s="5"/>
      <c r="Z21" s="5"/>
      <c r="AA21" s="5"/>
      <c r="AB21" s="5"/>
      <c r="AC21" s="5"/>
      <c r="AD21" s="5"/>
      <c r="AE21" s="5"/>
    </row>
    <row r="22" spans="1:31">
      <c r="A22" s="17">
        <v>21</v>
      </c>
      <c r="B22" s="2" t="s">
        <v>159</v>
      </c>
      <c r="C22" s="9" t="s">
        <v>160</v>
      </c>
      <c r="D22" s="2" t="s">
        <v>8</v>
      </c>
      <c r="E22" s="2" t="s">
        <v>143</v>
      </c>
      <c r="F22" s="2" t="s">
        <v>161</v>
      </c>
      <c r="G22" s="2" t="s">
        <v>162</v>
      </c>
      <c r="H22" s="2">
        <v>24.48441</v>
      </c>
      <c r="I22" s="2">
        <v>54.376100000000001</v>
      </c>
      <c r="J22" s="14">
        <v>45474</v>
      </c>
      <c r="K22" s="14">
        <v>46082</v>
      </c>
      <c r="L22" s="2" t="s">
        <v>60</v>
      </c>
      <c r="M22" s="2" t="s">
        <v>146</v>
      </c>
      <c r="N22" s="4">
        <v>4470</v>
      </c>
      <c r="O22" s="4">
        <f>22000*0+25194.86*0+24908</f>
        <v>24908</v>
      </c>
      <c r="P22" s="2" t="s">
        <v>132</v>
      </c>
      <c r="Q22" s="2" t="s">
        <v>132</v>
      </c>
      <c r="R22" s="2" t="s">
        <v>148</v>
      </c>
      <c r="S22" s="2" t="s">
        <v>19</v>
      </c>
      <c r="T22" s="2" t="s">
        <v>22</v>
      </c>
      <c r="U22" s="2" t="s">
        <v>68</v>
      </c>
      <c r="V22" s="2"/>
      <c r="W22" s="5"/>
      <c r="X22" s="6"/>
      <c r="Y22" s="5"/>
      <c r="Z22" s="5"/>
      <c r="AA22" s="5"/>
      <c r="AB22" s="5"/>
      <c r="AC22" s="5"/>
      <c r="AD22" s="5"/>
      <c r="AE22" s="5"/>
    </row>
    <row r="23" spans="1:31">
      <c r="A23" s="17">
        <v>22</v>
      </c>
      <c r="B23" s="2" t="s">
        <v>163</v>
      </c>
      <c r="C23" s="8" t="s">
        <v>164</v>
      </c>
      <c r="D23" s="2" t="s">
        <v>8</v>
      </c>
      <c r="E23" s="2" t="s">
        <v>143</v>
      </c>
      <c r="F23" s="2" t="s">
        <v>165</v>
      </c>
      <c r="G23" s="2" t="s">
        <v>166</v>
      </c>
      <c r="H23" s="2">
        <v>24.493480000000002</v>
      </c>
      <c r="I23" s="2">
        <v>54.36591</v>
      </c>
      <c r="J23" s="14">
        <v>45474</v>
      </c>
      <c r="K23" s="14">
        <v>46082</v>
      </c>
      <c r="L23" s="2" t="s">
        <v>60</v>
      </c>
      <c r="M23" s="2" t="s">
        <v>146</v>
      </c>
      <c r="N23" s="4">
        <v>3292</v>
      </c>
      <c r="O23" s="4">
        <f>21000*0+21712.02*0+22046</f>
        <v>22046</v>
      </c>
      <c r="P23" s="2" t="s">
        <v>132</v>
      </c>
      <c r="Q23" s="2" t="s">
        <v>132</v>
      </c>
      <c r="R23" s="2" t="s">
        <v>148</v>
      </c>
      <c r="S23" s="2" t="s">
        <v>19</v>
      </c>
      <c r="T23" s="2" t="s">
        <v>22</v>
      </c>
      <c r="U23" s="2" t="s">
        <v>68</v>
      </c>
      <c r="V23" s="2"/>
      <c r="W23" s="5"/>
      <c r="X23" s="6"/>
      <c r="Y23" s="5"/>
      <c r="Z23" s="5"/>
      <c r="AA23" s="5"/>
      <c r="AB23" s="5"/>
      <c r="AC23" s="5"/>
      <c r="AD23" s="5"/>
      <c r="AE23" s="5"/>
    </row>
    <row r="24" spans="1:31">
      <c r="A24" s="17">
        <v>23</v>
      </c>
      <c r="B24" s="2" t="s">
        <v>168</v>
      </c>
      <c r="C24" s="134" t="s">
        <v>169</v>
      </c>
      <c r="D24" s="2" t="s">
        <v>8</v>
      </c>
      <c r="E24" s="2" t="s">
        <v>170</v>
      </c>
      <c r="F24" s="2" t="s">
        <v>171</v>
      </c>
      <c r="G24" s="2" t="s">
        <v>172</v>
      </c>
      <c r="H24" s="2">
        <v>24.491070000000001</v>
      </c>
      <c r="I24" s="2">
        <v>54.381189999999997</v>
      </c>
      <c r="J24" s="14">
        <v>45597</v>
      </c>
      <c r="K24" s="14">
        <f>+J24+365*2-1</f>
        <v>46326</v>
      </c>
      <c r="L24" s="2"/>
      <c r="M24" s="2" t="s">
        <v>146</v>
      </c>
      <c r="N24" s="2">
        <v>2080</v>
      </c>
      <c r="O24" s="4"/>
      <c r="P24" s="2" t="s">
        <v>132</v>
      </c>
      <c r="Q24" s="2"/>
      <c r="R24" s="2"/>
      <c r="S24" s="2" t="s">
        <v>602</v>
      </c>
      <c r="T24" s="2" t="s">
        <v>21</v>
      </c>
      <c r="U24" s="2" t="s">
        <v>173</v>
      </c>
      <c r="V24" s="2"/>
      <c r="W24" s="5"/>
      <c r="X24" s="6"/>
      <c r="Y24" s="5"/>
      <c r="Z24" s="5"/>
      <c r="AA24" s="5"/>
      <c r="AB24" s="5"/>
      <c r="AC24" s="5"/>
      <c r="AD24" s="5"/>
      <c r="AE24" s="5"/>
    </row>
    <row r="25" spans="1:31">
      <c r="A25" s="17">
        <v>24</v>
      </c>
      <c r="B25" s="2" t="s">
        <v>174</v>
      </c>
      <c r="C25" s="135" t="s">
        <v>304</v>
      </c>
      <c r="D25" s="2" t="s">
        <v>8</v>
      </c>
      <c r="E25" s="2" t="s">
        <v>143</v>
      </c>
      <c r="F25" s="2" t="s">
        <v>175</v>
      </c>
      <c r="G25" s="2" t="s">
        <v>166</v>
      </c>
      <c r="H25" s="2">
        <v>24.496638000000001</v>
      </c>
      <c r="I25" s="2">
        <v>54.36795</v>
      </c>
      <c r="J25" s="14">
        <v>45597</v>
      </c>
      <c r="K25" s="14">
        <f>+J25+365*2-1</f>
        <v>46326</v>
      </c>
      <c r="L25" s="2"/>
      <c r="M25" s="2" t="s">
        <v>146</v>
      </c>
      <c r="N25" s="2">
        <v>3846</v>
      </c>
      <c r="O25" s="4">
        <v>29360</v>
      </c>
      <c r="P25" s="2" t="s">
        <v>132</v>
      </c>
      <c r="Q25" s="2"/>
      <c r="R25" s="2"/>
      <c r="S25" s="2" t="s">
        <v>602</v>
      </c>
      <c r="T25" s="2" t="s">
        <v>21</v>
      </c>
      <c r="U25" s="2" t="s">
        <v>173</v>
      </c>
      <c r="V25" s="2"/>
      <c r="W25" s="5"/>
      <c r="X25" s="6"/>
      <c r="Y25" s="5"/>
      <c r="Z25" s="5"/>
      <c r="AA25" s="5"/>
      <c r="AB25" s="5"/>
      <c r="AC25" s="5"/>
      <c r="AD25" s="5"/>
      <c r="AE25" s="5"/>
    </row>
    <row r="26" spans="1:31">
      <c r="A26" s="17">
        <v>25</v>
      </c>
      <c r="B26" s="2" t="s">
        <v>176</v>
      </c>
      <c r="C26" s="8" t="s">
        <v>177</v>
      </c>
      <c r="D26" s="2" t="s">
        <v>8</v>
      </c>
      <c r="E26" s="2" t="s">
        <v>143</v>
      </c>
      <c r="F26" s="2" t="s">
        <v>178</v>
      </c>
      <c r="G26" s="2" t="s">
        <v>179</v>
      </c>
      <c r="H26" s="2">
        <v>24.48227</v>
      </c>
      <c r="I26" s="2">
        <v>54.379629999999999</v>
      </c>
      <c r="J26" s="14">
        <v>45566</v>
      </c>
      <c r="K26" s="14">
        <f>+J26+365*3-1</f>
        <v>46660</v>
      </c>
      <c r="L26" s="2"/>
      <c r="M26" s="2" t="s">
        <v>180</v>
      </c>
      <c r="N26" s="2">
        <v>1550</v>
      </c>
      <c r="O26" s="4">
        <v>22498</v>
      </c>
      <c r="P26" s="2" t="s">
        <v>181</v>
      </c>
      <c r="Q26" s="2"/>
      <c r="R26" s="2"/>
      <c r="S26" s="2" t="s">
        <v>167</v>
      </c>
      <c r="T26" s="2" t="s">
        <v>21</v>
      </c>
      <c r="U26" s="2" t="s">
        <v>68</v>
      </c>
      <c r="V26" s="2"/>
      <c r="W26" s="5"/>
      <c r="X26" s="6"/>
      <c r="Y26" s="5"/>
      <c r="Z26" s="5"/>
      <c r="AA26" s="5"/>
      <c r="AB26" s="5"/>
      <c r="AC26" s="5"/>
      <c r="AD26" s="5"/>
      <c r="AE26" s="5"/>
    </row>
    <row r="27" spans="1:31">
      <c r="A27" s="17">
        <v>26</v>
      </c>
      <c r="B27" s="2" t="s">
        <v>182</v>
      </c>
      <c r="C27" s="9" t="s">
        <v>183</v>
      </c>
      <c r="D27" s="2" t="s">
        <v>8</v>
      </c>
      <c r="E27" s="2" t="s">
        <v>184</v>
      </c>
      <c r="F27" s="2" t="s">
        <v>185</v>
      </c>
      <c r="G27" s="2" t="s">
        <v>186</v>
      </c>
      <c r="H27" s="2">
        <v>24.467580000000002</v>
      </c>
      <c r="I27" s="2">
        <v>54.386069999999997</v>
      </c>
      <c r="J27" s="14">
        <v>45566</v>
      </c>
      <c r="K27" s="14">
        <f>+J27+365*3-1</f>
        <v>46660</v>
      </c>
      <c r="L27" s="2"/>
      <c r="M27" s="2" t="s">
        <v>180</v>
      </c>
      <c r="N27" s="2">
        <v>1550</v>
      </c>
      <c r="O27" s="4"/>
      <c r="P27" s="2" t="s">
        <v>187</v>
      </c>
      <c r="Q27" s="2"/>
      <c r="R27" s="2"/>
      <c r="S27" s="2" t="s">
        <v>167</v>
      </c>
      <c r="T27" s="2" t="s">
        <v>21</v>
      </c>
      <c r="U27" s="2" t="s">
        <v>68</v>
      </c>
      <c r="V27" s="2"/>
      <c r="W27" s="5"/>
      <c r="X27" s="6"/>
      <c r="Y27" s="5"/>
      <c r="Z27" s="5"/>
      <c r="AA27" s="5"/>
      <c r="AB27" s="5"/>
      <c r="AC27" s="5"/>
      <c r="AD27" s="5"/>
      <c r="AE27" s="5"/>
    </row>
    <row r="28" spans="1:31">
      <c r="A28" s="17">
        <v>27</v>
      </c>
      <c r="B28" s="2" t="s">
        <v>188</v>
      </c>
      <c r="C28" s="8" t="s">
        <v>189</v>
      </c>
      <c r="D28" s="2" t="s">
        <v>8</v>
      </c>
      <c r="E28" s="2" t="s">
        <v>143</v>
      </c>
      <c r="F28" s="2" t="s">
        <v>190</v>
      </c>
      <c r="G28" s="2" t="s">
        <v>191</v>
      </c>
      <c r="H28" s="2">
        <v>24.479510000000001</v>
      </c>
      <c r="I28" s="2">
        <v>54.363810000000001</v>
      </c>
      <c r="J28" s="14">
        <v>45566</v>
      </c>
      <c r="K28" s="14">
        <f>+J28+365*3-1</f>
        <v>46660</v>
      </c>
      <c r="L28" s="2"/>
      <c r="M28" s="2" t="s">
        <v>180</v>
      </c>
      <c r="N28" s="2">
        <v>1550</v>
      </c>
      <c r="O28" s="4"/>
      <c r="P28" s="2" t="s">
        <v>187</v>
      </c>
      <c r="Q28" s="2"/>
      <c r="R28" s="2"/>
      <c r="S28" s="2" t="s">
        <v>167</v>
      </c>
      <c r="T28" s="2" t="s">
        <v>21</v>
      </c>
      <c r="U28" s="2" t="s">
        <v>68</v>
      </c>
      <c r="V28" s="2"/>
      <c r="W28" s="5"/>
      <c r="X28" s="6"/>
      <c r="Y28" s="5"/>
      <c r="Z28" s="5"/>
      <c r="AA28" s="5"/>
      <c r="AB28" s="5"/>
      <c r="AC28" s="5"/>
      <c r="AD28" s="5"/>
      <c r="AE28" s="5"/>
    </row>
    <row r="29" spans="1:31">
      <c r="A29" s="17">
        <v>28</v>
      </c>
      <c r="B29" s="2" t="s">
        <v>192</v>
      </c>
      <c r="C29" s="9" t="s">
        <v>193</v>
      </c>
      <c r="D29" s="2" t="s">
        <v>129</v>
      </c>
      <c r="E29" s="2" t="s">
        <v>194</v>
      </c>
      <c r="F29" s="2" t="s">
        <v>194</v>
      </c>
      <c r="G29" s="2">
        <v>46</v>
      </c>
      <c r="H29" s="2">
        <v>24.18459</v>
      </c>
      <c r="I29" s="2">
        <v>55.614849999999997</v>
      </c>
      <c r="J29" s="14">
        <v>45748</v>
      </c>
      <c r="K29" s="14">
        <f t="shared" ref="K29:K35" si="1">+J29+910+4-1-1</f>
        <v>46660</v>
      </c>
      <c r="L29" s="2"/>
      <c r="M29" s="2" t="s">
        <v>180</v>
      </c>
      <c r="N29" s="2">
        <v>1550</v>
      </c>
      <c r="O29" s="4"/>
      <c r="P29" s="2" t="s">
        <v>187</v>
      </c>
      <c r="Q29" s="2"/>
      <c r="R29" s="2"/>
      <c r="S29" s="2" t="s">
        <v>167</v>
      </c>
      <c r="T29" s="2" t="s">
        <v>21</v>
      </c>
      <c r="U29" s="2" t="s">
        <v>68</v>
      </c>
      <c r="V29" s="2"/>
      <c r="W29" s="5"/>
      <c r="X29" s="6"/>
      <c r="Y29" s="5"/>
      <c r="Z29" s="5"/>
      <c r="AA29" s="5"/>
      <c r="AB29" s="5"/>
      <c r="AC29" s="5"/>
      <c r="AD29" s="5"/>
      <c r="AE29" s="5"/>
    </row>
    <row r="30" spans="1:31">
      <c r="A30" s="17">
        <v>29</v>
      </c>
      <c r="B30" s="2" t="s">
        <v>195</v>
      </c>
      <c r="C30" s="8" t="s">
        <v>196</v>
      </c>
      <c r="D30" s="2" t="s">
        <v>129</v>
      </c>
      <c r="E30" s="2" t="s">
        <v>197</v>
      </c>
      <c r="F30" s="2" t="s">
        <v>198</v>
      </c>
      <c r="G30" s="2">
        <v>10</v>
      </c>
      <c r="H30" s="2">
        <v>24.3444</v>
      </c>
      <c r="I30" s="2">
        <v>55.78501</v>
      </c>
      <c r="J30" s="14">
        <v>45748</v>
      </c>
      <c r="K30" s="14">
        <f t="shared" si="1"/>
        <v>46660</v>
      </c>
      <c r="L30" s="2"/>
      <c r="M30" s="2" t="s">
        <v>180</v>
      </c>
      <c r="N30" s="2">
        <v>1550</v>
      </c>
      <c r="O30" s="4"/>
      <c r="P30" s="2" t="s">
        <v>187</v>
      </c>
      <c r="Q30" s="2"/>
      <c r="R30" s="2"/>
      <c r="S30" s="2" t="s">
        <v>167</v>
      </c>
      <c r="T30" s="2" t="s">
        <v>21</v>
      </c>
      <c r="U30" s="2" t="s">
        <v>68</v>
      </c>
      <c r="V30" s="2"/>
      <c r="W30" s="5"/>
      <c r="X30" s="6"/>
      <c r="Y30" s="5"/>
      <c r="Z30" s="5"/>
      <c r="AA30" s="5"/>
      <c r="AB30" s="5"/>
      <c r="AC30" s="5"/>
      <c r="AD30" s="5"/>
      <c r="AE30" s="5"/>
    </row>
    <row r="31" spans="1:31">
      <c r="A31" s="17">
        <v>30</v>
      </c>
      <c r="B31" s="2" t="s">
        <v>199</v>
      </c>
      <c r="C31" s="9" t="s">
        <v>200</v>
      </c>
      <c r="D31" s="2" t="s">
        <v>129</v>
      </c>
      <c r="E31" s="2" t="s">
        <v>201</v>
      </c>
      <c r="F31" s="2" t="s">
        <v>202</v>
      </c>
      <c r="G31" s="2">
        <v>2</v>
      </c>
      <c r="H31" s="2">
        <v>24.116019999999999</v>
      </c>
      <c r="I31" s="2">
        <v>55.695140000000002</v>
      </c>
      <c r="J31" s="14">
        <v>45748</v>
      </c>
      <c r="K31" s="14">
        <f t="shared" si="1"/>
        <v>46660</v>
      </c>
      <c r="L31" s="2"/>
      <c r="M31" s="2" t="s">
        <v>180</v>
      </c>
      <c r="N31" s="2">
        <v>1550</v>
      </c>
      <c r="O31" s="4"/>
      <c r="P31" s="2" t="s">
        <v>187</v>
      </c>
      <c r="Q31" s="2"/>
      <c r="R31" s="2"/>
      <c r="S31" s="2" t="s">
        <v>167</v>
      </c>
      <c r="T31" s="2" t="s">
        <v>21</v>
      </c>
      <c r="U31" s="2" t="s">
        <v>68</v>
      </c>
      <c r="V31" s="2"/>
      <c r="W31" s="5"/>
      <c r="X31" s="6"/>
      <c r="Y31" s="5"/>
      <c r="Z31" s="5"/>
      <c r="AA31" s="5"/>
      <c r="AB31" s="5"/>
      <c r="AC31" s="5"/>
      <c r="AD31" s="5"/>
      <c r="AE31" s="5"/>
    </row>
    <row r="32" spans="1:31">
      <c r="A32" s="17">
        <v>31</v>
      </c>
      <c r="B32" s="2" t="s">
        <v>203</v>
      </c>
      <c r="C32" s="8" t="s">
        <v>204</v>
      </c>
      <c r="D32" s="2" t="s">
        <v>8</v>
      </c>
      <c r="E32" s="2" t="s">
        <v>92</v>
      </c>
      <c r="F32" s="2" t="s">
        <v>205</v>
      </c>
      <c r="G32" s="2" t="s">
        <v>206</v>
      </c>
      <c r="H32" s="2">
        <v>24.342279999999999</v>
      </c>
      <c r="I32" s="2">
        <v>54.532110000000003</v>
      </c>
      <c r="J32" s="14">
        <v>45748</v>
      </c>
      <c r="K32" s="14">
        <f t="shared" si="1"/>
        <v>46660</v>
      </c>
      <c r="L32" s="2"/>
      <c r="M32" s="2" t="s">
        <v>180</v>
      </c>
      <c r="N32" s="2">
        <v>1550</v>
      </c>
      <c r="O32" s="4"/>
      <c r="P32" s="2" t="s">
        <v>187</v>
      </c>
      <c r="Q32" s="2"/>
      <c r="R32" s="2"/>
      <c r="S32" s="2" t="s">
        <v>167</v>
      </c>
      <c r="T32" s="2" t="s">
        <v>21</v>
      </c>
      <c r="U32" s="2" t="s">
        <v>68</v>
      </c>
      <c r="V32" s="2"/>
      <c r="W32" s="5"/>
      <c r="X32" s="6"/>
      <c r="Y32" s="5"/>
      <c r="Z32" s="5"/>
      <c r="AA32" s="5"/>
      <c r="AB32" s="5"/>
      <c r="AC32" s="5"/>
      <c r="AD32" s="5"/>
      <c r="AE32" s="5"/>
    </row>
    <row r="33" spans="1:31">
      <c r="A33" s="17">
        <v>32</v>
      </c>
      <c r="B33" s="2" t="s">
        <v>207</v>
      </c>
      <c r="C33" s="9" t="s">
        <v>208</v>
      </c>
      <c r="D33" s="2" t="s">
        <v>8</v>
      </c>
      <c r="E33" s="2" t="s">
        <v>209</v>
      </c>
      <c r="F33" s="2" t="s">
        <v>210</v>
      </c>
      <c r="G33" s="2" t="s">
        <v>211</v>
      </c>
      <c r="H33" s="2">
        <v>24.29608</v>
      </c>
      <c r="I33" s="2">
        <v>54.616669999999999</v>
      </c>
      <c r="J33" s="14">
        <v>45748</v>
      </c>
      <c r="K33" s="14">
        <f t="shared" si="1"/>
        <v>46660</v>
      </c>
      <c r="L33" s="2"/>
      <c r="M33" s="2" t="s">
        <v>180</v>
      </c>
      <c r="N33" s="2">
        <v>1550</v>
      </c>
      <c r="O33" s="4"/>
      <c r="P33" s="2" t="s">
        <v>187</v>
      </c>
      <c r="Q33" s="2"/>
      <c r="R33" s="2"/>
      <c r="S33" s="2" t="s">
        <v>167</v>
      </c>
      <c r="T33" s="2" t="s">
        <v>21</v>
      </c>
      <c r="U33" s="2" t="s">
        <v>68</v>
      </c>
      <c r="V33" s="2"/>
      <c r="W33" s="5"/>
      <c r="X33" s="6"/>
      <c r="Y33" s="5"/>
      <c r="Z33" s="5"/>
      <c r="AA33" s="5"/>
      <c r="AB33" s="5"/>
      <c r="AC33" s="5"/>
      <c r="AD33" s="5"/>
      <c r="AE33" s="5"/>
    </row>
    <row r="34" spans="1:31">
      <c r="A34" s="17">
        <v>33</v>
      </c>
      <c r="B34" s="2" t="s">
        <v>212</v>
      </c>
      <c r="C34" s="8" t="s">
        <v>213</v>
      </c>
      <c r="D34" s="2" t="s">
        <v>8</v>
      </c>
      <c r="E34" s="2" t="s">
        <v>214</v>
      </c>
      <c r="F34" s="2" t="s">
        <v>215</v>
      </c>
      <c r="G34" s="2" t="s">
        <v>216</v>
      </c>
      <c r="H34" s="2">
        <v>24.36328</v>
      </c>
      <c r="I34" s="2">
        <v>54.630560000000003</v>
      </c>
      <c r="J34" s="14">
        <v>45748</v>
      </c>
      <c r="K34" s="14">
        <f t="shared" si="1"/>
        <v>46660</v>
      </c>
      <c r="L34" s="2"/>
      <c r="M34" s="2" t="s">
        <v>180</v>
      </c>
      <c r="N34" s="2">
        <v>1550</v>
      </c>
      <c r="O34" s="4"/>
      <c r="P34" s="2" t="s">
        <v>187</v>
      </c>
      <c r="Q34" s="2"/>
      <c r="R34" s="2"/>
      <c r="S34" s="2" t="s">
        <v>167</v>
      </c>
      <c r="T34" s="2" t="s">
        <v>21</v>
      </c>
      <c r="U34" s="2" t="s">
        <v>68</v>
      </c>
      <c r="V34" s="2"/>
      <c r="W34" s="5"/>
      <c r="X34" s="6"/>
      <c r="Y34" s="5"/>
      <c r="Z34" s="5"/>
      <c r="AA34" s="5"/>
      <c r="AB34" s="5"/>
      <c r="AC34" s="5"/>
      <c r="AD34" s="5"/>
      <c r="AE34" s="5"/>
    </row>
    <row r="35" spans="1:31">
      <c r="A35" s="17">
        <v>34</v>
      </c>
      <c r="B35" s="2" t="s">
        <v>217</v>
      </c>
      <c r="C35" s="9" t="s">
        <v>218</v>
      </c>
      <c r="D35" s="2" t="s">
        <v>8</v>
      </c>
      <c r="E35" s="2" t="s">
        <v>219</v>
      </c>
      <c r="F35" s="2" t="s">
        <v>220</v>
      </c>
      <c r="G35" s="2" t="s">
        <v>126</v>
      </c>
      <c r="H35" s="2">
        <v>24.403569999999998</v>
      </c>
      <c r="I35" s="2">
        <v>54.739600000000003</v>
      </c>
      <c r="J35" s="14">
        <v>45748</v>
      </c>
      <c r="K35" s="14">
        <f t="shared" si="1"/>
        <v>46660</v>
      </c>
      <c r="L35" s="2"/>
      <c r="M35" s="2" t="s">
        <v>180</v>
      </c>
      <c r="N35" s="2">
        <v>1550</v>
      </c>
      <c r="O35" s="4"/>
      <c r="P35" s="2" t="s">
        <v>187</v>
      </c>
      <c r="Q35" s="2"/>
      <c r="R35" s="2"/>
      <c r="S35" s="2" t="s">
        <v>167</v>
      </c>
      <c r="T35" s="2" t="s">
        <v>21</v>
      </c>
      <c r="U35" s="2" t="s">
        <v>68</v>
      </c>
      <c r="V35" s="2"/>
      <c r="W35" s="5"/>
      <c r="X35" s="6"/>
      <c r="Y35" s="5"/>
      <c r="Z35" s="5"/>
      <c r="AA35" s="5"/>
      <c r="AB35" s="5"/>
      <c r="AC35" s="5"/>
      <c r="AD35" s="5"/>
      <c r="AE35" s="5"/>
    </row>
    <row r="36" spans="1:31">
      <c r="A36" s="17">
        <v>35</v>
      </c>
      <c r="B36" s="2" t="s">
        <v>221</v>
      </c>
      <c r="C36" s="8" t="s">
        <v>222</v>
      </c>
      <c r="D36" s="2" t="s">
        <v>223</v>
      </c>
      <c r="E36" s="2" t="s">
        <v>224</v>
      </c>
      <c r="F36" s="2" t="s">
        <v>225</v>
      </c>
      <c r="G36" s="2" t="s">
        <v>226</v>
      </c>
      <c r="H36" s="2">
        <v>24.093389999999999</v>
      </c>
      <c r="I36" s="2">
        <v>52.646230000000003</v>
      </c>
      <c r="J36" s="14">
        <v>45962</v>
      </c>
      <c r="K36" s="14">
        <f>+J36+910+4-1</f>
        <v>46875</v>
      </c>
      <c r="L36" s="2"/>
      <c r="M36" s="2" t="s">
        <v>180</v>
      </c>
      <c r="N36" s="2">
        <v>1550</v>
      </c>
      <c r="O36" s="4"/>
      <c r="P36" s="2" t="s">
        <v>187</v>
      </c>
      <c r="Q36" s="2"/>
      <c r="R36" s="2"/>
      <c r="S36" s="2" t="s">
        <v>167</v>
      </c>
      <c r="T36" s="2" t="s">
        <v>21</v>
      </c>
      <c r="U36" s="2" t="s">
        <v>68</v>
      </c>
      <c r="V36" s="2"/>
      <c r="W36" s="5"/>
      <c r="X36" s="6"/>
      <c r="Y36" s="5"/>
      <c r="Z36" s="5"/>
      <c r="AA36" s="5"/>
      <c r="AB36" s="5"/>
      <c r="AC36" s="5"/>
      <c r="AD36" s="5"/>
      <c r="AE36" s="5"/>
    </row>
    <row r="37" spans="1:31">
      <c r="A37" s="17">
        <v>36</v>
      </c>
      <c r="B37" s="2" t="s">
        <v>227</v>
      </c>
      <c r="C37" s="9" t="s">
        <v>228</v>
      </c>
      <c r="D37" s="2" t="s">
        <v>223</v>
      </c>
      <c r="E37" s="2" t="s">
        <v>229</v>
      </c>
      <c r="F37" s="2" t="s">
        <v>230</v>
      </c>
      <c r="G37" s="2" t="s">
        <v>109</v>
      </c>
      <c r="H37" s="2">
        <v>23.639900000000001</v>
      </c>
      <c r="I37" s="2">
        <v>53.69021</v>
      </c>
      <c r="J37" s="14">
        <v>45962</v>
      </c>
      <c r="K37" s="14">
        <f>+J37+910+4-1</f>
        <v>46875</v>
      </c>
      <c r="L37" s="2"/>
      <c r="M37" s="2" t="s">
        <v>180</v>
      </c>
      <c r="N37" s="2">
        <v>1550</v>
      </c>
      <c r="O37" s="4"/>
      <c r="P37" s="2" t="s">
        <v>187</v>
      </c>
      <c r="Q37" s="2"/>
      <c r="R37" s="2"/>
      <c r="S37" s="2" t="s">
        <v>167</v>
      </c>
      <c r="T37" s="2" t="s">
        <v>21</v>
      </c>
      <c r="U37" s="2" t="s">
        <v>68</v>
      </c>
      <c r="V37" s="2"/>
      <c r="W37" s="5"/>
      <c r="X37" s="6"/>
      <c r="Y37" s="5"/>
      <c r="Z37" s="5"/>
      <c r="AA37" s="5"/>
      <c r="AB37" s="5"/>
      <c r="AC37" s="5"/>
      <c r="AD37" s="5"/>
      <c r="AE37" s="5"/>
    </row>
    <row r="38" spans="1:31">
      <c r="A38" s="17">
        <v>37</v>
      </c>
      <c r="B38" s="2" t="s">
        <v>231</v>
      </c>
      <c r="C38" s="8" t="s">
        <v>232</v>
      </c>
      <c r="D38" s="2" t="s">
        <v>223</v>
      </c>
      <c r="E38" s="2" t="s">
        <v>233</v>
      </c>
      <c r="F38" s="2" t="s">
        <v>234</v>
      </c>
      <c r="G38" s="2" t="s">
        <v>235</v>
      </c>
      <c r="H38" s="2">
        <v>24.073260000000001</v>
      </c>
      <c r="I38" s="2">
        <v>53.470910000000003</v>
      </c>
      <c r="J38" s="14">
        <v>45962</v>
      </c>
      <c r="K38" s="14">
        <f>+J38+910+4-1</f>
        <v>46875</v>
      </c>
      <c r="L38" s="2"/>
      <c r="M38" s="2" t="s">
        <v>180</v>
      </c>
      <c r="N38" s="2">
        <v>1550</v>
      </c>
      <c r="O38" s="4"/>
      <c r="P38" s="2" t="s">
        <v>187</v>
      </c>
      <c r="Q38" s="2"/>
      <c r="R38" s="2"/>
      <c r="S38" s="2" t="s">
        <v>167</v>
      </c>
      <c r="T38" s="2" t="s">
        <v>21</v>
      </c>
      <c r="U38" s="2" t="s">
        <v>68</v>
      </c>
      <c r="V38" s="2"/>
      <c r="W38" s="5"/>
      <c r="X38" s="6"/>
      <c r="Y38" s="5"/>
      <c r="Z38" s="5"/>
      <c r="AA38" s="5"/>
      <c r="AB38" s="5"/>
      <c r="AC38" s="5"/>
      <c r="AD38" s="5"/>
      <c r="AE38" s="5"/>
    </row>
    <row r="39" spans="1:31" s="23" customFormat="1">
      <c r="A39" s="17">
        <v>38</v>
      </c>
      <c r="B39" s="145" t="s">
        <v>236</v>
      </c>
      <c r="C39" s="24" t="s">
        <v>237</v>
      </c>
      <c r="D39" s="17" t="s">
        <v>8</v>
      </c>
      <c r="E39" s="17" t="s">
        <v>97</v>
      </c>
      <c r="F39" s="17" t="s">
        <v>238</v>
      </c>
      <c r="G39" s="17" t="s">
        <v>239</v>
      </c>
      <c r="H39" s="17">
        <v>24.32986</v>
      </c>
      <c r="I39" s="17">
        <v>54.64555</v>
      </c>
      <c r="J39" s="18">
        <v>44990</v>
      </c>
      <c r="K39" s="18">
        <v>45904</v>
      </c>
      <c r="L39" s="17"/>
      <c r="M39" s="17" t="s">
        <v>240</v>
      </c>
      <c r="N39" s="17">
        <v>240</v>
      </c>
      <c r="O39" s="19">
        <v>2620</v>
      </c>
      <c r="P39" s="17" t="s">
        <v>132</v>
      </c>
      <c r="Q39" s="17" t="s">
        <v>241</v>
      </c>
      <c r="R39" s="17" t="s">
        <v>242</v>
      </c>
      <c r="S39" s="17" t="s">
        <v>19</v>
      </c>
      <c r="T39" s="17" t="s">
        <v>22</v>
      </c>
      <c r="U39" s="17" t="s">
        <v>173</v>
      </c>
      <c r="V39" s="17"/>
      <c r="W39" s="20"/>
      <c r="X39" s="21"/>
      <c r="Y39" s="20"/>
      <c r="Z39" s="20"/>
      <c r="AA39" s="20"/>
      <c r="AB39" s="20"/>
      <c r="AC39" s="20"/>
      <c r="AD39" s="20"/>
      <c r="AE39" s="20"/>
    </row>
    <row r="40" spans="1:31" s="23" customFormat="1">
      <c r="A40" s="17">
        <v>39</v>
      </c>
      <c r="B40" s="145" t="s">
        <v>243</v>
      </c>
      <c r="C40" s="17" t="s">
        <v>244</v>
      </c>
      <c r="D40" s="17" t="s">
        <v>8</v>
      </c>
      <c r="E40" s="17" t="s">
        <v>70</v>
      </c>
      <c r="F40" s="17" t="s">
        <v>245</v>
      </c>
      <c r="G40" s="17" t="s">
        <v>78</v>
      </c>
      <c r="H40" s="17">
        <v>24.541550000000001</v>
      </c>
      <c r="I40" s="17">
        <v>54.680660000000003</v>
      </c>
      <c r="J40" s="18">
        <v>45187</v>
      </c>
      <c r="K40" s="18">
        <v>45900</v>
      </c>
      <c r="L40" s="17"/>
      <c r="M40" s="17" t="s">
        <v>240</v>
      </c>
      <c r="N40" s="17">
        <v>240</v>
      </c>
      <c r="O40" s="19">
        <v>2658</v>
      </c>
      <c r="P40" s="17" t="s">
        <v>132</v>
      </c>
      <c r="Q40" s="17" t="s">
        <v>241</v>
      </c>
      <c r="R40" s="17" t="s">
        <v>242</v>
      </c>
      <c r="S40" s="17" t="s">
        <v>19</v>
      </c>
      <c r="T40" s="17" t="s">
        <v>22</v>
      </c>
      <c r="U40" s="17" t="s">
        <v>173</v>
      </c>
      <c r="V40" s="17"/>
      <c r="W40" s="20"/>
      <c r="X40" s="21"/>
      <c r="Y40" s="20"/>
      <c r="Z40" s="20"/>
      <c r="AA40" s="20"/>
      <c r="AB40" s="20"/>
      <c r="AC40" s="20"/>
      <c r="AD40" s="20"/>
      <c r="AE40" s="20"/>
    </row>
    <row r="41" spans="1:31" s="23" customFormat="1">
      <c r="A41" s="17">
        <v>40</v>
      </c>
      <c r="B41" s="145" t="s">
        <v>246</v>
      </c>
      <c r="C41" s="24" t="s">
        <v>247</v>
      </c>
      <c r="D41" s="17" t="s">
        <v>129</v>
      </c>
      <c r="E41" s="17" t="s">
        <v>248</v>
      </c>
      <c r="F41" s="17" t="s">
        <v>249</v>
      </c>
      <c r="G41" s="17" t="s">
        <v>11</v>
      </c>
      <c r="H41" s="17">
        <v>24.202629999999999</v>
      </c>
      <c r="I41" s="17">
        <v>55.774659999999997</v>
      </c>
      <c r="J41" s="18">
        <v>45260</v>
      </c>
      <c r="K41" s="18">
        <v>45808</v>
      </c>
      <c r="L41" s="17"/>
      <c r="M41" s="17" t="s">
        <v>240</v>
      </c>
      <c r="N41" s="17">
        <v>240</v>
      </c>
      <c r="O41" s="19">
        <v>2651</v>
      </c>
      <c r="P41" s="17" t="s">
        <v>132</v>
      </c>
      <c r="Q41" s="17" t="s">
        <v>241</v>
      </c>
      <c r="R41" s="17" t="s">
        <v>242</v>
      </c>
      <c r="S41" s="17" t="s">
        <v>19</v>
      </c>
      <c r="T41" s="17" t="s">
        <v>22</v>
      </c>
      <c r="U41" s="17" t="s">
        <v>173</v>
      </c>
      <c r="V41" s="17"/>
      <c r="W41" s="20"/>
      <c r="X41" s="21"/>
      <c r="Y41" s="20"/>
      <c r="Z41" s="20"/>
      <c r="AA41" s="20"/>
      <c r="AB41" s="20"/>
      <c r="AC41" s="20"/>
      <c r="AD41" s="20"/>
      <c r="AE41" s="20"/>
    </row>
    <row r="42" spans="1:31" s="23" customFormat="1">
      <c r="A42" s="17">
        <v>41</v>
      </c>
      <c r="B42" s="145" t="s">
        <v>250</v>
      </c>
      <c r="C42" s="17" t="s">
        <v>251</v>
      </c>
      <c r="D42" s="17" t="s">
        <v>129</v>
      </c>
      <c r="E42" s="17" t="s">
        <v>248</v>
      </c>
      <c r="F42" s="17" t="s">
        <v>252</v>
      </c>
      <c r="G42" s="17" t="s">
        <v>253</v>
      </c>
      <c r="H42" s="17">
        <v>24.198799999999999</v>
      </c>
      <c r="I42" s="17">
        <v>55.797669999999997</v>
      </c>
      <c r="J42" s="18">
        <v>45187</v>
      </c>
      <c r="K42" s="18">
        <v>45808</v>
      </c>
      <c r="L42" s="17"/>
      <c r="M42" s="17" t="s">
        <v>240</v>
      </c>
      <c r="N42" s="17">
        <v>240</v>
      </c>
      <c r="O42" s="19">
        <v>2723</v>
      </c>
      <c r="P42" s="17" t="s">
        <v>132</v>
      </c>
      <c r="Q42" s="17" t="s">
        <v>241</v>
      </c>
      <c r="R42" s="17" t="s">
        <v>242</v>
      </c>
      <c r="S42" s="17" t="s">
        <v>19</v>
      </c>
      <c r="T42" s="17" t="s">
        <v>22</v>
      </c>
      <c r="U42" s="17" t="s">
        <v>173</v>
      </c>
      <c r="V42" s="17"/>
      <c r="W42" s="20"/>
      <c r="X42" s="21"/>
      <c r="Y42" s="20"/>
      <c r="Z42" s="20"/>
      <c r="AA42" s="20"/>
      <c r="AB42" s="20"/>
      <c r="AC42" s="20"/>
      <c r="AD42" s="20"/>
      <c r="AE42" s="20"/>
    </row>
    <row r="43" spans="1:31" s="23" customFormat="1">
      <c r="A43" s="17">
        <v>42</v>
      </c>
      <c r="B43" s="145" t="s">
        <v>254</v>
      </c>
      <c r="C43" s="24" t="s">
        <v>255</v>
      </c>
      <c r="D43" s="17" t="s">
        <v>223</v>
      </c>
      <c r="E43" s="17" t="s">
        <v>256</v>
      </c>
      <c r="F43" s="17" t="s">
        <v>257</v>
      </c>
      <c r="G43" s="17" t="s">
        <v>258</v>
      </c>
      <c r="H43" s="17">
        <v>24.076360000000001</v>
      </c>
      <c r="I43" s="17">
        <v>51.765599999999999</v>
      </c>
      <c r="J43" s="18">
        <v>45187</v>
      </c>
      <c r="K43" s="18">
        <v>45808</v>
      </c>
      <c r="L43" s="17"/>
      <c r="M43" s="17" t="s">
        <v>240</v>
      </c>
      <c r="N43" s="17">
        <v>240</v>
      </c>
      <c r="O43" s="19">
        <v>2535</v>
      </c>
      <c r="P43" s="17" t="s">
        <v>132</v>
      </c>
      <c r="Q43" s="17" t="s">
        <v>241</v>
      </c>
      <c r="R43" s="17" t="s">
        <v>242</v>
      </c>
      <c r="S43" s="17" t="s">
        <v>19</v>
      </c>
      <c r="T43" s="17" t="s">
        <v>22</v>
      </c>
      <c r="U43" s="17" t="s">
        <v>173</v>
      </c>
      <c r="V43" s="17"/>
      <c r="W43" s="20"/>
      <c r="X43" s="21"/>
      <c r="Y43" s="20"/>
      <c r="Z43" s="20"/>
      <c r="AA43" s="20"/>
      <c r="AB43" s="20"/>
      <c r="AC43" s="20"/>
      <c r="AD43" s="20"/>
      <c r="AE43" s="20"/>
    </row>
    <row r="44" spans="1:31" s="23" customFormat="1">
      <c r="A44" s="17">
        <v>43</v>
      </c>
      <c r="B44" s="145" t="s">
        <v>259</v>
      </c>
      <c r="C44" s="17" t="s">
        <v>260</v>
      </c>
      <c r="D44" s="17" t="s">
        <v>223</v>
      </c>
      <c r="E44" s="17" t="s">
        <v>229</v>
      </c>
      <c r="F44" s="17" t="s">
        <v>261</v>
      </c>
      <c r="G44" s="17" t="s">
        <v>262</v>
      </c>
      <c r="H44" s="17">
        <v>23.643969999999999</v>
      </c>
      <c r="I44" s="17">
        <v>53.620579999999997</v>
      </c>
      <c r="J44" s="18">
        <v>45195</v>
      </c>
      <c r="K44" s="18">
        <v>45808</v>
      </c>
      <c r="L44" s="17"/>
      <c r="M44" s="17" t="s">
        <v>240</v>
      </c>
      <c r="N44" s="17">
        <v>240</v>
      </c>
      <c r="O44" s="19">
        <v>2804</v>
      </c>
      <c r="P44" s="17" t="s">
        <v>132</v>
      </c>
      <c r="Q44" s="17" t="s">
        <v>241</v>
      </c>
      <c r="R44" s="17" t="s">
        <v>242</v>
      </c>
      <c r="S44" s="17" t="s">
        <v>19</v>
      </c>
      <c r="T44" s="17" t="s">
        <v>22</v>
      </c>
      <c r="U44" s="17" t="s">
        <v>173</v>
      </c>
      <c r="V44" s="17"/>
      <c r="W44" s="20"/>
      <c r="X44" s="21"/>
      <c r="Y44" s="20"/>
      <c r="Z44" s="20"/>
      <c r="AA44" s="20"/>
      <c r="AB44" s="20"/>
      <c r="AC44" s="20"/>
      <c r="AD44" s="20"/>
      <c r="AE44" s="20"/>
    </row>
    <row r="45" spans="1:31" s="23" customFormat="1">
      <c r="A45" s="17">
        <v>44</v>
      </c>
      <c r="B45" s="145" t="s">
        <v>263</v>
      </c>
      <c r="C45" s="24" t="s">
        <v>264</v>
      </c>
      <c r="D45" s="17" t="s">
        <v>223</v>
      </c>
      <c r="E45" s="17" t="s">
        <v>229</v>
      </c>
      <c r="F45" s="17" t="s">
        <v>265</v>
      </c>
      <c r="G45" s="17" t="s">
        <v>266</v>
      </c>
      <c r="H45" s="17">
        <v>23.654050000000002</v>
      </c>
      <c r="I45" s="17">
        <v>53.70872</v>
      </c>
      <c r="J45" s="18">
        <v>45195</v>
      </c>
      <c r="K45" s="18">
        <v>45808</v>
      </c>
      <c r="L45" s="17"/>
      <c r="M45" s="17" t="s">
        <v>240</v>
      </c>
      <c r="N45" s="17">
        <v>240</v>
      </c>
      <c r="O45" s="19">
        <v>2556</v>
      </c>
      <c r="P45" s="17" t="s">
        <v>132</v>
      </c>
      <c r="Q45" s="17" t="s">
        <v>241</v>
      </c>
      <c r="R45" s="17" t="s">
        <v>242</v>
      </c>
      <c r="S45" s="17" t="s">
        <v>19</v>
      </c>
      <c r="T45" s="17" t="s">
        <v>22</v>
      </c>
      <c r="U45" s="17" t="s">
        <v>173</v>
      </c>
      <c r="V45" s="17"/>
      <c r="W45" s="20"/>
      <c r="X45" s="21"/>
      <c r="Y45" s="20"/>
      <c r="Z45" s="20"/>
      <c r="AA45" s="20"/>
      <c r="AB45" s="20"/>
      <c r="AC45" s="20"/>
      <c r="AD45" s="20"/>
      <c r="AE45" s="20"/>
    </row>
    <row r="46" spans="1:31">
      <c r="A46" s="17">
        <v>45</v>
      </c>
      <c r="B46" s="2" t="s">
        <v>267</v>
      </c>
      <c r="C46" s="8" t="s">
        <v>268</v>
      </c>
      <c r="D46" s="2" t="s">
        <v>8</v>
      </c>
      <c r="E46" s="2" t="s">
        <v>269</v>
      </c>
      <c r="F46" s="2" t="s">
        <v>270</v>
      </c>
      <c r="G46" s="2" t="s">
        <v>271</v>
      </c>
      <c r="H46" s="2">
        <v>24.526350000000001</v>
      </c>
      <c r="I46" s="2">
        <v>54.449550000000002</v>
      </c>
      <c r="J46" s="14">
        <v>45566</v>
      </c>
      <c r="K46" s="14">
        <f>+J46+365*2-1</f>
        <v>46295</v>
      </c>
      <c r="L46" s="2"/>
      <c r="M46" s="2" t="s">
        <v>65</v>
      </c>
      <c r="N46" s="2">
        <v>975</v>
      </c>
      <c r="O46" s="4"/>
      <c r="P46" s="2" t="s">
        <v>66</v>
      </c>
      <c r="Q46" s="2"/>
      <c r="R46" s="2"/>
      <c r="S46" s="2" t="s">
        <v>20</v>
      </c>
      <c r="T46" s="2" t="s">
        <v>21</v>
      </c>
      <c r="U46" s="2" t="s">
        <v>68</v>
      </c>
      <c r="V46" s="2"/>
      <c r="W46" s="5"/>
      <c r="X46" s="6"/>
      <c r="Y46" s="5"/>
      <c r="Z46" s="5"/>
      <c r="AA46" s="5"/>
      <c r="AB46" s="5"/>
      <c r="AC46" s="5"/>
      <c r="AD46" s="5"/>
      <c r="AE46" s="5"/>
    </row>
    <row r="47" spans="1:31">
      <c r="A47" s="17">
        <v>46</v>
      </c>
      <c r="B47" s="2" t="s">
        <v>272</v>
      </c>
      <c r="C47" s="8" t="s">
        <v>273</v>
      </c>
      <c r="D47" s="2" t="s">
        <v>8</v>
      </c>
      <c r="E47" s="2" t="s">
        <v>274</v>
      </c>
      <c r="F47" s="2" t="s">
        <v>274</v>
      </c>
      <c r="G47" s="2" t="s">
        <v>271</v>
      </c>
      <c r="H47" s="2">
        <v>24.568989999999999</v>
      </c>
      <c r="I47" s="2">
        <v>54.540979999999998</v>
      </c>
      <c r="J47" s="14">
        <v>45566</v>
      </c>
      <c r="K47" s="14">
        <f>+J47+365*2-1</f>
        <v>46295</v>
      </c>
      <c r="L47" s="2"/>
      <c r="M47" s="2" t="s">
        <v>65</v>
      </c>
      <c r="N47" s="2">
        <v>975</v>
      </c>
      <c r="O47" s="4"/>
      <c r="P47" s="2" t="s">
        <v>66</v>
      </c>
      <c r="Q47" s="2"/>
      <c r="R47" s="2"/>
      <c r="S47" s="2" t="s">
        <v>20</v>
      </c>
      <c r="T47" s="2" t="s">
        <v>21</v>
      </c>
      <c r="U47" s="2" t="s">
        <v>68</v>
      </c>
      <c r="V47" s="2"/>
      <c r="W47" s="5"/>
      <c r="X47" s="6"/>
      <c r="Y47" s="5"/>
      <c r="Z47" s="5"/>
      <c r="AA47" s="5"/>
      <c r="AB47" s="5"/>
      <c r="AC47" s="5"/>
      <c r="AD47" s="5"/>
      <c r="AE47" s="5"/>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4AB02-064B-4A8E-8942-09CFCE4B2A0C}">
  <dimension ref="A1:AI862"/>
  <sheetViews>
    <sheetView tabSelected="1" topLeftCell="A849" zoomScaleNormal="100" workbookViewId="0">
      <selection activeCell="E865" sqref="E865"/>
    </sheetView>
  </sheetViews>
  <sheetFormatPr defaultRowHeight="22.15" customHeight="1"/>
  <cols>
    <col min="1" max="1" width="16.7109375" bestFit="1" customWidth="1"/>
    <col min="2" max="2" width="39.28515625" customWidth="1"/>
    <col min="3" max="4" width="15.7109375" customWidth="1"/>
    <col min="5" max="5" width="14.28515625" bestFit="1" customWidth="1"/>
    <col min="6" max="6" width="16.7109375" bestFit="1" customWidth="1"/>
    <col min="7" max="7" width="12.28515625" customWidth="1"/>
    <col min="8" max="8" width="73.85546875" customWidth="1"/>
    <col min="9" max="9" width="41.5703125" bestFit="1" customWidth="1"/>
    <col min="10" max="10" width="8.7109375" bestFit="1" customWidth="1"/>
    <col min="11" max="11" width="10.42578125" bestFit="1" customWidth="1"/>
    <col min="12" max="12" width="12.42578125" bestFit="1" customWidth="1"/>
    <col min="13" max="13" width="41" bestFit="1" customWidth="1"/>
    <col min="14" max="14" width="15.140625" bestFit="1" customWidth="1"/>
    <col min="15" max="15" width="12.85546875" bestFit="1" customWidth="1"/>
    <col min="16" max="16" width="15" bestFit="1" customWidth="1"/>
    <col min="17" max="17" width="15.5703125" customWidth="1"/>
    <col min="18" max="18" width="20.7109375" customWidth="1"/>
    <col min="19" max="19" width="31.42578125" customWidth="1"/>
    <col min="20" max="20" width="33" customWidth="1"/>
    <col min="21" max="21" width="27.28515625" bestFit="1" customWidth="1"/>
    <col min="22" max="22" width="19.7109375" bestFit="1" customWidth="1"/>
    <col min="23" max="23" width="18" bestFit="1" customWidth="1"/>
    <col min="24" max="24" width="26" bestFit="1" customWidth="1"/>
    <col min="25" max="25" width="13.28515625" bestFit="1" customWidth="1"/>
    <col min="26" max="26" width="18.85546875" customWidth="1"/>
    <col min="27" max="27" width="20.42578125" customWidth="1"/>
    <col min="28" max="28" width="20.28515625" customWidth="1"/>
    <col min="29" max="29" width="22.7109375" customWidth="1"/>
    <col min="30" max="30" width="12.5703125" bestFit="1" customWidth="1"/>
    <col min="31" max="31" width="31.28515625" customWidth="1"/>
    <col min="32" max="32" width="22.140625" bestFit="1" customWidth="1"/>
    <col min="33" max="33" width="26.5703125" customWidth="1"/>
    <col min="34" max="34" width="23.140625" customWidth="1"/>
  </cols>
  <sheetData>
    <row r="1" spans="1:34" ht="22.15" customHeight="1">
      <c r="A1" t="s">
        <v>43</v>
      </c>
      <c r="B1" t="s">
        <v>0</v>
      </c>
      <c r="C1" t="s">
        <v>3</v>
      </c>
      <c r="D1" s="15" t="s">
        <v>303</v>
      </c>
      <c r="E1" t="s">
        <v>30</v>
      </c>
      <c r="F1" t="s">
        <v>31</v>
      </c>
      <c r="G1" t="s">
        <v>32</v>
      </c>
      <c r="H1" t="s">
        <v>33</v>
      </c>
      <c r="I1" t="s">
        <v>34</v>
      </c>
      <c r="J1" t="s">
        <v>35</v>
      </c>
      <c r="K1" t="s">
        <v>36</v>
      </c>
      <c r="L1" t="s">
        <v>37</v>
      </c>
      <c r="M1" t="s">
        <v>38</v>
      </c>
      <c r="N1" t="s">
        <v>39</v>
      </c>
      <c r="O1" t="s">
        <v>40</v>
      </c>
      <c r="P1" t="s">
        <v>41</v>
      </c>
      <c r="Q1" t="s">
        <v>42</v>
      </c>
      <c r="R1" t="s">
        <v>52</v>
      </c>
      <c r="S1" t="s">
        <v>53</v>
      </c>
      <c r="T1" t="s">
        <v>54</v>
      </c>
      <c r="U1" s="10" t="s">
        <v>44</v>
      </c>
      <c r="V1" s="10" t="s">
        <v>45</v>
      </c>
      <c r="W1" s="10" t="s">
        <v>46</v>
      </c>
      <c r="X1" s="10" t="s">
        <v>47</v>
      </c>
      <c r="Y1" s="10" t="s">
        <v>48</v>
      </c>
      <c r="Z1" s="10" t="s">
        <v>49</v>
      </c>
      <c r="AA1" s="11" t="s">
        <v>58</v>
      </c>
      <c r="AB1" s="11" t="s">
        <v>562</v>
      </c>
      <c r="AC1" s="11" t="s">
        <v>305</v>
      </c>
      <c r="AD1" t="s">
        <v>55</v>
      </c>
      <c r="AE1" t="s">
        <v>306</v>
      </c>
      <c r="AF1" t="s">
        <v>56</v>
      </c>
      <c r="AG1" t="s">
        <v>307</v>
      </c>
      <c r="AH1" t="s">
        <v>57</v>
      </c>
    </row>
    <row r="2" spans="1:34" s="7" customFormat="1" ht="15">
      <c r="A2" s="12">
        <v>45516</v>
      </c>
      <c r="B2" s="17" t="s">
        <v>101</v>
      </c>
      <c r="C2" s="2" t="s">
        <v>12</v>
      </c>
      <c r="D2" s="16" t="str" cm="1">
        <f t="array" ref="D2">_xlfn.XLOOKUP(1, (Table1[Project Name]=Table2[[#This Row],[Project ID]])*(Table1[Plot]=Table2[[#This Row],[Plot]]), Table1[Project ID])</f>
        <v>MJ-08</v>
      </c>
      <c r="E2" s="33">
        <v>25</v>
      </c>
      <c r="F2" s="34">
        <v>765</v>
      </c>
      <c r="G2" s="33">
        <f>Table2[[#This Row],[Time Elapsed]]+Table2[[#This Row],[Time Remaining]]</f>
        <v>790</v>
      </c>
      <c r="H2" s="2" t="s">
        <v>308</v>
      </c>
      <c r="I2" s="2" t="s">
        <v>309</v>
      </c>
      <c r="J2" s="13">
        <v>0</v>
      </c>
      <c r="K2" s="137">
        <v>0</v>
      </c>
      <c r="L2" s="13">
        <f>Table2[[#This Row],[Actual %]]-Table2[[#This Row],[Plan %]]</f>
        <v>0</v>
      </c>
      <c r="M2" s="144" t="s">
        <v>285</v>
      </c>
      <c r="N2" s="12">
        <v>45496</v>
      </c>
      <c r="O2" s="12">
        <v>45496</v>
      </c>
      <c r="P2" s="12"/>
      <c r="Q2" s="12">
        <v>45520</v>
      </c>
      <c r="R2" s="2" t="s">
        <v>345</v>
      </c>
      <c r="S2" s="2" t="s">
        <v>346</v>
      </c>
      <c r="T2" s="149" t="s">
        <v>347</v>
      </c>
      <c r="U2" s="35"/>
      <c r="V2" s="36"/>
      <c r="W2" s="36">
        <f>Table2[[#This Row],[Construction Contract Amount]]+Table2[[#This Row],[Cumulative Variations]]</f>
        <v>0</v>
      </c>
      <c r="X2" s="36"/>
      <c r="Y2" s="36"/>
      <c r="Z2" s="36">
        <f>Table2[[#This Row],[Final Contract Value]]+Table2[[#This Row],[Supervision Contract amount]]+Table2[[#This Row],[Authority Cost]]</f>
        <v>0</v>
      </c>
      <c r="AA2" s="36"/>
      <c r="AB2" s="36"/>
      <c r="AC2" s="91" t="str">
        <f t="shared" ref="AC2:AC65" si="0">CONCATENATE("https://drive.google.com/thumbnail?id=", MID(AD2, FIND("/d/", AD2) + 3, FIND("/view", AD2) - FIND("/d/", AD2) - 3), "&amp;sz=w1000")</f>
        <v>https://drive.google.com/thumbnail?id=1N4Zo1nyoTRwV-8yeADEdYoewjbxnID-Z&amp;sz=w1000</v>
      </c>
      <c r="AD2" s="71" t="s">
        <v>389</v>
      </c>
      <c r="AE2" s="74" t="str">
        <f t="shared" ref="AE2:AE65" si="1">CONCATENATE("https://drive.google.com/thumbnail?id=", MID(AF2, FIND("/d/", AF2) + 3, FIND("/view", AF2) - FIND("/d/", AF2) - 3), "&amp;sz=w1000")</f>
        <v>https://drive.google.com/thumbnail?id=1u7fyxEhz5ZBdqEUOis7aQ3eZaoNHO5t6&amp;sz=w1000</v>
      </c>
      <c r="AF2" s="71" t="s">
        <v>390</v>
      </c>
      <c r="AG2" s="73" t="str">
        <f t="shared" ref="AG2:AG65" si="2">CONCATENATE("https://drive.google.com/thumbnail?id=", MID(AH2, FIND("/d/", AH2) + 3, FIND("/view", AH2) - FIND("/d/", AH2) - 3), "&amp;sz=w1000")</f>
        <v>https://drive.google.com/thumbnail?id=1p2iUJtng5C_UXPw0fI_hg5oznXFeBhpI&amp;sz=w1000</v>
      </c>
      <c r="AH2" s="71" t="s">
        <v>391</v>
      </c>
    </row>
    <row r="3" spans="1:34" s="7" customFormat="1" ht="15">
      <c r="A3" s="12">
        <v>45516</v>
      </c>
      <c r="B3" s="17" t="s">
        <v>101</v>
      </c>
      <c r="C3" s="2" t="s">
        <v>12</v>
      </c>
      <c r="D3" s="16" t="str" cm="1">
        <f t="array" ref="D3">_xlfn.XLOOKUP(1, (Table1[Project Name]=Table2[[#This Row],[Project ID]])*(Table1[Plot]=Table2[[#This Row],[Plot]]), Table1[Project ID])</f>
        <v>MJ-08</v>
      </c>
      <c r="E3" s="33">
        <v>25</v>
      </c>
      <c r="F3" s="34">
        <v>765</v>
      </c>
      <c r="G3" s="33">
        <f>Table2[[#This Row],[Time Elapsed]]+Table2[[#This Row],[Time Remaining]]</f>
        <v>790</v>
      </c>
      <c r="H3" s="2" t="s">
        <v>308</v>
      </c>
      <c r="I3" s="2" t="s">
        <v>309</v>
      </c>
      <c r="J3" s="13">
        <v>0</v>
      </c>
      <c r="K3" s="137">
        <v>0</v>
      </c>
      <c r="L3" s="13">
        <f>Table2[[#This Row],[Actual %]]-Table2[[#This Row],[Plan %]]</f>
        <v>0</v>
      </c>
      <c r="M3" s="144" t="s">
        <v>50</v>
      </c>
      <c r="N3" s="12">
        <v>45519</v>
      </c>
      <c r="O3" s="12">
        <v>45519</v>
      </c>
      <c r="P3" s="12"/>
      <c r="Q3" s="12">
        <v>45520</v>
      </c>
      <c r="R3" s="2" t="s">
        <v>345</v>
      </c>
      <c r="S3" s="2" t="s">
        <v>346</v>
      </c>
      <c r="T3" s="149" t="s">
        <v>347</v>
      </c>
      <c r="U3" s="35"/>
      <c r="V3" s="36"/>
      <c r="W3" s="36">
        <f>Table2[[#This Row],[Construction Contract Amount]]+Table2[[#This Row],[Cumulative Variations]]</f>
        <v>0</v>
      </c>
      <c r="X3" s="36"/>
      <c r="Y3" s="36"/>
      <c r="Z3" s="36">
        <f>Table2[[#This Row],[Final Contract Value]]+Table2[[#This Row],[Supervision Contract amount]]+Table2[[#This Row],[Authority Cost]]</f>
        <v>0</v>
      </c>
      <c r="AA3" s="36"/>
      <c r="AB3" s="36"/>
      <c r="AC3" s="91" t="str">
        <f t="shared" si="0"/>
        <v>https://drive.google.com/thumbnail?id=1N4Zo1nyoTRwV-8yeADEdYoewjbxnID-Z&amp;sz=w1000</v>
      </c>
      <c r="AD3" s="71" t="s">
        <v>389</v>
      </c>
      <c r="AE3" s="74" t="str">
        <f t="shared" si="1"/>
        <v>https://drive.google.com/thumbnail?id=1u7fyxEhz5ZBdqEUOis7aQ3eZaoNHO5t6&amp;sz=w1000</v>
      </c>
      <c r="AF3" s="71" t="s">
        <v>390</v>
      </c>
      <c r="AG3" s="73" t="str">
        <f t="shared" si="2"/>
        <v>https://drive.google.com/thumbnail?id=1p2iUJtng5C_UXPw0fI_hg5oznXFeBhpI&amp;sz=w1000</v>
      </c>
      <c r="AH3" s="71" t="s">
        <v>391</v>
      </c>
    </row>
    <row r="4" spans="1:34" s="7" customFormat="1" ht="22.15" customHeight="1">
      <c r="A4" s="12">
        <v>45516</v>
      </c>
      <c r="B4" s="17" t="s">
        <v>101</v>
      </c>
      <c r="C4" s="2" t="s">
        <v>12</v>
      </c>
      <c r="D4" s="16" t="str" cm="1">
        <f t="array" ref="D4">_xlfn.XLOOKUP(1, (Table1[Project Name]=Table2[[#This Row],[Project ID]])*(Table1[Plot]=Table2[[#This Row],[Plot]]), Table1[Project ID])</f>
        <v>MJ-08</v>
      </c>
      <c r="E4" s="33">
        <v>25</v>
      </c>
      <c r="F4" s="34">
        <v>765</v>
      </c>
      <c r="G4" s="33">
        <f>Table2[[#This Row],[Time Elapsed]]+Table2[[#This Row],[Time Remaining]]</f>
        <v>790</v>
      </c>
      <c r="H4" s="2" t="s">
        <v>308</v>
      </c>
      <c r="I4" s="2" t="s">
        <v>309</v>
      </c>
      <c r="J4" s="13">
        <v>0</v>
      </c>
      <c r="K4" s="137">
        <v>0</v>
      </c>
      <c r="L4" s="13">
        <f>Table2[[#This Row],[Actual %]]-Table2[[#This Row],[Plan %]]</f>
        <v>0</v>
      </c>
      <c r="M4" s="144" t="s">
        <v>51</v>
      </c>
      <c r="N4" s="12">
        <v>45554</v>
      </c>
      <c r="O4" s="12"/>
      <c r="P4" s="12">
        <v>45554</v>
      </c>
      <c r="Q4" s="12">
        <v>45520</v>
      </c>
      <c r="R4" s="2" t="s">
        <v>345</v>
      </c>
      <c r="S4" s="2" t="s">
        <v>346</v>
      </c>
      <c r="T4" s="149" t="s">
        <v>347</v>
      </c>
      <c r="U4" s="35"/>
      <c r="V4" s="36"/>
      <c r="W4" s="36">
        <f>Table2[[#This Row],[Construction Contract Amount]]+Table2[[#This Row],[Cumulative Variations]]</f>
        <v>0</v>
      </c>
      <c r="X4" s="36"/>
      <c r="Y4" s="36"/>
      <c r="Z4" s="36">
        <f>Table2[[#This Row],[Final Contract Value]]+Table2[[#This Row],[Supervision Contract amount]]+Table2[[#This Row],[Authority Cost]]</f>
        <v>0</v>
      </c>
      <c r="AA4" s="36"/>
      <c r="AB4" s="36"/>
      <c r="AC4" s="91" t="str">
        <f t="shared" si="0"/>
        <v>https://drive.google.com/thumbnail?id=1N4Zo1nyoTRwV-8yeADEdYoewjbxnID-Z&amp;sz=w1000</v>
      </c>
      <c r="AD4" s="71" t="s">
        <v>389</v>
      </c>
      <c r="AE4" s="74" t="str">
        <f t="shared" si="1"/>
        <v>https://drive.google.com/thumbnail?id=1u7fyxEhz5ZBdqEUOis7aQ3eZaoNHO5t6&amp;sz=w1000</v>
      </c>
      <c r="AF4" s="71" t="s">
        <v>390</v>
      </c>
      <c r="AG4" s="73" t="str">
        <f t="shared" si="2"/>
        <v>https://drive.google.com/thumbnail?id=1p2iUJtng5C_UXPw0fI_hg5oznXFeBhpI&amp;sz=w1000</v>
      </c>
      <c r="AH4" s="71" t="s">
        <v>391</v>
      </c>
    </row>
    <row r="5" spans="1:34" s="7" customFormat="1" ht="22.15" customHeight="1">
      <c r="A5" s="12">
        <v>45516</v>
      </c>
      <c r="B5" s="17" t="s">
        <v>101</v>
      </c>
      <c r="C5" s="2" t="s">
        <v>12</v>
      </c>
      <c r="D5" s="16" t="str" cm="1">
        <f t="array" ref="D5">_xlfn.XLOOKUP(1, (Table1[Project Name]=Table2[[#This Row],[Project ID]])*(Table1[Plot]=Table2[[#This Row],[Plot]]), Table1[Project ID])</f>
        <v>MJ-08</v>
      </c>
      <c r="E5" s="33">
        <v>25</v>
      </c>
      <c r="F5" s="34">
        <v>765</v>
      </c>
      <c r="G5" s="33">
        <f>Table2[[#This Row],[Time Elapsed]]+Table2[[#This Row],[Time Remaining]]</f>
        <v>790</v>
      </c>
      <c r="H5" s="2" t="s">
        <v>308</v>
      </c>
      <c r="I5" s="2" t="s">
        <v>309</v>
      </c>
      <c r="J5" s="13">
        <v>0</v>
      </c>
      <c r="K5" s="137">
        <v>0</v>
      </c>
      <c r="L5" s="13">
        <f>Table2[[#This Row],[Actual %]]-Table2[[#This Row],[Plan %]]</f>
        <v>0</v>
      </c>
      <c r="M5" s="144" t="s">
        <v>278</v>
      </c>
      <c r="N5" s="12">
        <v>45979</v>
      </c>
      <c r="O5" s="12"/>
      <c r="P5" s="12">
        <v>45979</v>
      </c>
      <c r="Q5" s="12">
        <v>45520</v>
      </c>
      <c r="R5" s="2" t="s">
        <v>345</v>
      </c>
      <c r="S5" s="2" t="s">
        <v>346</v>
      </c>
      <c r="T5" s="149" t="s">
        <v>347</v>
      </c>
      <c r="U5" s="35"/>
      <c r="V5" s="36"/>
      <c r="W5" s="36">
        <f>Table2[[#This Row],[Construction Contract Amount]]+Table2[[#This Row],[Cumulative Variations]]</f>
        <v>0</v>
      </c>
      <c r="X5" s="36"/>
      <c r="Y5" s="36"/>
      <c r="Z5" s="36">
        <f>Table2[[#This Row],[Final Contract Value]]+Table2[[#This Row],[Supervision Contract amount]]+Table2[[#This Row],[Authority Cost]]</f>
        <v>0</v>
      </c>
      <c r="AA5" s="36"/>
      <c r="AB5" s="36"/>
      <c r="AC5" s="91" t="str">
        <f t="shared" si="0"/>
        <v>https://drive.google.com/thumbnail?id=1N4Zo1nyoTRwV-8yeADEdYoewjbxnID-Z&amp;sz=w1000</v>
      </c>
      <c r="AD5" s="71" t="s">
        <v>389</v>
      </c>
      <c r="AE5" s="74" t="str">
        <f t="shared" si="1"/>
        <v>https://drive.google.com/thumbnail?id=1u7fyxEhz5ZBdqEUOis7aQ3eZaoNHO5t6&amp;sz=w1000</v>
      </c>
      <c r="AF5" s="71" t="s">
        <v>390</v>
      </c>
      <c r="AG5" s="73" t="str">
        <f t="shared" si="2"/>
        <v>https://drive.google.com/thumbnail?id=1p2iUJtng5C_UXPw0fI_hg5oznXFeBhpI&amp;sz=w1000</v>
      </c>
      <c r="AH5" s="71" t="s">
        <v>391</v>
      </c>
    </row>
    <row r="6" spans="1:34" s="7" customFormat="1" ht="22.15" customHeight="1">
      <c r="A6" s="12">
        <v>45516</v>
      </c>
      <c r="B6" s="17" t="s">
        <v>101</v>
      </c>
      <c r="C6" s="2" t="s">
        <v>12</v>
      </c>
      <c r="D6" s="16" t="str" cm="1">
        <f t="array" ref="D6">_xlfn.XLOOKUP(1, (Table1[Project Name]=Table2[[#This Row],[Project ID]])*(Table1[Plot]=Table2[[#This Row],[Plot]]), Table1[Project ID])</f>
        <v>MJ-08</v>
      </c>
      <c r="E6" s="33">
        <v>25</v>
      </c>
      <c r="F6" s="34">
        <v>765</v>
      </c>
      <c r="G6" s="33">
        <f>Table2[[#This Row],[Time Elapsed]]+Table2[[#This Row],[Time Remaining]]</f>
        <v>790</v>
      </c>
      <c r="H6" s="2" t="s">
        <v>308</v>
      </c>
      <c r="I6" s="2" t="s">
        <v>309</v>
      </c>
      <c r="J6" s="13">
        <v>0</v>
      </c>
      <c r="K6" s="137">
        <v>0</v>
      </c>
      <c r="L6" s="13">
        <f>Table2[[#This Row],[Actual %]]-Table2[[#This Row],[Plan %]]</f>
        <v>0</v>
      </c>
      <c r="M6" s="144" t="s">
        <v>279</v>
      </c>
      <c r="N6" s="12">
        <v>46002</v>
      </c>
      <c r="O6" s="12"/>
      <c r="P6" s="12">
        <v>46002</v>
      </c>
      <c r="Q6" s="12">
        <v>45520</v>
      </c>
      <c r="R6" s="2" t="s">
        <v>345</v>
      </c>
      <c r="S6" s="2" t="s">
        <v>346</v>
      </c>
      <c r="T6" s="149" t="s">
        <v>347</v>
      </c>
      <c r="U6" s="35"/>
      <c r="V6" s="36"/>
      <c r="W6" s="36">
        <f>Table2[[#This Row],[Construction Contract Amount]]+Table2[[#This Row],[Cumulative Variations]]</f>
        <v>0</v>
      </c>
      <c r="X6" s="36"/>
      <c r="Y6" s="36"/>
      <c r="Z6" s="36">
        <f>Table2[[#This Row],[Final Contract Value]]+Table2[[#This Row],[Supervision Contract amount]]+Table2[[#This Row],[Authority Cost]]</f>
        <v>0</v>
      </c>
      <c r="AA6" s="36"/>
      <c r="AB6" s="36"/>
      <c r="AC6" s="91" t="str">
        <f t="shared" si="0"/>
        <v>https://drive.google.com/thumbnail?id=1N4Zo1nyoTRwV-8yeADEdYoewjbxnID-Z&amp;sz=w1000</v>
      </c>
      <c r="AD6" s="71" t="s">
        <v>389</v>
      </c>
      <c r="AE6" s="74" t="str">
        <f t="shared" si="1"/>
        <v>https://drive.google.com/thumbnail?id=1u7fyxEhz5ZBdqEUOis7aQ3eZaoNHO5t6&amp;sz=w1000</v>
      </c>
      <c r="AF6" s="71" t="s">
        <v>390</v>
      </c>
      <c r="AG6" s="73" t="str">
        <f t="shared" si="2"/>
        <v>https://drive.google.com/thumbnail?id=1p2iUJtng5C_UXPw0fI_hg5oznXFeBhpI&amp;sz=w1000</v>
      </c>
      <c r="AH6" s="71" t="s">
        <v>391</v>
      </c>
    </row>
    <row r="7" spans="1:34" s="7" customFormat="1" ht="22.15" customHeight="1">
      <c r="A7" s="12">
        <v>45516</v>
      </c>
      <c r="B7" s="17" t="s">
        <v>101</v>
      </c>
      <c r="C7" s="2" t="s">
        <v>12</v>
      </c>
      <c r="D7" s="16" t="str" cm="1">
        <f t="array" ref="D7">_xlfn.XLOOKUP(1, (Table1[Project Name]=Table2[[#This Row],[Project ID]])*(Table1[Plot]=Table2[[#This Row],[Plot]]), Table1[Project ID])</f>
        <v>MJ-08</v>
      </c>
      <c r="E7" s="33">
        <v>25</v>
      </c>
      <c r="F7" s="34">
        <v>765</v>
      </c>
      <c r="G7" s="33">
        <f>Table2[[#This Row],[Time Elapsed]]+Table2[[#This Row],[Time Remaining]]</f>
        <v>790</v>
      </c>
      <c r="H7" s="2" t="s">
        <v>308</v>
      </c>
      <c r="I7" s="2" t="s">
        <v>309</v>
      </c>
      <c r="J7" s="13">
        <v>0</v>
      </c>
      <c r="K7" s="137">
        <v>0</v>
      </c>
      <c r="L7" s="13">
        <f>Table2[[#This Row],[Actual %]]-Table2[[#This Row],[Plan %]]</f>
        <v>0</v>
      </c>
      <c r="M7" s="144" t="s">
        <v>289</v>
      </c>
      <c r="N7" s="12">
        <v>46198</v>
      </c>
      <c r="O7" s="12"/>
      <c r="P7" s="12">
        <v>46198</v>
      </c>
      <c r="Q7" s="12">
        <v>45520</v>
      </c>
      <c r="R7" s="2" t="s">
        <v>345</v>
      </c>
      <c r="S7" s="2" t="s">
        <v>346</v>
      </c>
      <c r="T7" s="149" t="s">
        <v>347</v>
      </c>
      <c r="U7" s="35"/>
      <c r="V7" s="36"/>
      <c r="W7" s="36">
        <f>Table2[[#This Row],[Construction Contract Amount]]+Table2[[#This Row],[Cumulative Variations]]</f>
        <v>0</v>
      </c>
      <c r="X7" s="36"/>
      <c r="Y7" s="36"/>
      <c r="Z7" s="36">
        <f>Table2[[#This Row],[Final Contract Value]]+Table2[[#This Row],[Supervision Contract amount]]+Table2[[#This Row],[Authority Cost]]</f>
        <v>0</v>
      </c>
      <c r="AA7" s="36"/>
      <c r="AB7" s="36"/>
      <c r="AC7" s="91" t="str">
        <f t="shared" si="0"/>
        <v>https://drive.google.com/thumbnail?id=1N4Zo1nyoTRwV-8yeADEdYoewjbxnID-Z&amp;sz=w1000</v>
      </c>
      <c r="AD7" s="71" t="s">
        <v>389</v>
      </c>
      <c r="AE7" s="74" t="str">
        <f t="shared" si="1"/>
        <v>https://drive.google.com/thumbnail?id=1u7fyxEhz5ZBdqEUOis7aQ3eZaoNHO5t6&amp;sz=w1000</v>
      </c>
      <c r="AF7" s="71" t="s">
        <v>390</v>
      </c>
      <c r="AG7" s="73" t="str">
        <f t="shared" si="2"/>
        <v>https://drive.google.com/thumbnail?id=1p2iUJtng5C_UXPw0fI_hg5oznXFeBhpI&amp;sz=w1000</v>
      </c>
      <c r="AH7" s="71" t="s">
        <v>391</v>
      </c>
    </row>
    <row r="8" spans="1:34" s="7" customFormat="1" ht="22.15" customHeight="1">
      <c r="A8" s="12">
        <v>45516</v>
      </c>
      <c r="B8" s="17" t="s">
        <v>101</v>
      </c>
      <c r="C8" s="2" t="s">
        <v>12</v>
      </c>
      <c r="D8" s="16" t="str" cm="1">
        <f t="array" ref="D8">_xlfn.XLOOKUP(1, (Table1[Project Name]=Table2[[#This Row],[Project ID]])*(Table1[Plot]=Table2[[#This Row],[Plot]]), Table1[Project ID])</f>
        <v>MJ-08</v>
      </c>
      <c r="E8" s="33">
        <v>25</v>
      </c>
      <c r="F8" s="34">
        <v>765</v>
      </c>
      <c r="G8" s="33">
        <f>Table2[[#This Row],[Time Elapsed]]+Table2[[#This Row],[Time Remaining]]</f>
        <v>790</v>
      </c>
      <c r="H8" s="2" t="s">
        <v>308</v>
      </c>
      <c r="I8" s="2" t="s">
        <v>309</v>
      </c>
      <c r="J8" s="13">
        <v>0</v>
      </c>
      <c r="K8" s="137">
        <v>0</v>
      </c>
      <c r="L8" s="13">
        <f>Table2[[#This Row],[Actual %]]-Table2[[#This Row],[Plan %]]</f>
        <v>0</v>
      </c>
      <c r="M8" s="144" t="s">
        <v>291</v>
      </c>
      <c r="N8" s="12">
        <v>46219</v>
      </c>
      <c r="O8" s="12"/>
      <c r="P8" s="12">
        <v>46219</v>
      </c>
      <c r="Q8" s="12">
        <v>45520</v>
      </c>
      <c r="R8" s="2" t="s">
        <v>345</v>
      </c>
      <c r="S8" s="2" t="s">
        <v>346</v>
      </c>
      <c r="T8" s="149" t="s">
        <v>347</v>
      </c>
      <c r="U8" s="35"/>
      <c r="V8" s="36"/>
      <c r="W8" s="36">
        <f>Table2[[#This Row],[Construction Contract Amount]]+Table2[[#This Row],[Cumulative Variations]]</f>
        <v>0</v>
      </c>
      <c r="X8" s="36"/>
      <c r="Y8" s="36"/>
      <c r="Z8" s="36">
        <f>Table2[[#This Row],[Final Contract Value]]+Table2[[#This Row],[Supervision Contract amount]]+Table2[[#This Row],[Authority Cost]]</f>
        <v>0</v>
      </c>
      <c r="AA8" s="36"/>
      <c r="AB8" s="36"/>
      <c r="AC8" s="91" t="str">
        <f t="shared" si="0"/>
        <v>https://drive.google.com/thumbnail?id=1N4Zo1nyoTRwV-8yeADEdYoewjbxnID-Z&amp;sz=w1000</v>
      </c>
      <c r="AD8" s="71" t="s">
        <v>389</v>
      </c>
      <c r="AE8" s="74" t="str">
        <f t="shared" si="1"/>
        <v>https://drive.google.com/thumbnail?id=1u7fyxEhz5ZBdqEUOis7aQ3eZaoNHO5t6&amp;sz=w1000</v>
      </c>
      <c r="AF8" s="71" t="s">
        <v>390</v>
      </c>
      <c r="AG8" s="73" t="str">
        <f t="shared" si="2"/>
        <v>https://drive.google.com/thumbnail?id=1p2iUJtng5C_UXPw0fI_hg5oznXFeBhpI&amp;sz=w1000</v>
      </c>
      <c r="AH8" s="71" t="s">
        <v>391</v>
      </c>
    </row>
    <row r="9" spans="1:34" s="7" customFormat="1" ht="22.15" customHeight="1">
      <c r="A9" s="12">
        <v>45516</v>
      </c>
      <c r="B9" s="17" t="s">
        <v>101</v>
      </c>
      <c r="C9" s="2" t="s">
        <v>12</v>
      </c>
      <c r="D9" s="16" t="str" cm="1">
        <f t="array" ref="D9">_xlfn.XLOOKUP(1, (Table1[Project Name]=Table2[[#This Row],[Project ID]])*(Table1[Plot]=Table2[[#This Row],[Plot]]), Table1[Project ID])</f>
        <v>MJ-08</v>
      </c>
      <c r="E9" s="33">
        <v>25</v>
      </c>
      <c r="F9" s="34">
        <v>765</v>
      </c>
      <c r="G9" s="33">
        <f>Table2[[#This Row],[Time Elapsed]]+Table2[[#This Row],[Time Remaining]]</f>
        <v>790</v>
      </c>
      <c r="H9" s="2" t="s">
        <v>308</v>
      </c>
      <c r="I9" s="2" t="s">
        <v>309</v>
      </c>
      <c r="J9" s="13">
        <v>0</v>
      </c>
      <c r="K9" s="137">
        <v>0</v>
      </c>
      <c r="L9" s="13">
        <f>Table2[[#This Row],[Actual %]]-Table2[[#This Row],[Plan %]]</f>
        <v>0</v>
      </c>
      <c r="M9" s="144" t="s">
        <v>284</v>
      </c>
      <c r="N9" s="12">
        <v>46288</v>
      </c>
      <c r="O9" s="12"/>
      <c r="P9" s="12">
        <v>46288</v>
      </c>
      <c r="Q9" s="12">
        <v>45520</v>
      </c>
      <c r="R9" s="2" t="s">
        <v>345</v>
      </c>
      <c r="S9" s="2" t="s">
        <v>346</v>
      </c>
      <c r="T9" s="149" t="s">
        <v>347</v>
      </c>
      <c r="U9" s="35"/>
      <c r="V9" s="36"/>
      <c r="W9" s="36">
        <f>Table2[[#This Row],[Construction Contract Amount]]+Table2[[#This Row],[Cumulative Variations]]</f>
        <v>0</v>
      </c>
      <c r="X9" s="36"/>
      <c r="Y9" s="36"/>
      <c r="Z9" s="36">
        <f>Table2[[#This Row],[Final Contract Value]]+Table2[[#This Row],[Supervision Contract amount]]+Table2[[#This Row],[Authority Cost]]</f>
        <v>0</v>
      </c>
      <c r="AA9" s="36"/>
      <c r="AB9" s="36"/>
      <c r="AC9" s="91" t="str">
        <f t="shared" si="0"/>
        <v>https://drive.google.com/thumbnail?id=1N4Zo1nyoTRwV-8yeADEdYoewjbxnID-Z&amp;sz=w1000</v>
      </c>
      <c r="AD9" s="71" t="s">
        <v>389</v>
      </c>
      <c r="AE9" s="74" t="str">
        <f t="shared" si="1"/>
        <v>https://drive.google.com/thumbnail?id=1u7fyxEhz5ZBdqEUOis7aQ3eZaoNHO5t6&amp;sz=w1000</v>
      </c>
      <c r="AF9" s="71" t="s">
        <v>390</v>
      </c>
      <c r="AG9" s="73" t="str">
        <f t="shared" si="2"/>
        <v>https://drive.google.com/thumbnail?id=1p2iUJtng5C_UXPw0fI_hg5oznXFeBhpI&amp;sz=w1000</v>
      </c>
      <c r="AH9" s="71" t="s">
        <v>391</v>
      </c>
    </row>
    <row r="10" spans="1:34" s="7" customFormat="1" ht="22.15" customHeight="1">
      <c r="A10" s="12">
        <v>45516</v>
      </c>
      <c r="B10" s="24" t="s">
        <v>106</v>
      </c>
      <c r="C10" s="2" t="s">
        <v>109</v>
      </c>
      <c r="D10" s="16" t="str" cm="1">
        <f t="array" ref="D10">_xlfn.XLOOKUP(1, (Table1[Project Name]=Table2[[#This Row],[Project ID]])*(Table1[Plot]=Table2[[#This Row],[Plot]]), Table1[Project ID])</f>
        <v>MJ-09</v>
      </c>
      <c r="E10" s="33">
        <v>25</v>
      </c>
      <c r="F10" s="34">
        <v>765</v>
      </c>
      <c r="G10" s="33">
        <f>Table2[[#This Row],[Time Elapsed]]+Table2[[#This Row],[Time Remaining]]</f>
        <v>790</v>
      </c>
      <c r="H10" s="2" t="s">
        <v>308</v>
      </c>
      <c r="I10" s="2" t="s">
        <v>309</v>
      </c>
      <c r="J10" s="13">
        <v>0</v>
      </c>
      <c r="K10" s="137">
        <v>0</v>
      </c>
      <c r="L10" s="13">
        <f>Table2[[#This Row],[Actual %]]-Table2[[#This Row],[Plan %]]</f>
        <v>0</v>
      </c>
      <c r="M10" s="144" t="s">
        <v>285</v>
      </c>
      <c r="N10" s="12">
        <v>45496</v>
      </c>
      <c r="O10" s="12">
        <v>45496</v>
      </c>
      <c r="P10" s="12"/>
      <c r="Q10" s="12">
        <v>45520</v>
      </c>
      <c r="R10" s="2" t="s">
        <v>345</v>
      </c>
      <c r="S10" s="2" t="s">
        <v>346</v>
      </c>
      <c r="T10" s="149" t="s">
        <v>347</v>
      </c>
      <c r="U10" s="35"/>
      <c r="V10" s="36"/>
      <c r="W10" s="36">
        <f>Table2[[#This Row],[Construction Contract Amount]]+Table2[[#This Row],[Cumulative Variations]]</f>
        <v>0</v>
      </c>
      <c r="X10" s="36"/>
      <c r="Y10" s="36"/>
      <c r="Z10" s="36">
        <f>Table2[[#This Row],[Final Contract Value]]+Table2[[#This Row],[Supervision Contract amount]]+Table2[[#This Row],[Authority Cost]]</f>
        <v>0</v>
      </c>
      <c r="AA10" s="36"/>
      <c r="AB10" s="36"/>
      <c r="AC10" s="91" t="str">
        <f t="shared" si="0"/>
        <v>https://drive.google.com/thumbnail?id=1N4Zo1nyoTRwV-8yeADEdYoewjbxnID-Z&amp;sz=w1000</v>
      </c>
      <c r="AD10" s="72" t="s">
        <v>389</v>
      </c>
      <c r="AE10" s="74" t="str">
        <f t="shared" si="1"/>
        <v>https://drive.google.com/thumbnail?id=1u7fyxEhz5ZBdqEUOis7aQ3eZaoNHO5t6&amp;sz=w1000</v>
      </c>
      <c r="AF10" s="72" t="s">
        <v>390</v>
      </c>
      <c r="AG10" s="73" t="str">
        <f t="shared" si="2"/>
        <v>https://drive.google.com/thumbnail?id=1p2iUJtng5C_UXPw0fI_hg5oznXFeBhpI&amp;sz=w1000</v>
      </c>
      <c r="AH10" s="72" t="s">
        <v>391</v>
      </c>
    </row>
    <row r="11" spans="1:34" s="7" customFormat="1" ht="22.15" customHeight="1">
      <c r="A11" s="12">
        <v>45516</v>
      </c>
      <c r="B11" s="24" t="s">
        <v>106</v>
      </c>
      <c r="C11" s="2" t="s">
        <v>109</v>
      </c>
      <c r="D11" s="16" t="str" cm="1">
        <f t="array" ref="D11">_xlfn.XLOOKUP(1, (Table1[Project Name]=Table2[[#This Row],[Project ID]])*(Table1[Plot]=Table2[[#This Row],[Plot]]), Table1[Project ID])</f>
        <v>MJ-09</v>
      </c>
      <c r="E11" s="33">
        <v>25</v>
      </c>
      <c r="F11" s="34">
        <v>765</v>
      </c>
      <c r="G11" s="33">
        <f>Table2[[#This Row],[Time Elapsed]]+Table2[[#This Row],[Time Remaining]]</f>
        <v>790</v>
      </c>
      <c r="H11" s="2" t="s">
        <v>308</v>
      </c>
      <c r="I11" s="2" t="s">
        <v>309</v>
      </c>
      <c r="J11" s="13">
        <v>0</v>
      </c>
      <c r="K11" s="137">
        <v>0</v>
      </c>
      <c r="L11" s="13">
        <f>Table2[[#This Row],[Actual %]]-Table2[[#This Row],[Plan %]]</f>
        <v>0</v>
      </c>
      <c r="M11" s="144" t="s">
        <v>50</v>
      </c>
      <c r="N11" s="12">
        <v>45519</v>
      </c>
      <c r="O11" s="12">
        <v>45519</v>
      </c>
      <c r="P11" s="12"/>
      <c r="Q11" s="12">
        <v>45520</v>
      </c>
      <c r="R11" s="2" t="s">
        <v>345</v>
      </c>
      <c r="S11" s="2" t="s">
        <v>346</v>
      </c>
      <c r="T11" s="149" t="s">
        <v>347</v>
      </c>
      <c r="U11" s="35"/>
      <c r="V11" s="36"/>
      <c r="W11" s="36">
        <f>Table2[[#This Row],[Construction Contract Amount]]+Table2[[#This Row],[Cumulative Variations]]</f>
        <v>0</v>
      </c>
      <c r="X11" s="36"/>
      <c r="Y11" s="36"/>
      <c r="Z11" s="36">
        <f>Table2[[#This Row],[Final Contract Value]]+Table2[[#This Row],[Supervision Contract amount]]+Table2[[#This Row],[Authority Cost]]</f>
        <v>0</v>
      </c>
      <c r="AA11" s="36"/>
      <c r="AB11" s="36"/>
      <c r="AC11" s="91" t="str">
        <f t="shared" si="0"/>
        <v>https://drive.google.com/thumbnail?id=1N4Zo1nyoTRwV-8yeADEdYoewjbxnID-Z&amp;sz=w1000</v>
      </c>
      <c r="AD11" s="72" t="s">
        <v>389</v>
      </c>
      <c r="AE11" s="74" t="str">
        <f t="shared" si="1"/>
        <v>https://drive.google.com/thumbnail?id=1u7fyxEhz5ZBdqEUOis7aQ3eZaoNHO5t6&amp;sz=w1000</v>
      </c>
      <c r="AF11" s="72" t="s">
        <v>390</v>
      </c>
      <c r="AG11" s="73" t="str">
        <f t="shared" si="2"/>
        <v>https://drive.google.com/thumbnail?id=1p2iUJtng5C_UXPw0fI_hg5oznXFeBhpI&amp;sz=w1000</v>
      </c>
      <c r="AH11" s="72" t="s">
        <v>391</v>
      </c>
    </row>
    <row r="12" spans="1:34" s="7" customFormat="1" ht="22.15" customHeight="1">
      <c r="A12" s="12">
        <v>45516</v>
      </c>
      <c r="B12" s="24" t="s">
        <v>106</v>
      </c>
      <c r="C12" s="2" t="s">
        <v>109</v>
      </c>
      <c r="D12" s="16" t="str" cm="1">
        <f t="array" ref="D12">_xlfn.XLOOKUP(1, (Table1[Project Name]=Table2[[#This Row],[Project ID]])*(Table1[Plot]=Table2[[#This Row],[Plot]]), Table1[Project ID])</f>
        <v>MJ-09</v>
      </c>
      <c r="E12" s="33">
        <v>25</v>
      </c>
      <c r="F12" s="34">
        <v>765</v>
      </c>
      <c r="G12" s="33">
        <f>Table2[[#This Row],[Time Elapsed]]+Table2[[#This Row],[Time Remaining]]</f>
        <v>790</v>
      </c>
      <c r="H12" s="2" t="s">
        <v>308</v>
      </c>
      <c r="I12" s="2" t="s">
        <v>309</v>
      </c>
      <c r="J12" s="13">
        <v>0</v>
      </c>
      <c r="K12" s="137">
        <v>0</v>
      </c>
      <c r="L12" s="13">
        <f>Table2[[#This Row],[Actual %]]-Table2[[#This Row],[Plan %]]</f>
        <v>0</v>
      </c>
      <c r="M12" s="144" t="s">
        <v>51</v>
      </c>
      <c r="N12" s="12">
        <v>45554</v>
      </c>
      <c r="O12" s="12"/>
      <c r="P12" s="12">
        <v>45554</v>
      </c>
      <c r="Q12" s="12">
        <v>45520</v>
      </c>
      <c r="R12" s="2" t="s">
        <v>345</v>
      </c>
      <c r="S12" s="2" t="s">
        <v>346</v>
      </c>
      <c r="T12" s="149" t="s">
        <v>347</v>
      </c>
      <c r="U12" s="35"/>
      <c r="V12" s="36"/>
      <c r="W12" s="36">
        <f>Table2[[#This Row],[Construction Contract Amount]]+Table2[[#This Row],[Cumulative Variations]]</f>
        <v>0</v>
      </c>
      <c r="X12" s="36"/>
      <c r="Y12" s="36"/>
      <c r="Z12" s="36">
        <f>Table2[[#This Row],[Final Contract Value]]+Table2[[#This Row],[Supervision Contract amount]]+Table2[[#This Row],[Authority Cost]]</f>
        <v>0</v>
      </c>
      <c r="AA12" s="36"/>
      <c r="AB12" s="36"/>
      <c r="AC12" s="91" t="str">
        <f t="shared" si="0"/>
        <v>https://drive.google.com/thumbnail?id=1N4Zo1nyoTRwV-8yeADEdYoewjbxnID-Z&amp;sz=w1000</v>
      </c>
      <c r="AD12" s="72" t="s">
        <v>389</v>
      </c>
      <c r="AE12" s="74" t="str">
        <f t="shared" si="1"/>
        <v>https://drive.google.com/thumbnail?id=1u7fyxEhz5ZBdqEUOis7aQ3eZaoNHO5t6&amp;sz=w1000</v>
      </c>
      <c r="AF12" s="72" t="s">
        <v>390</v>
      </c>
      <c r="AG12" s="73" t="str">
        <f t="shared" si="2"/>
        <v>https://drive.google.com/thumbnail?id=1p2iUJtng5C_UXPw0fI_hg5oznXFeBhpI&amp;sz=w1000</v>
      </c>
      <c r="AH12" s="72" t="s">
        <v>391</v>
      </c>
    </row>
    <row r="13" spans="1:34" s="7" customFormat="1" ht="22.15" customHeight="1">
      <c r="A13" s="12">
        <v>45516</v>
      </c>
      <c r="B13" s="24" t="s">
        <v>106</v>
      </c>
      <c r="C13" s="2" t="s">
        <v>109</v>
      </c>
      <c r="D13" s="16" t="str" cm="1">
        <f t="array" ref="D13">_xlfn.XLOOKUP(1, (Table1[Project Name]=Table2[[#This Row],[Project ID]])*(Table1[Plot]=Table2[[#This Row],[Plot]]), Table1[Project ID])</f>
        <v>MJ-09</v>
      </c>
      <c r="E13" s="33">
        <v>25</v>
      </c>
      <c r="F13" s="34">
        <v>765</v>
      </c>
      <c r="G13" s="33">
        <f>Table2[[#This Row],[Time Elapsed]]+Table2[[#This Row],[Time Remaining]]</f>
        <v>790</v>
      </c>
      <c r="H13" s="2" t="s">
        <v>308</v>
      </c>
      <c r="I13" s="2" t="s">
        <v>309</v>
      </c>
      <c r="J13" s="13">
        <v>0</v>
      </c>
      <c r="K13" s="137">
        <v>0</v>
      </c>
      <c r="L13" s="13">
        <f>Table2[[#This Row],[Actual %]]-Table2[[#This Row],[Plan %]]</f>
        <v>0</v>
      </c>
      <c r="M13" s="144" t="s">
        <v>278</v>
      </c>
      <c r="N13" s="12">
        <v>45979</v>
      </c>
      <c r="O13" s="12"/>
      <c r="P13" s="12">
        <v>45979</v>
      </c>
      <c r="Q13" s="12">
        <v>45520</v>
      </c>
      <c r="R13" s="2" t="s">
        <v>345</v>
      </c>
      <c r="S13" s="2" t="s">
        <v>346</v>
      </c>
      <c r="T13" s="149" t="s">
        <v>347</v>
      </c>
      <c r="U13" s="35"/>
      <c r="V13" s="36"/>
      <c r="W13" s="36">
        <f>Table2[[#This Row],[Construction Contract Amount]]+Table2[[#This Row],[Cumulative Variations]]</f>
        <v>0</v>
      </c>
      <c r="X13" s="36"/>
      <c r="Y13" s="36"/>
      <c r="Z13" s="36">
        <f>Table2[[#This Row],[Final Contract Value]]+Table2[[#This Row],[Supervision Contract amount]]+Table2[[#This Row],[Authority Cost]]</f>
        <v>0</v>
      </c>
      <c r="AA13" s="36"/>
      <c r="AB13" s="36"/>
      <c r="AC13" s="91" t="str">
        <f t="shared" si="0"/>
        <v>https://drive.google.com/thumbnail?id=1N4Zo1nyoTRwV-8yeADEdYoewjbxnID-Z&amp;sz=w1000</v>
      </c>
      <c r="AD13" s="72" t="s">
        <v>389</v>
      </c>
      <c r="AE13" s="74" t="str">
        <f t="shared" si="1"/>
        <v>https://drive.google.com/thumbnail?id=1u7fyxEhz5ZBdqEUOis7aQ3eZaoNHO5t6&amp;sz=w1000</v>
      </c>
      <c r="AF13" s="72" t="s">
        <v>390</v>
      </c>
      <c r="AG13" s="73" t="str">
        <f t="shared" si="2"/>
        <v>https://drive.google.com/thumbnail?id=1p2iUJtng5C_UXPw0fI_hg5oznXFeBhpI&amp;sz=w1000</v>
      </c>
      <c r="AH13" s="72" t="s">
        <v>391</v>
      </c>
    </row>
    <row r="14" spans="1:34" s="7" customFormat="1" ht="22.15" customHeight="1">
      <c r="A14" s="12">
        <v>45516</v>
      </c>
      <c r="B14" s="24" t="s">
        <v>106</v>
      </c>
      <c r="C14" s="2" t="s">
        <v>109</v>
      </c>
      <c r="D14" s="16" t="str" cm="1">
        <f t="array" ref="D14">_xlfn.XLOOKUP(1, (Table1[Project Name]=Table2[[#This Row],[Project ID]])*(Table1[Plot]=Table2[[#This Row],[Plot]]), Table1[Project ID])</f>
        <v>MJ-09</v>
      </c>
      <c r="E14" s="33">
        <v>25</v>
      </c>
      <c r="F14" s="34">
        <v>765</v>
      </c>
      <c r="G14" s="33">
        <f>Table2[[#This Row],[Time Elapsed]]+Table2[[#This Row],[Time Remaining]]</f>
        <v>790</v>
      </c>
      <c r="H14" s="2" t="s">
        <v>308</v>
      </c>
      <c r="I14" s="2" t="s">
        <v>309</v>
      </c>
      <c r="J14" s="13">
        <v>0</v>
      </c>
      <c r="K14" s="137">
        <v>0</v>
      </c>
      <c r="L14" s="13">
        <f>Table2[[#This Row],[Actual %]]-Table2[[#This Row],[Plan %]]</f>
        <v>0</v>
      </c>
      <c r="M14" s="144" t="s">
        <v>279</v>
      </c>
      <c r="N14" s="12">
        <v>46002</v>
      </c>
      <c r="O14" s="12"/>
      <c r="P14" s="12">
        <v>46002</v>
      </c>
      <c r="Q14" s="12">
        <v>45520</v>
      </c>
      <c r="R14" s="2" t="s">
        <v>345</v>
      </c>
      <c r="S14" s="2" t="s">
        <v>346</v>
      </c>
      <c r="T14" s="149" t="s">
        <v>347</v>
      </c>
      <c r="U14" s="35"/>
      <c r="V14" s="36"/>
      <c r="W14" s="36">
        <f>Table2[[#This Row],[Construction Contract Amount]]+Table2[[#This Row],[Cumulative Variations]]</f>
        <v>0</v>
      </c>
      <c r="X14" s="36"/>
      <c r="Y14" s="36"/>
      <c r="Z14" s="36">
        <f>Table2[[#This Row],[Final Contract Value]]+Table2[[#This Row],[Supervision Contract amount]]+Table2[[#This Row],[Authority Cost]]</f>
        <v>0</v>
      </c>
      <c r="AA14" s="36"/>
      <c r="AB14" s="36"/>
      <c r="AC14" s="91" t="str">
        <f t="shared" si="0"/>
        <v>https://drive.google.com/thumbnail?id=1N4Zo1nyoTRwV-8yeADEdYoewjbxnID-Z&amp;sz=w1000</v>
      </c>
      <c r="AD14" s="72" t="s">
        <v>389</v>
      </c>
      <c r="AE14" s="74" t="str">
        <f t="shared" si="1"/>
        <v>https://drive.google.com/thumbnail?id=1u7fyxEhz5ZBdqEUOis7aQ3eZaoNHO5t6&amp;sz=w1000</v>
      </c>
      <c r="AF14" s="72" t="s">
        <v>390</v>
      </c>
      <c r="AG14" s="73" t="str">
        <f t="shared" si="2"/>
        <v>https://drive.google.com/thumbnail?id=1p2iUJtng5C_UXPw0fI_hg5oznXFeBhpI&amp;sz=w1000</v>
      </c>
      <c r="AH14" s="72" t="s">
        <v>391</v>
      </c>
    </row>
    <row r="15" spans="1:34" s="7" customFormat="1" ht="22.15" customHeight="1">
      <c r="A15" s="12">
        <v>45516</v>
      </c>
      <c r="B15" s="24" t="s">
        <v>106</v>
      </c>
      <c r="C15" s="2" t="s">
        <v>109</v>
      </c>
      <c r="D15" s="16" t="str" cm="1">
        <f t="array" ref="D15">_xlfn.XLOOKUP(1, (Table1[Project Name]=Table2[[#This Row],[Project ID]])*(Table1[Plot]=Table2[[#This Row],[Plot]]), Table1[Project ID])</f>
        <v>MJ-09</v>
      </c>
      <c r="E15" s="33">
        <v>25</v>
      </c>
      <c r="F15" s="34">
        <v>765</v>
      </c>
      <c r="G15" s="33">
        <f>Table2[[#This Row],[Time Elapsed]]+Table2[[#This Row],[Time Remaining]]</f>
        <v>790</v>
      </c>
      <c r="H15" s="2" t="s">
        <v>308</v>
      </c>
      <c r="I15" s="2" t="s">
        <v>309</v>
      </c>
      <c r="J15" s="13">
        <v>0</v>
      </c>
      <c r="K15" s="137">
        <v>0</v>
      </c>
      <c r="L15" s="13">
        <f>Table2[[#This Row],[Actual %]]-Table2[[#This Row],[Plan %]]</f>
        <v>0</v>
      </c>
      <c r="M15" s="144" t="s">
        <v>289</v>
      </c>
      <c r="N15" s="12">
        <v>46198</v>
      </c>
      <c r="O15" s="12"/>
      <c r="P15" s="12">
        <v>46198</v>
      </c>
      <c r="Q15" s="12">
        <v>45520</v>
      </c>
      <c r="R15" s="2" t="s">
        <v>345</v>
      </c>
      <c r="S15" s="2" t="s">
        <v>346</v>
      </c>
      <c r="T15" s="149" t="s">
        <v>347</v>
      </c>
      <c r="U15" s="36"/>
      <c r="V15" s="36"/>
      <c r="W15" s="36">
        <f>Table2[[#This Row],[Construction Contract Amount]]+Table2[[#This Row],[Cumulative Variations]]</f>
        <v>0</v>
      </c>
      <c r="X15" s="36"/>
      <c r="Y15" s="36"/>
      <c r="Z15" s="36">
        <f>Table2[[#This Row],[Final Contract Value]]+Table2[[#This Row],[Supervision Contract amount]]+Table2[[#This Row],[Authority Cost]]</f>
        <v>0</v>
      </c>
      <c r="AA15" s="36"/>
      <c r="AB15" s="36"/>
      <c r="AC15" s="91" t="str">
        <f t="shared" si="0"/>
        <v>https://drive.google.com/thumbnail?id=1N4Zo1nyoTRwV-8yeADEdYoewjbxnID-Z&amp;sz=w1000</v>
      </c>
      <c r="AD15" s="72" t="s">
        <v>389</v>
      </c>
      <c r="AE15" s="74" t="str">
        <f t="shared" si="1"/>
        <v>https://drive.google.com/thumbnail?id=1u7fyxEhz5ZBdqEUOis7aQ3eZaoNHO5t6&amp;sz=w1000</v>
      </c>
      <c r="AF15" s="72" t="s">
        <v>390</v>
      </c>
      <c r="AG15" s="73" t="str">
        <f t="shared" si="2"/>
        <v>https://drive.google.com/thumbnail?id=1p2iUJtng5C_UXPw0fI_hg5oznXFeBhpI&amp;sz=w1000</v>
      </c>
      <c r="AH15" s="72" t="s">
        <v>391</v>
      </c>
    </row>
    <row r="16" spans="1:34" s="7" customFormat="1" ht="22.15" customHeight="1">
      <c r="A16" s="12">
        <v>45516</v>
      </c>
      <c r="B16" s="24" t="s">
        <v>106</v>
      </c>
      <c r="C16" s="2" t="s">
        <v>109</v>
      </c>
      <c r="D16" s="16" t="str" cm="1">
        <f t="array" ref="D16">_xlfn.XLOOKUP(1, (Table1[Project Name]=Table2[[#This Row],[Project ID]])*(Table1[Plot]=Table2[[#This Row],[Plot]]), Table1[Project ID])</f>
        <v>MJ-09</v>
      </c>
      <c r="E16" s="33">
        <v>25</v>
      </c>
      <c r="F16" s="34">
        <v>765</v>
      </c>
      <c r="G16" s="33">
        <f>Table2[[#This Row],[Time Elapsed]]+Table2[[#This Row],[Time Remaining]]</f>
        <v>790</v>
      </c>
      <c r="H16" s="2" t="s">
        <v>308</v>
      </c>
      <c r="I16" s="2" t="s">
        <v>309</v>
      </c>
      <c r="J16" s="13">
        <v>0</v>
      </c>
      <c r="K16" s="137">
        <v>0</v>
      </c>
      <c r="L16" s="13">
        <f>Table2[[#This Row],[Actual %]]-Table2[[#This Row],[Plan %]]</f>
        <v>0</v>
      </c>
      <c r="M16" s="144" t="s">
        <v>291</v>
      </c>
      <c r="N16" s="12">
        <v>46219</v>
      </c>
      <c r="O16" s="12"/>
      <c r="P16" s="12">
        <v>46219</v>
      </c>
      <c r="Q16" s="12">
        <v>45520</v>
      </c>
      <c r="R16" s="2" t="s">
        <v>345</v>
      </c>
      <c r="S16" s="2" t="s">
        <v>346</v>
      </c>
      <c r="T16" s="149" t="s">
        <v>347</v>
      </c>
      <c r="U16" s="36"/>
      <c r="V16" s="36"/>
      <c r="W16" s="36">
        <f>Table2[[#This Row],[Construction Contract Amount]]+Table2[[#This Row],[Cumulative Variations]]</f>
        <v>0</v>
      </c>
      <c r="X16" s="36"/>
      <c r="Y16" s="36"/>
      <c r="Z16" s="36">
        <f>Table2[[#This Row],[Final Contract Value]]+Table2[[#This Row],[Supervision Contract amount]]+Table2[[#This Row],[Authority Cost]]</f>
        <v>0</v>
      </c>
      <c r="AA16" s="36"/>
      <c r="AB16" s="36"/>
      <c r="AC16" s="91" t="str">
        <f t="shared" si="0"/>
        <v>https://drive.google.com/thumbnail?id=1N4Zo1nyoTRwV-8yeADEdYoewjbxnID-Z&amp;sz=w1000</v>
      </c>
      <c r="AD16" s="72" t="s">
        <v>389</v>
      </c>
      <c r="AE16" s="74" t="str">
        <f t="shared" si="1"/>
        <v>https://drive.google.com/thumbnail?id=1u7fyxEhz5ZBdqEUOis7aQ3eZaoNHO5t6&amp;sz=w1000</v>
      </c>
      <c r="AF16" s="72" t="s">
        <v>390</v>
      </c>
      <c r="AG16" s="73" t="str">
        <f t="shared" si="2"/>
        <v>https://drive.google.com/thumbnail?id=1p2iUJtng5C_UXPw0fI_hg5oznXFeBhpI&amp;sz=w1000</v>
      </c>
      <c r="AH16" s="72" t="s">
        <v>391</v>
      </c>
    </row>
    <row r="17" spans="1:34" s="7" customFormat="1" ht="22.15" customHeight="1">
      <c r="A17" s="12">
        <v>45516</v>
      </c>
      <c r="B17" s="24" t="s">
        <v>106</v>
      </c>
      <c r="C17" s="2" t="s">
        <v>109</v>
      </c>
      <c r="D17" s="16" t="str" cm="1">
        <f t="array" ref="D17">_xlfn.XLOOKUP(1, (Table1[Project Name]=Table2[[#This Row],[Project ID]])*(Table1[Plot]=Table2[[#This Row],[Plot]]), Table1[Project ID])</f>
        <v>MJ-09</v>
      </c>
      <c r="E17" s="33">
        <v>25</v>
      </c>
      <c r="F17" s="34">
        <v>765</v>
      </c>
      <c r="G17" s="33">
        <f>Table2[[#This Row],[Time Elapsed]]+Table2[[#This Row],[Time Remaining]]</f>
        <v>790</v>
      </c>
      <c r="H17" s="2" t="s">
        <v>308</v>
      </c>
      <c r="I17" s="2" t="s">
        <v>309</v>
      </c>
      <c r="J17" s="13">
        <v>0</v>
      </c>
      <c r="K17" s="137">
        <v>0</v>
      </c>
      <c r="L17" s="13">
        <f>Table2[[#This Row],[Actual %]]-Table2[[#This Row],[Plan %]]</f>
        <v>0</v>
      </c>
      <c r="M17" s="144" t="s">
        <v>284</v>
      </c>
      <c r="N17" s="12">
        <v>46288</v>
      </c>
      <c r="O17" s="12"/>
      <c r="P17" s="12">
        <v>46288</v>
      </c>
      <c r="Q17" s="12">
        <v>45520</v>
      </c>
      <c r="R17" s="2" t="s">
        <v>345</v>
      </c>
      <c r="S17" s="2" t="s">
        <v>346</v>
      </c>
      <c r="T17" s="149" t="s">
        <v>347</v>
      </c>
      <c r="U17" s="36"/>
      <c r="V17" s="36"/>
      <c r="W17" s="36">
        <f>Table2[[#This Row],[Construction Contract Amount]]+Table2[[#This Row],[Cumulative Variations]]</f>
        <v>0</v>
      </c>
      <c r="X17" s="36"/>
      <c r="Y17" s="36"/>
      <c r="Z17" s="36">
        <f>Table2[[#This Row],[Final Contract Value]]+Table2[[#This Row],[Supervision Contract amount]]+Table2[[#This Row],[Authority Cost]]</f>
        <v>0</v>
      </c>
      <c r="AA17" s="36"/>
      <c r="AB17" s="36"/>
      <c r="AC17" s="91" t="str">
        <f t="shared" si="0"/>
        <v>https://drive.google.com/thumbnail?id=1N4Zo1nyoTRwV-8yeADEdYoewjbxnID-Z&amp;sz=w1000</v>
      </c>
      <c r="AD17" s="72" t="s">
        <v>389</v>
      </c>
      <c r="AE17" s="74" t="str">
        <f t="shared" si="1"/>
        <v>https://drive.google.com/thumbnail?id=1u7fyxEhz5ZBdqEUOis7aQ3eZaoNHO5t6&amp;sz=w1000</v>
      </c>
      <c r="AF17" s="72" t="s">
        <v>390</v>
      </c>
      <c r="AG17" s="73" t="str">
        <f t="shared" si="2"/>
        <v>https://drive.google.com/thumbnail?id=1p2iUJtng5C_UXPw0fI_hg5oznXFeBhpI&amp;sz=w1000</v>
      </c>
      <c r="AH17" s="72" t="s">
        <v>391</v>
      </c>
    </row>
    <row r="18" spans="1:34" s="7" customFormat="1" ht="22.15" customHeight="1">
      <c r="A18" s="12">
        <v>45516</v>
      </c>
      <c r="B18" s="24" t="s">
        <v>96</v>
      </c>
      <c r="C18" s="2" t="s">
        <v>99</v>
      </c>
      <c r="D18" s="16" t="str" cm="1">
        <f t="array" ref="D18">_xlfn.XLOOKUP(1, (Table1[Project Name]=Table2[[#This Row],[Project ID]])*(Table1[Plot]=Table2[[#This Row],[Plot]]), Table1[Project ID])</f>
        <v>MJ-05</v>
      </c>
      <c r="E18" s="37">
        <v>75</v>
      </c>
      <c r="F18" s="38">
        <v>655</v>
      </c>
      <c r="G18" s="37">
        <f>Table2[[#This Row],[Time Elapsed]]+Table2[[#This Row],[Time Remaining]]</f>
        <v>730</v>
      </c>
      <c r="H18" s="2" t="s">
        <v>310</v>
      </c>
      <c r="I18" s="2" t="s">
        <v>311</v>
      </c>
      <c r="J18" s="13">
        <v>6.3299999999999995E-2</v>
      </c>
      <c r="K18" s="137">
        <v>3.6999999999999998E-2</v>
      </c>
      <c r="L18" s="13">
        <f>Table2[[#This Row],[Actual %]]-Table2[[#This Row],[Plan %]]</f>
        <v>-2.6299999999999997E-2</v>
      </c>
      <c r="M18" s="144" t="s">
        <v>285</v>
      </c>
      <c r="N18" s="12">
        <v>45446</v>
      </c>
      <c r="O18" s="12">
        <v>45446</v>
      </c>
      <c r="P18" s="12"/>
      <c r="Q18" s="12">
        <v>45520</v>
      </c>
      <c r="R18" s="2" t="s">
        <v>348</v>
      </c>
      <c r="S18" s="2" t="s">
        <v>349</v>
      </c>
      <c r="T18" s="149" t="s">
        <v>350</v>
      </c>
      <c r="U18" s="36"/>
      <c r="V18" s="36"/>
      <c r="W18" s="36">
        <f>Table2[[#This Row],[Construction Contract Amount]]+Table2[[#This Row],[Cumulative Variations]]</f>
        <v>0</v>
      </c>
      <c r="X18" s="36"/>
      <c r="Y18" s="36"/>
      <c r="Z18" s="36">
        <f>Table2[[#This Row],[Final Contract Value]]+Table2[[#This Row],[Supervision Contract amount]]+Table2[[#This Row],[Authority Cost]]</f>
        <v>0</v>
      </c>
      <c r="AA18" s="36"/>
      <c r="AB18" s="36"/>
      <c r="AC18" s="91" t="str">
        <f t="shared" si="0"/>
        <v>https://drive.google.com/thumbnail?id=1fD7AWmASsFIlXlxUeMDyf0RwmeJ-UJ8T&amp;sz=w1000</v>
      </c>
      <c r="AD18" s="73" t="s">
        <v>392</v>
      </c>
      <c r="AE18" s="74" t="str">
        <f t="shared" si="1"/>
        <v>https://drive.google.com/thumbnail?id=1Ri-YAEWJjvz1PE2D5W_tY9aB0o-kD3Cx&amp;sz=w1000</v>
      </c>
      <c r="AF18" s="73" t="s">
        <v>393</v>
      </c>
      <c r="AG18" s="73" t="str">
        <f t="shared" si="2"/>
        <v>https://drive.google.com/thumbnail?id=17kFHEbF-AEDFcJjjgAoxnDoBUieKKDg3&amp;sz=w1000</v>
      </c>
      <c r="AH18" s="73" t="s">
        <v>394</v>
      </c>
    </row>
    <row r="19" spans="1:34" ht="22.15" customHeight="1">
      <c r="A19" s="12">
        <v>45516</v>
      </c>
      <c r="B19" s="24" t="s">
        <v>96</v>
      </c>
      <c r="C19" s="2" t="s">
        <v>99</v>
      </c>
      <c r="D19" s="16" t="str" cm="1">
        <f t="array" ref="D19">_xlfn.XLOOKUP(1, (Table1[Project Name]=Table2[[#This Row],[Project ID]])*(Table1[Plot]=Table2[[#This Row],[Plot]]), Table1[Project ID])</f>
        <v>MJ-05</v>
      </c>
      <c r="E19" s="37">
        <v>75</v>
      </c>
      <c r="F19" s="38">
        <v>655</v>
      </c>
      <c r="G19" s="37">
        <f>Table2[[#This Row],[Time Elapsed]]+Table2[[#This Row],[Time Remaining]]</f>
        <v>730</v>
      </c>
      <c r="H19" s="2" t="s">
        <v>310</v>
      </c>
      <c r="I19" s="2" t="s">
        <v>311</v>
      </c>
      <c r="J19" s="13">
        <v>6.3299999999999995E-2</v>
      </c>
      <c r="K19" s="137">
        <v>3.6999999999999998E-2</v>
      </c>
      <c r="L19" s="13">
        <f>Table2[[#This Row],[Actual %]]-Table2[[#This Row],[Plan %]]</f>
        <v>-2.6299999999999997E-2</v>
      </c>
      <c r="M19" s="144" t="s">
        <v>50</v>
      </c>
      <c r="N19" s="12">
        <v>45455</v>
      </c>
      <c r="O19" s="12">
        <v>45434</v>
      </c>
      <c r="P19" s="12"/>
      <c r="Q19" s="12">
        <v>45520</v>
      </c>
      <c r="R19" s="2" t="s">
        <v>348</v>
      </c>
      <c r="S19" s="2" t="s">
        <v>349</v>
      </c>
      <c r="T19" s="149" t="s">
        <v>350</v>
      </c>
      <c r="U19" s="36"/>
      <c r="V19" s="36"/>
      <c r="W19" s="36">
        <f>Table2[[#This Row],[Construction Contract Amount]]+Table2[[#This Row],[Cumulative Variations]]</f>
        <v>0</v>
      </c>
      <c r="X19" s="36"/>
      <c r="Y19" s="36"/>
      <c r="Z19" s="36">
        <f>Table2[[#This Row],[Final Contract Value]]+Table2[[#This Row],[Supervision Contract amount]]+Table2[[#This Row],[Authority Cost]]</f>
        <v>0</v>
      </c>
      <c r="AA19" s="36"/>
      <c r="AB19" s="36"/>
      <c r="AC19" s="91" t="str">
        <f t="shared" si="0"/>
        <v>https://drive.google.com/thumbnail?id=1fD7AWmASsFIlXlxUeMDyf0RwmeJ-UJ8T&amp;sz=w1000</v>
      </c>
      <c r="AD19" s="73" t="s">
        <v>392</v>
      </c>
      <c r="AE19" s="74" t="str">
        <f t="shared" si="1"/>
        <v>https://drive.google.com/thumbnail?id=1Ri-YAEWJjvz1PE2D5W_tY9aB0o-kD3Cx&amp;sz=w1000</v>
      </c>
      <c r="AF19" s="73" t="s">
        <v>393</v>
      </c>
      <c r="AG19" s="73" t="str">
        <f t="shared" si="2"/>
        <v>https://drive.google.com/thumbnail?id=17kFHEbF-AEDFcJjjgAoxnDoBUieKKDg3&amp;sz=w1000</v>
      </c>
      <c r="AH19" s="73" t="s">
        <v>394</v>
      </c>
    </row>
    <row r="20" spans="1:34" ht="22.15" customHeight="1">
      <c r="A20" s="12">
        <v>45516</v>
      </c>
      <c r="B20" s="24" t="s">
        <v>96</v>
      </c>
      <c r="C20" s="2" t="s">
        <v>99</v>
      </c>
      <c r="D20" s="16" t="str" cm="1">
        <f t="array" ref="D20">_xlfn.XLOOKUP(1, (Table1[Project Name]=Table2[[#This Row],[Project ID]])*(Table1[Plot]=Table2[[#This Row],[Plot]]), Table1[Project ID])</f>
        <v>MJ-05</v>
      </c>
      <c r="E20" s="37">
        <v>75</v>
      </c>
      <c r="F20" s="38">
        <v>655</v>
      </c>
      <c r="G20" s="37">
        <f>Table2[[#This Row],[Time Elapsed]]+Table2[[#This Row],[Time Remaining]]</f>
        <v>730</v>
      </c>
      <c r="H20" s="2" t="s">
        <v>310</v>
      </c>
      <c r="I20" s="2" t="s">
        <v>311</v>
      </c>
      <c r="J20" s="13">
        <v>6.3299999999999995E-2</v>
      </c>
      <c r="K20" s="137">
        <v>3.6999999999999998E-2</v>
      </c>
      <c r="L20" s="13">
        <f>Table2[[#This Row],[Actual %]]-Table2[[#This Row],[Plan %]]</f>
        <v>-2.6299999999999997E-2</v>
      </c>
      <c r="M20" s="144" t="s">
        <v>51</v>
      </c>
      <c r="N20" s="12">
        <v>45506</v>
      </c>
      <c r="O20" s="12"/>
      <c r="P20" s="12">
        <v>45512</v>
      </c>
      <c r="Q20" s="12">
        <v>45520</v>
      </c>
      <c r="R20" s="2" t="s">
        <v>348</v>
      </c>
      <c r="S20" s="2" t="s">
        <v>349</v>
      </c>
      <c r="T20" s="149" t="s">
        <v>350</v>
      </c>
      <c r="U20" s="36"/>
      <c r="V20" s="36"/>
      <c r="W20" s="36">
        <f>Table2[[#This Row],[Construction Contract Amount]]+Table2[[#This Row],[Cumulative Variations]]</f>
        <v>0</v>
      </c>
      <c r="X20" s="36"/>
      <c r="Y20" s="36"/>
      <c r="Z20" s="36">
        <f>Table2[[#This Row],[Final Contract Value]]+Table2[[#This Row],[Supervision Contract amount]]+Table2[[#This Row],[Authority Cost]]</f>
        <v>0</v>
      </c>
      <c r="AA20" s="36"/>
      <c r="AB20" s="36"/>
      <c r="AC20" s="91" t="str">
        <f t="shared" si="0"/>
        <v>https://drive.google.com/thumbnail?id=1fD7AWmASsFIlXlxUeMDyf0RwmeJ-UJ8T&amp;sz=w1000</v>
      </c>
      <c r="AD20" s="73" t="s">
        <v>392</v>
      </c>
      <c r="AE20" s="74" t="str">
        <f t="shared" si="1"/>
        <v>https://drive.google.com/thumbnail?id=1Ri-YAEWJjvz1PE2D5W_tY9aB0o-kD3Cx&amp;sz=w1000</v>
      </c>
      <c r="AF20" s="73" t="s">
        <v>393</v>
      </c>
      <c r="AG20" s="73" t="str">
        <f t="shared" si="2"/>
        <v>https://drive.google.com/thumbnail?id=17kFHEbF-AEDFcJjjgAoxnDoBUieKKDg3&amp;sz=w1000</v>
      </c>
      <c r="AH20" s="73" t="s">
        <v>394</v>
      </c>
    </row>
    <row r="21" spans="1:34" ht="22.15" customHeight="1">
      <c r="A21" s="12">
        <v>45516</v>
      </c>
      <c r="B21" s="24" t="s">
        <v>96</v>
      </c>
      <c r="C21" s="2" t="s">
        <v>99</v>
      </c>
      <c r="D21" s="16" t="str" cm="1">
        <f t="array" ref="D21">_xlfn.XLOOKUP(1, (Table1[Project Name]=Table2[[#This Row],[Project ID]])*(Table1[Plot]=Table2[[#This Row],[Plot]]), Table1[Project ID])</f>
        <v>MJ-05</v>
      </c>
      <c r="E21" s="37">
        <v>75</v>
      </c>
      <c r="F21" s="38">
        <v>655</v>
      </c>
      <c r="G21" s="37">
        <f>Table2[[#This Row],[Time Elapsed]]+Table2[[#This Row],[Time Remaining]]</f>
        <v>730</v>
      </c>
      <c r="H21" s="2" t="s">
        <v>310</v>
      </c>
      <c r="I21" s="2" t="s">
        <v>311</v>
      </c>
      <c r="J21" s="13">
        <v>6.3299999999999995E-2</v>
      </c>
      <c r="K21" s="137">
        <v>3.6999999999999998E-2</v>
      </c>
      <c r="L21" s="13">
        <f>Table2[[#This Row],[Actual %]]-Table2[[#This Row],[Plan %]]</f>
        <v>-2.6299999999999997E-2</v>
      </c>
      <c r="M21" s="144" t="s">
        <v>275</v>
      </c>
      <c r="N21" s="12">
        <v>45560</v>
      </c>
      <c r="O21" s="12"/>
      <c r="P21" s="12">
        <v>45560</v>
      </c>
      <c r="Q21" s="12">
        <v>45520</v>
      </c>
      <c r="R21" s="2" t="s">
        <v>348</v>
      </c>
      <c r="S21" s="2" t="s">
        <v>349</v>
      </c>
      <c r="T21" s="149" t="s">
        <v>350</v>
      </c>
      <c r="U21" s="36"/>
      <c r="V21" s="36"/>
      <c r="W21" s="36">
        <f>Table2[[#This Row],[Construction Contract Amount]]+Table2[[#This Row],[Cumulative Variations]]</f>
        <v>0</v>
      </c>
      <c r="X21" s="36"/>
      <c r="Y21" s="36"/>
      <c r="Z21" s="36">
        <f>Table2[[#This Row],[Final Contract Value]]+Table2[[#This Row],[Supervision Contract amount]]+Table2[[#This Row],[Authority Cost]]</f>
        <v>0</v>
      </c>
      <c r="AA21" s="36"/>
      <c r="AB21" s="36"/>
      <c r="AC21" s="91" t="str">
        <f t="shared" si="0"/>
        <v>https://drive.google.com/thumbnail?id=1fD7AWmASsFIlXlxUeMDyf0RwmeJ-UJ8T&amp;sz=w1000</v>
      </c>
      <c r="AD21" s="73" t="s">
        <v>392</v>
      </c>
      <c r="AE21" s="74" t="str">
        <f t="shared" si="1"/>
        <v>https://drive.google.com/thumbnail?id=1Ri-YAEWJjvz1PE2D5W_tY9aB0o-kD3Cx&amp;sz=w1000</v>
      </c>
      <c r="AF21" s="73" t="s">
        <v>393</v>
      </c>
      <c r="AG21" s="73" t="str">
        <f t="shared" si="2"/>
        <v>https://drive.google.com/thumbnail?id=17kFHEbF-AEDFcJjjgAoxnDoBUieKKDg3&amp;sz=w1000</v>
      </c>
      <c r="AH21" s="73" t="s">
        <v>394</v>
      </c>
    </row>
    <row r="22" spans="1:34" ht="22.15" customHeight="1">
      <c r="A22" s="12">
        <v>45516</v>
      </c>
      <c r="B22" s="24" t="s">
        <v>96</v>
      </c>
      <c r="C22" s="2" t="s">
        <v>99</v>
      </c>
      <c r="D22" s="16" t="str" cm="1">
        <f t="array" ref="D22">_xlfn.XLOOKUP(1, (Table1[Project Name]=Table2[[#This Row],[Project ID]])*(Table1[Plot]=Table2[[#This Row],[Plot]]), Table1[Project ID])</f>
        <v>MJ-05</v>
      </c>
      <c r="E22" s="37">
        <v>75</v>
      </c>
      <c r="F22" s="38">
        <v>655</v>
      </c>
      <c r="G22" s="37">
        <f>Table2[[#This Row],[Time Elapsed]]+Table2[[#This Row],[Time Remaining]]</f>
        <v>730</v>
      </c>
      <c r="H22" s="2" t="s">
        <v>310</v>
      </c>
      <c r="I22" s="2" t="s">
        <v>311</v>
      </c>
      <c r="J22" s="13">
        <v>6.3299999999999995E-2</v>
      </c>
      <c r="K22" s="137">
        <v>3.6999999999999998E-2</v>
      </c>
      <c r="L22" s="13">
        <f>Table2[[#This Row],[Actual %]]-Table2[[#This Row],[Plan %]]</f>
        <v>-2.6299999999999997E-2</v>
      </c>
      <c r="M22" s="144" t="s">
        <v>276</v>
      </c>
      <c r="N22" s="12">
        <v>45585</v>
      </c>
      <c r="O22" s="12"/>
      <c r="P22" s="12">
        <v>45585</v>
      </c>
      <c r="Q22" s="12">
        <v>45520</v>
      </c>
      <c r="R22" s="2" t="s">
        <v>348</v>
      </c>
      <c r="S22" s="2" t="s">
        <v>349</v>
      </c>
      <c r="T22" s="149" t="s">
        <v>350</v>
      </c>
      <c r="U22" s="36"/>
      <c r="V22" s="36"/>
      <c r="W22" s="36">
        <f>Table2[[#This Row],[Construction Contract Amount]]+Table2[[#This Row],[Cumulative Variations]]</f>
        <v>0</v>
      </c>
      <c r="X22" s="36"/>
      <c r="Y22" s="36"/>
      <c r="Z22" s="36">
        <f>Table2[[#This Row],[Final Contract Value]]+Table2[[#This Row],[Supervision Contract amount]]+Table2[[#This Row],[Authority Cost]]</f>
        <v>0</v>
      </c>
      <c r="AA22" s="36"/>
      <c r="AB22" s="36"/>
      <c r="AC22" s="91" t="str">
        <f t="shared" si="0"/>
        <v>https://drive.google.com/thumbnail?id=1fD7AWmASsFIlXlxUeMDyf0RwmeJ-UJ8T&amp;sz=w1000</v>
      </c>
      <c r="AD22" s="73" t="s">
        <v>392</v>
      </c>
      <c r="AE22" s="74" t="str">
        <f t="shared" si="1"/>
        <v>https://drive.google.com/thumbnail?id=1Ri-YAEWJjvz1PE2D5W_tY9aB0o-kD3Cx&amp;sz=w1000</v>
      </c>
      <c r="AF22" s="73" t="s">
        <v>393</v>
      </c>
      <c r="AG22" s="73" t="str">
        <f t="shared" si="2"/>
        <v>https://drive.google.com/thumbnail?id=17kFHEbF-AEDFcJjjgAoxnDoBUieKKDg3&amp;sz=w1000</v>
      </c>
      <c r="AH22" s="73" t="s">
        <v>394</v>
      </c>
    </row>
    <row r="23" spans="1:34" ht="22.15" customHeight="1">
      <c r="A23" s="12">
        <v>45516</v>
      </c>
      <c r="B23" s="24" t="s">
        <v>96</v>
      </c>
      <c r="C23" s="2" t="s">
        <v>99</v>
      </c>
      <c r="D23" s="16" t="str" cm="1">
        <f t="array" ref="D23">_xlfn.XLOOKUP(1, (Table1[Project Name]=Table2[[#This Row],[Project ID]])*(Table1[Plot]=Table2[[#This Row],[Plot]]), Table1[Project ID])</f>
        <v>MJ-05</v>
      </c>
      <c r="E23" s="37">
        <v>75</v>
      </c>
      <c r="F23" s="38">
        <v>655</v>
      </c>
      <c r="G23" s="37">
        <f>Table2[[#This Row],[Time Elapsed]]+Table2[[#This Row],[Time Remaining]]</f>
        <v>730</v>
      </c>
      <c r="H23" s="2" t="s">
        <v>310</v>
      </c>
      <c r="I23" s="2" t="s">
        <v>311</v>
      </c>
      <c r="J23" s="13">
        <v>6.3299999999999995E-2</v>
      </c>
      <c r="K23" s="137">
        <v>3.6999999999999998E-2</v>
      </c>
      <c r="L23" s="13">
        <f>Table2[[#This Row],[Actual %]]-Table2[[#This Row],[Plan %]]</f>
        <v>-2.6299999999999997E-2</v>
      </c>
      <c r="M23" s="144" t="s">
        <v>277</v>
      </c>
      <c r="N23" s="12">
        <v>45634</v>
      </c>
      <c r="O23" s="12"/>
      <c r="P23" s="12">
        <v>45634</v>
      </c>
      <c r="Q23" s="12">
        <v>45520</v>
      </c>
      <c r="R23" s="2" t="s">
        <v>348</v>
      </c>
      <c r="S23" s="2" t="s">
        <v>349</v>
      </c>
      <c r="T23" s="149" t="s">
        <v>350</v>
      </c>
      <c r="U23" s="36"/>
      <c r="V23" s="36"/>
      <c r="W23" s="36">
        <f>Table2[[#This Row],[Construction Contract Amount]]+Table2[[#This Row],[Cumulative Variations]]</f>
        <v>0</v>
      </c>
      <c r="X23" s="36"/>
      <c r="Y23" s="36"/>
      <c r="Z23" s="36">
        <f>Table2[[#This Row],[Final Contract Value]]+Table2[[#This Row],[Supervision Contract amount]]+Table2[[#This Row],[Authority Cost]]</f>
        <v>0</v>
      </c>
      <c r="AA23" s="36"/>
      <c r="AB23" s="36"/>
      <c r="AC23" s="91" t="str">
        <f t="shared" si="0"/>
        <v>https://drive.google.com/thumbnail?id=1fD7AWmASsFIlXlxUeMDyf0RwmeJ-UJ8T&amp;sz=w1000</v>
      </c>
      <c r="AD23" s="73" t="s">
        <v>392</v>
      </c>
      <c r="AE23" s="74" t="str">
        <f t="shared" si="1"/>
        <v>https://drive.google.com/thumbnail?id=1Ri-YAEWJjvz1PE2D5W_tY9aB0o-kD3Cx&amp;sz=w1000</v>
      </c>
      <c r="AF23" s="73" t="s">
        <v>393</v>
      </c>
      <c r="AG23" s="73" t="str">
        <f t="shared" si="2"/>
        <v>https://drive.google.com/thumbnail?id=17kFHEbF-AEDFcJjjgAoxnDoBUieKKDg3&amp;sz=w1000</v>
      </c>
      <c r="AH23" s="73" t="s">
        <v>394</v>
      </c>
    </row>
    <row r="24" spans="1:34" ht="22.15" customHeight="1">
      <c r="A24" s="12">
        <v>45516</v>
      </c>
      <c r="B24" s="24" t="s">
        <v>96</v>
      </c>
      <c r="C24" s="2" t="s">
        <v>99</v>
      </c>
      <c r="D24" s="16" t="str" cm="1">
        <f t="array" ref="D24">_xlfn.XLOOKUP(1, (Table1[Project Name]=Table2[[#This Row],[Project ID]])*(Table1[Plot]=Table2[[#This Row],[Plot]]), Table1[Project ID])</f>
        <v>MJ-05</v>
      </c>
      <c r="E24" s="37">
        <v>75</v>
      </c>
      <c r="F24" s="38">
        <v>655</v>
      </c>
      <c r="G24" s="37">
        <f>Table2[[#This Row],[Time Elapsed]]+Table2[[#This Row],[Time Remaining]]</f>
        <v>730</v>
      </c>
      <c r="H24" s="2" t="s">
        <v>310</v>
      </c>
      <c r="I24" s="2" t="s">
        <v>311</v>
      </c>
      <c r="J24" s="13">
        <v>6.3299999999999995E-2</v>
      </c>
      <c r="K24" s="137">
        <v>3.6999999999999998E-2</v>
      </c>
      <c r="L24" s="13">
        <f>Table2[[#This Row],[Actual %]]-Table2[[#This Row],[Plan %]]</f>
        <v>-2.6299999999999997E-2</v>
      </c>
      <c r="M24" s="144" t="s">
        <v>278</v>
      </c>
      <c r="N24" s="12">
        <v>45741</v>
      </c>
      <c r="O24" s="12"/>
      <c r="P24" s="12">
        <v>45741</v>
      </c>
      <c r="Q24" s="12">
        <v>45520</v>
      </c>
      <c r="R24" s="2" t="s">
        <v>348</v>
      </c>
      <c r="S24" s="2" t="s">
        <v>349</v>
      </c>
      <c r="T24" s="149" t="s">
        <v>350</v>
      </c>
      <c r="U24" s="36"/>
      <c r="V24" s="36"/>
      <c r="W24" s="36">
        <f>Table2[[#This Row],[Construction Contract Amount]]+Table2[[#This Row],[Cumulative Variations]]</f>
        <v>0</v>
      </c>
      <c r="X24" s="36"/>
      <c r="Y24" s="36"/>
      <c r="Z24" s="36">
        <f>Table2[[#This Row],[Final Contract Value]]+Table2[[#This Row],[Supervision Contract amount]]+Table2[[#This Row],[Authority Cost]]</f>
        <v>0</v>
      </c>
      <c r="AA24" s="36"/>
      <c r="AB24" s="36"/>
      <c r="AC24" s="91" t="str">
        <f t="shared" si="0"/>
        <v>https://drive.google.com/thumbnail?id=1fD7AWmASsFIlXlxUeMDyf0RwmeJ-UJ8T&amp;sz=w1000</v>
      </c>
      <c r="AD24" s="73" t="s">
        <v>392</v>
      </c>
      <c r="AE24" s="74" t="str">
        <f t="shared" si="1"/>
        <v>https://drive.google.com/thumbnail?id=1Ri-YAEWJjvz1PE2D5W_tY9aB0o-kD3Cx&amp;sz=w1000</v>
      </c>
      <c r="AF24" s="73" t="s">
        <v>393</v>
      </c>
      <c r="AG24" s="73" t="str">
        <f t="shared" si="2"/>
        <v>https://drive.google.com/thumbnail?id=17kFHEbF-AEDFcJjjgAoxnDoBUieKKDg3&amp;sz=w1000</v>
      </c>
      <c r="AH24" s="73" t="s">
        <v>394</v>
      </c>
    </row>
    <row r="25" spans="1:34" ht="22.15" customHeight="1">
      <c r="A25" s="12">
        <v>45516</v>
      </c>
      <c r="B25" s="24" t="s">
        <v>96</v>
      </c>
      <c r="C25" s="2" t="s">
        <v>99</v>
      </c>
      <c r="D25" s="16" t="str" cm="1">
        <f t="array" ref="D25">_xlfn.XLOOKUP(1, (Table1[Project Name]=Table2[[#This Row],[Project ID]])*(Table1[Plot]=Table2[[#This Row],[Plot]]), Table1[Project ID])</f>
        <v>MJ-05</v>
      </c>
      <c r="E25" s="37">
        <v>75</v>
      </c>
      <c r="F25" s="38">
        <v>655</v>
      </c>
      <c r="G25" s="37">
        <f>Table2[[#This Row],[Time Elapsed]]+Table2[[#This Row],[Time Remaining]]</f>
        <v>730</v>
      </c>
      <c r="H25" s="2" t="s">
        <v>310</v>
      </c>
      <c r="I25" s="2" t="s">
        <v>311</v>
      </c>
      <c r="J25" s="13">
        <v>6.3299999999999995E-2</v>
      </c>
      <c r="K25" s="137">
        <v>3.6999999999999998E-2</v>
      </c>
      <c r="L25" s="13">
        <f>Table2[[#This Row],[Actual %]]-Table2[[#This Row],[Plan %]]</f>
        <v>-2.6299999999999997E-2</v>
      </c>
      <c r="M25" s="144" t="s">
        <v>279</v>
      </c>
      <c r="N25" s="12">
        <v>45856</v>
      </c>
      <c r="O25" s="12"/>
      <c r="P25" s="12">
        <v>45856</v>
      </c>
      <c r="Q25" s="12">
        <v>45520</v>
      </c>
      <c r="R25" s="2" t="s">
        <v>348</v>
      </c>
      <c r="S25" s="2" t="s">
        <v>349</v>
      </c>
      <c r="T25" s="149" t="s">
        <v>350</v>
      </c>
      <c r="U25" s="36"/>
      <c r="V25" s="36"/>
      <c r="W25" s="36">
        <f>Table2[[#This Row],[Construction Contract Amount]]+Table2[[#This Row],[Cumulative Variations]]</f>
        <v>0</v>
      </c>
      <c r="X25" s="36"/>
      <c r="Y25" s="36"/>
      <c r="Z25" s="36">
        <f>Table2[[#This Row],[Final Contract Value]]+Table2[[#This Row],[Supervision Contract amount]]+Table2[[#This Row],[Authority Cost]]</f>
        <v>0</v>
      </c>
      <c r="AA25" s="36"/>
      <c r="AB25" s="36"/>
      <c r="AC25" s="91" t="str">
        <f t="shared" si="0"/>
        <v>https://drive.google.com/thumbnail?id=1fD7AWmASsFIlXlxUeMDyf0RwmeJ-UJ8T&amp;sz=w1000</v>
      </c>
      <c r="AD25" s="73" t="s">
        <v>392</v>
      </c>
      <c r="AE25" s="74" t="str">
        <f t="shared" si="1"/>
        <v>https://drive.google.com/thumbnail?id=1Ri-YAEWJjvz1PE2D5W_tY9aB0o-kD3Cx&amp;sz=w1000</v>
      </c>
      <c r="AF25" s="73" t="s">
        <v>393</v>
      </c>
      <c r="AG25" s="73" t="str">
        <f t="shared" si="2"/>
        <v>https://drive.google.com/thumbnail?id=17kFHEbF-AEDFcJjjgAoxnDoBUieKKDg3&amp;sz=w1000</v>
      </c>
      <c r="AH25" s="73" t="s">
        <v>394</v>
      </c>
    </row>
    <row r="26" spans="1:34" ht="22.15" customHeight="1">
      <c r="A26" s="12">
        <v>45516</v>
      </c>
      <c r="B26" s="24" t="s">
        <v>96</v>
      </c>
      <c r="C26" s="2" t="s">
        <v>99</v>
      </c>
      <c r="D26" s="16" t="str" cm="1">
        <f t="array" ref="D26">_xlfn.XLOOKUP(1, (Table1[Project Name]=Table2[[#This Row],[Project ID]])*(Table1[Plot]=Table2[[#This Row],[Plot]]), Table1[Project ID])</f>
        <v>MJ-05</v>
      </c>
      <c r="E26" s="37">
        <v>75</v>
      </c>
      <c r="F26" s="38">
        <v>655</v>
      </c>
      <c r="G26" s="37">
        <f>Table2[[#This Row],[Time Elapsed]]+Table2[[#This Row],[Time Remaining]]</f>
        <v>730</v>
      </c>
      <c r="H26" s="2" t="s">
        <v>310</v>
      </c>
      <c r="I26" s="2" t="s">
        <v>311</v>
      </c>
      <c r="J26" s="13">
        <v>6.3299999999999995E-2</v>
      </c>
      <c r="K26" s="137">
        <v>3.6999999999999998E-2</v>
      </c>
      <c r="L26" s="13">
        <f>Table2[[#This Row],[Actual %]]-Table2[[#This Row],[Plan %]]</f>
        <v>-2.6299999999999997E-2</v>
      </c>
      <c r="M26" s="144" t="s">
        <v>280</v>
      </c>
      <c r="N26" s="12">
        <v>46175</v>
      </c>
      <c r="O26" s="12"/>
      <c r="P26" s="12">
        <v>46175</v>
      </c>
      <c r="Q26" s="12">
        <v>45520</v>
      </c>
      <c r="R26" s="2" t="s">
        <v>348</v>
      </c>
      <c r="S26" s="2" t="s">
        <v>349</v>
      </c>
      <c r="T26" s="149" t="s">
        <v>350</v>
      </c>
      <c r="U26" s="36"/>
      <c r="V26" s="36"/>
      <c r="W26" s="36">
        <f>Table2[[#This Row],[Construction Contract Amount]]+Table2[[#This Row],[Cumulative Variations]]</f>
        <v>0</v>
      </c>
      <c r="X26" s="36"/>
      <c r="Y26" s="36"/>
      <c r="Z26" s="36">
        <f>Table2[[#This Row],[Final Contract Value]]+Table2[[#This Row],[Supervision Contract amount]]+Table2[[#This Row],[Authority Cost]]</f>
        <v>0</v>
      </c>
      <c r="AA26" s="36"/>
      <c r="AB26" s="36"/>
      <c r="AC26" s="91" t="str">
        <f t="shared" si="0"/>
        <v>https://drive.google.com/thumbnail?id=1fD7AWmASsFIlXlxUeMDyf0RwmeJ-UJ8T&amp;sz=w1000</v>
      </c>
      <c r="AD26" s="73" t="s">
        <v>392</v>
      </c>
      <c r="AE26" s="74" t="str">
        <f t="shared" si="1"/>
        <v>https://drive.google.com/thumbnail?id=1Ri-YAEWJjvz1PE2D5W_tY9aB0o-kD3Cx&amp;sz=w1000</v>
      </c>
      <c r="AF26" s="73" t="s">
        <v>393</v>
      </c>
      <c r="AG26" s="73" t="str">
        <f t="shared" si="2"/>
        <v>https://drive.google.com/thumbnail?id=17kFHEbF-AEDFcJjjgAoxnDoBUieKKDg3&amp;sz=w1000</v>
      </c>
      <c r="AH26" s="73" t="s">
        <v>394</v>
      </c>
    </row>
    <row r="27" spans="1:34" ht="22.15" customHeight="1">
      <c r="A27" s="12">
        <v>45516</v>
      </c>
      <c r="B27" s="24" t="s">
        <v>96</v>
      </c>
      <c r="C27" s="2" t="s">
        <v>99</v>
      </c>
      <c r="D27" s="16" t="str" cm="1">
        <f t="array" ref="D27">_xlfn.XLOOKUP(1, (Table1[Project Name]=Table2[[#This Row],[Project ID]])*(Table1[Plot]=Table2[[#This Row],[Plot]]), Table1[Project ID])</f>
        <v>MJ-05</v>
      </c>
      <c r="E27" s="37">
        <v>75</v>
      </c>
      <c r="F27" s="38">
        <v>655</v>
      </c>
      <c r="G27" s="37">
        <f>Table2[[#This Row],[Time Elapsed]]+Table2[[#This Row],[Time Remaining]]</f>
        <v>730</v>
      </c>
      <c r="H27" s="2" t="s">
        <v>310</v>
      </c>
      <c r="I27" s="2" t="s">
        <v>311</v>
      </c>
      <c r="J27" s="13">
        <v>6.3299999999999995E-2</v>
      </c>
      <c r="K27" s="137">
        <v>3.6999999999999998E-2</v>
      </c>
      <c r="L27" s="13">
        <f>Table2[[#This Row],[Actual %]]-Table2[[#This Row],[Plan %]]</f>
        <v>-2.6299999999999997E-2</v>
      </c>
      <c r="M27" s="144" t="s">
        <v>281</v>
      </c>
      <c r="N27" s="12">
        <v>46153</v>
      </c>
      <c r="O27" s="12"/>
      <c r="P27" s="12">
        <v>46153</v>
      </c>
      <c r="Q27" s="12">
        <v>45520</v>
      </c>
      <c r="R27" s="2" t="s">
        <v>348</v>
      </c>
      <c r="S27" s="2" t="s">
        <v>349</v>
      </c>
      <c r="T27" s="149" t="s">
        <v>350</v>
      </c>
      <c r="U27" s="36"/>
      <c r="V27" s="36"/>
      <c r="W27" s="36">
        <f>Table2[[#This Row],[Construction Contract Amount]]+Table2[[#This Row],[Cumulative Variations]]</f>
        <v>0</v>
      </c>
      <c r="X27" s="36"/>
      <c r="Y27" s="36"/>
      <c r="Z27" s="36">
        <f>Table2[[#This Row],[Final Contract Value]]+Table2[[#This Row],[Supervision Contract amount]]+Table2[[#This Row],[Authority Cost]]</f>
        <v>0</v>
      </c>
      <c r="AA27" s="36"/>
      <c r="AB27" s="36"/>
      <c r="AC27" s="91" t="str">
        <f t="shared" si="0"/>
        <v>https://drive.google.com/thumbnail?id=1fD7AWmASsFIlXlxUeMDyf0RwmeJ-UJ8T&amp;sz=w1000</v>
      </c>
      <c r="AD27" s="73" t="s">
        <v>392</v>
      </c>
      <c r="AE27" s="74" t="str">
        <f t="shared" si="1"/>
        <v>https://drive.google.com/thumbnail?id=1Ri-YAEWJjvz1PE2D5W_tY9aB0o-kD3Cx&amp;sz=w1000</v>
      </c>
      <c r="AF27" s="73" t="s">
        <v>393</v>
      </c>
      <c r="AG27" s="73" t="str">
        <f t="shared" si="2"/>
        <v>https://drive.google.com/thumbnail?id=17kFHEbF-AEDFcJjjgAoxnDoBUieKKDg3&amp;sz=w1000</v>
      </c>
      <c r="AH27" s="73" t="s">
        <v>394</v>
      </c>
    </row>
    <row r="28" spans="1:34" ht="22.15" customHeight="1">
      <c r="A28" s="12">
        <v>45516</v>
      </c>
      <c r="B28" s="24" t="s">
        <v>96</v>
      </c>
      <c r="C28" s="2" t="s">
        <v>99</v>
      </c>
      <c r="D28" s="16" t="str" cm="1">
        <f t="array" ref="D28">_xlfn.XLOOKUP(1, (Table1[Project Name]=Table2[[#This Row],[Project ID]])*(Table1[Plot]=Table2[[#This Row],[Plot]]), Table1[Project ID])</f>
        <v>MJ-05</v>
      </c>
      <c r="E28" s="37">
        <v>75</v>
      </c>
      <c r="F28" s="38">
        <v>655</v>
      </c>
      <c r="G28" s="37">
        <f>Table2[[#This Row],[Time Elapsed]]+Table2[[#This Row],[Time Remaining]]</f>
        <v>730</v>
      </c>
      <c r="H28" s="2" t="s">
        <v>310</v>
      </c>
      <c r="I28" s="2" t="s">
        <v>311</v>
      </c>
      <c r="J28" s="13">
        <v>6.3299999999999995E-2</v>
      </c>
      <c r="K28" s="137">
        <v>3.6999999999999998E-2</v>
      </c>
      <c r="L28" s="13">
        <f>Table2[[#This Row],[Actual %]]-Table2[[#This Row],[Plan %]]</f>
        <v>-2.6299999999999997E-2</v>
      </c>
      <c r="M28" s="144" t="s">
        <v>282</v>
      </c>
      <c r="N28" s="12">
        <v>46157</v>
      </c>
      <c r="O28" s="12"/>
      <c r="P28" s="12">
        <v>46157</v>
      </c>
      <c r="Q28" s="12">
        <v>45520</v>
      </c>
      <c r="R28" s="2" t="s">
        <v>348</v>
      </c>
      <c r="S28" s="2" t="s">
        <v>349</v>
      </c>
      <c r="T28" s="149" t="s">
        <v>350</v>
      </c>
      <c r="U28" s="36"/>
      <c r="V28" s="36"/>
      <c r="W28" s="36">
        <f>Table2[[#This Row],[Construction Contract Amount]]+Table2[[#This Row],[Cumulative Variations]]</f>
        <v>0</v>
      </c>
      <c r="X28" s="36"/>
      <c r="Y28" s="36"/>
      <c r="Z28" s="36">
        <f>Table2[[#This Row],[Final Contract Value]]+Table2[[#This Row],[Supervision Contract amount]]+Table2[[#This Row],[Authority Cost]]</f>
        <v>0</v>
      </c>
      <c r="AA28" s="92"/>
      <c r="AB28" s="92"/>
      <c r="AC28" s="91" t="str">
        <f t="shared" si="0"/>
        <v>https://drive.google.com/thumbnail?id=1fD7AWmASsFIlXlxUeMDyf0RwmeJ-UJ8T&amp;sz=w1000</v>
      </c>
      <c r="AD28" s="73" t="s">
        <v>392</v>
      </c>
      <c r="AE28" s="74" t="str">
        <f t="shared" si="1"/>
        <v>https://drive.google.com/thumbnail?id=1Ri-YAEWJjvz1PE2D5W_tY9aB0o-kD3Cx&amp;sz=w1000</v>
      </c>
      <c r="AF28" s="73" t="s">
        <v>393</v>
      </c>
      <c r="AG28" s="73" t="str">
        <f t="shared" si="2"/>
        <v>https://drive.google.com/thumbnail?id=17kFHEbF-AEDFcJjjgAoxnDoBUieKKDg3&amp;sz=w1000</v>
      </c>
      <c r="AH28" s="73" t="s">
        <v>394</v>
      </c>
    </row>
    <row r="29" spans="1:34" ht="22.15" customHeight="1">
      <c r="A29" s="12">
        <v>45516</v>
      </c>
      <c r="B29" s="24" t="s">
        <v>96</v>
      </c>
      <c r="C29" s="2" t="s">
        <v>99</v>
      </c>
      <c r="D29" s="16" t="str" cm="1">
        <f t="array" ref="D29">_xlfn.XLOOKUP(1, (Table1[Project Name]=Table2[[#This Row],[Project ID]])*(Table1[Plot]=Table2[[#This Row],[Plot]]), Table1[Project ID])</f>
        <v>MJ-05</v>
      </c>
      <c r="E29" s="37">
        <v>75</v>
      </c>
      <c r="F29" s="38">
        <v>655</v>
      </c>
      <c r="G29" s="37">
        <f>Table2[[#This Row],[Time Elapsed]]+Table2[[#This Row],[Time Remaining]]</f>
        <v>730</v>
      </c>
      <c r="H29" s="2" t="s">
        <v>310</v>
      </c>
      <c r="I29" s="2" t="s">
        <v>311</v>
      </c>
      <c r="J29" s="13">
        <v>6.3299999999999995E-2</v>
      </c>
      <c r="K29" s="137">
        <v>3.6999999999999998E-2</v>
      </c>
      <c r="L29" s="13">
        <f>Table2[[#This Row],[Actual %]]-Table2[[#This Row],[Plan %]]</f>
        <v>-2.6299999999999997E-2</v>
      </c>
      <c r="M29" s="144" t="s">
        <v>283</v>
      </c>
      <c r="N29" s="12">
        <v>46174</v>
      </c>
      <c r="O29" s="12"/>
      <c r="P29" s="12">
        <v>46174</v>
      </c>
      <c r="Q29" s="12">
        <v>45520</v>
      </c>
      <c r="R29" s="2" t="s">
        <v>348</v>
      </c>
      <c r="S29" s="2" t="s">
        <v>349</v>
      </c>
      <c r="T29" s="149" t="s">
        <v>350</v>
      </c>
      <c r="U29" s="36"/>
      <c r="V29" s="36"/>
      <c r="W29" s="36">
        <f>Table2[[#This Row],[Construction Contract Amount]]+Table2[[#This Row],[Cumulative Variations]]</f>
        <v>0</v>
      </c>
      <c r="X29" s="36"/>
      <c r="Y29" s="36"/>
      <c r="Z29" s="36">
        <f>Table2[[#This Row],[Final Contract Value]]+Table2[[#This Row],[Supervision Contract amount]]+Table2[[#This Row],[Authority Cost]]</f>
        <v>0</v>
      </c>
      <c r="AA29" s="92"/>
      <c r="AB29" s="92"/>
      <c r="AC29" s="91" t="str">
        <f t="shared" si="0"/>
        <v>https://drive.google.com/thumbnail?id=1fD7AWmASsFIlXlxUeMDyf0RwmeJ-UJ8T&amp;sz=w1000</v>
      </c>
      <c r="AD29" s="73" t="s">
        <v>392</v>
      </c>
      <c r="AE29" s="74" t="str">
        <f t="shared" si="1"/>
        <v>https://drive.google.com/thumbnail?id=1Ri-YAEWJjvz1PE2D5W_tY9aB0o-kD3Cx&amp;sz=w1000</v>
      </c>
      <c r="AF29" s="73" t="s">
        <v>393</v>
      </c>
      <c r="AG29" s="73" t="str">
        <f t="shared" si="2"/>
        <v>https://drive.google.com/thumbnail?id=17kFHEbF-AEDFcJjjgAoxnDoBUieKKDg3&amp;sz=w1000</v>
      </c>
      <c r="AH29" s="73" t="s">
        <v>394</v>
      </c>
    </row>
    <row r="30" spans="1:34" ht="22.15" customHeight="1">
      <c r="A30" s="12">
        <v>45516</v>
      </c>
      <c r="B30" s="24" t="s">
        <v>96</v>
      </c>
      <c r="C30" s="2" t="s">
        <v>99</v>
      </c>
      <c r="D30" s="16" t="str" cm="1">
        <f t="array" ref="D30">_xlfn.XLOOKUP(1, (Table1[Project Name]=Table2[[#This Row],[Project ID]])*(Table1[Plot]=Table2[[#This Row],[Plot]]), Table1[Project ID])</f>
        <v>MJ-05</v>
      </c>
      <c r="E30" s="37">
        <v>75</v>
      </c>
      <c r="F30" s="38">
        <v>655</v>
      </c>
      <c r="G30" s="37">
        <f>Table2[[#This Row],[Time Elapsed]]+Table2[[#This Row],[Time Remaining]]</f>
        <v>730</v>
      </c>
      <c r="H30" s="2" t="s">
        <v>310</v>
      </c>
      <c r="I30" s="2" t="s">
        <v>311</v>
      </c>
      <c r="J30" s="13">
        <v>6.3299999999999995E-2</v>
      </c>
      <c r="K30" s="137">
        <v>3.6999999999999998E-2</v>
      </c>
      <c r="L30" s="13">
        <f>Table2[[#This Row],[Actual %]]-Table2[[#This Row],[Plan %]]</f>
        <v>-2.6299999999999997E-2</v>
      </c>
      <c r="M30" s="144" t="s">
        <v>284</v>
      </c>
      <c r="N30" s="12">
        <v>46175</v>
      </c>
      <c r="O30" s="12"/>
      <c r="P30" s="12">
        <v>46175</v>
      </c>
      <c r="Q30" s="12">
        <v>45520</v>
      </c>
      <c r="R30" s="2" t="s">
        <v>348</v>
      </c>
      <c r="S30" s="2" t="s">
        <v>349</v>
      </c>
      <c r="T30" s="149" t="s">
        <v>350</v>
      </c>
      <c r="U30" s="36"/>
      <c r="V30" s="36"/>
      <c r="W30" s="36">
        <f>Table2[[#This Row],[Construction Contract Amount]]+Table2[[#This Row],[Cumulative Variations]]</f>
        <v>0</v>
      </c>
      <c r="X30" s="36"/>
      <c r="Y30" s="36"/>
      <c r="Z30" s="36">
        <f>Table2[[#This Row],[Final Contract Value]]+Table2[[#This Row],[Supervision Contract amount]]+Table2[[#This Row],[Authority Cost]]</f>
        <v>0</v>
      </c>
      <c r="AA30" s="92"/>
      <c r="AB30" s="92"/>
      <c r="AC30" s="91" t="str">
        <f t="shared" si="0"/>
        <v>https://drive.google.com/thumbnail?id=1fD7AWmASsFIlXlxUeMDyf0RwmeJ-UJ8T&amp;sz=w1000</v>
      </c>
      <c r="AD30" s="73" t="s">
        <v>392</v>
      </c>
      <c r="AE30" s="74" t="str">
        <f t="shared" si="1"/>
        <v>https://drive.google.com/thumbnail?id=1Ri-YAEWJjvz1PE2D5W_tY9aB0o-kD3Cx&amp;sz=w1000</v>
      </c>
      <c r="AF30" s="73" t="s">
        <v>393</v>
      </c>
      <c r="AG30" s="73" t="str">
        <f t="shared" si="2"/>
        <v>https://drive.google.com/thumbnail?id=17kFHEbF-AEDFcJjjgAoxnDoBUieKKDg3&amp;sz=w1000</v>
      </c>
      <c r="AH30" s="73" t="s">
        <v>394</v>
      </c>
    </row>
    <row r="31" spans="1:34" ht="22.15" customHeight="1">
      <c r="A31" s="12">
        <v>45516</v>
      </c>
      <c r="B31" s="24" t="s">
        <v>75</v>
      </c>
      <c r="C31" s="2" t="s">
        <v>78</v>
      </c>
      <c r="D31" s="16" t="str" cm="1">
        <f t="array" ref="D31">_xlfn.XLOOKUP(1, (Table1[Project Name]=Table2[[#This Row],[Project ID]])*(Table1[Plot]=Table2[[#This Row],[Plot]]), Table1[Project ID])</f>
        <v>MJ-04</v>
      </c>
      <c r="E31" s="39">
        <v>75</v>
      </c>
      <c r="F31" s="40">
        <v>655</v>
      </c>
      <c r="G31" s="39">
        <f>Table2[[#This Row],[Time Elapsed]]+Table2[[#This Row],[Time Remaining]]</f>
        <v>730</v>
      </c>
      <c r="H31" s="2" t="s">
        <v>312</v>
      </c>
      <c r="I31" s="2" t="s">
        <v>313</v>
      </c>
      <c r="J31" s="13">
        <v>6.3299999999999995E-2</v>
      </c>
      <c r="K31" s="148">
        <v>3.2899999999999999E-2</v>
      </c>
      <c r="L31" s="13">
        <f>Table2[[#This Row],[Actual %]]-Table2[[#This Row],[Plan %]]</f>
        <v>-3.0399999999999996E-2</v>
      </c>
      <c r="M31" s="144" t="s">
        <v>285</v>
      </c>
      <c r="N31" s="12">
        <v>45446</v>
      </c>
      <c r="O31" s="12">
        <v>45446</v>
      </c>
      <c r="P31" s="12"/>
      <c r="Q31" s="12">
        <v>45520</v>
      </c>
      <c r="R31" s="2" t="s">
        <v>351</v>
      </c>
      <c r="S31" s="2" t="s">
        <v>352</v>
      </c>
      <c r="T31" s="149" t="s">
        <v>353</v>
      </c>
      <c r="U31" s="36"/>
      <c r="V31" s="36"/>
      <c r="W31" s="36">
        <f>Table2[[#This Row],[Construction Contract Amount]]+Table2[[#This Row],[Cumulative Variations]]</f>
        <v>0</v>
      </c>
      <c r="X31" s="36"/>
      <c r="Y31" s="36"/>
      <c r="Z31" s="36">
        <f>Table2[[#This Row],[Final Contract Value]]+Table2[[#This Row],[Supervision Contract amount]]+Table2[[#This Row],[Authority Cost]]</f>
        <v>0</v>
      </c>
      <c r="AA31" s="92"/>
      <c r="AB31" s="92"/>
      <c r="AC31" s="91" t="str">
        <f t="shared" si="0"/>
        <v>https://drive.google.com/thumbnail?id=1fD7AWmASsFIlXlxUeMDyf0RwmeJ-UJ8T&amp;sz=w1000</v>
      </c>
      <c r="AD31" s="75" t="s">
        <v>392</v>
      </c>
      <c r="AE31" s="74" t="str">
        <f t="shared" si="1"/>
        <v>https://drive.google.com/thumbnail?id=1Ri-YAEWJjvz1PE2D5W_tY9aB0o-kD3Cx&amp;sz=w1000</v>
      </c>
      <c r="AF31" s="75" t="s">
        <v>393</v>
      </c>
      <c r="AG31" s="73" t="str">
        <f t="shared" si="2"/>
        <v>https://drive.google.com/thumbnail?id=17kFHEbF-AEDFcJjjgAoxnDoBUieKKDg3&amp;sz=w1000</v>
      </c>
      <c r="AH31" s="75" t="s">
        <v>394</v>
      </c>
    </row>
    <row r="32" spans="1:34" ht="22.15" customHeight="1">
      <c r="A32" s="12">
        <v>45516</v>
      </c>
      <c r="B32" s="24" t="s">
        <v>75</v>
      </c>
      <c r="C32" s="2" t="s">
        <v>78</v>
      </c>
      <c r="D32" s="16" t="str" cm="1">
        <f t="array" ref="D32">_xlfn.XLOOKUP(1, (Table1[Project Name]=Table2[[#This Row],[Project ID]])*(Table1[Plot]=Table2[[#This Row],[Plot]]), Table1[Project ID])</f>
        <v>MJ-04</v>
      </c>
      <c r="E32" s="39">
        <v>75</v>
      </c>
      <c r="F32" s="40">
        <v>655</v>
      </c>
      <c r="G32" s="39">
        <f>Table2[[#This Row],[Time Elapsed]]+Table2[[#This Row],[Time Remaining]]</f>
        <v>730</v>
      </c>
      <c r="H32" s="2" t="s">
        <v>312</v>
      </c>
      <c r="I32" s="2" t="s">
        <v>313</v>
      </c>
      <c r="J32" s="13">
        <v>6.3299999999999995E-2</v>
      </c>
      <c r="K32" s="148">
        <v>3.2899999999999999E-2</v>
      </c>
      <c r="L32" s="13">
        <f>Table2[[#This Row],[Actual %]]-Table2[[#This Row],[Plan %]]</f>
        <v>-3.0399999999999996E-2</v>
      </c>
      <c r="M32" s="144" t="s">
        <v>50</v>
      </c>
      <c r="N32" s="12">
        <v>45455</v>
      </c>
      <c r="O32" s="12">
        <v>45439</v>
      </c>
      <c r="P32" s="12"/>
      <c r="Q32" s="12">
        <v>45520</v>
      </c>
      <c r="R32" s="2" t="s">
        <v>351</v>
      </c>
      <c r="S32" s="2" t="s">
        <v>352</v>
      </c>
      <c r="T32" s="149" t="s">
        <v>353</v>
      </c>
      <c r="U32" s="36"/>
      <c r="V32" s="36"/>
      <c r="W32" s="36">
        <f>Table2[[#This Row],[Construction Contract Amount]]+Table2[[#This Row],[Cumulative Variations]]</f>
        <v>0</v>
      </c>
      <c r="X32" s="36"/>
      <c r="Y32" s="36"/>
      <c r="Z32" s="36">
        <f>Table2[[#This Row],[Final Contract Value]]+Table2[[#This Row],[Supervision Contract amount]]+Table2[[#This Row],[Authority Cost]]</f>
        <v>0</v>
      </c>
      <c r="AA32" s="92"/>
      <c r="AB32" s="92"/>
      <c r="AC32" s="91" t="str">
        <f t="shared" si="0"/>
        <v>https://drive.google.com/thumbnail?id=1fD7AWmASsFIlXlxUeMDyf0RwmeJ-UJ8T&amp;sz=w1000</v>
      </c>
      <c r="AD32" s="75" t="s">
        <v>392</v>
      </c>
      <c r="AE32" s="74" t="str">
        <f t="shared" si="1"/>
        <v>https://drive.google.com/thumbnail?id=1Ri-YAEWJjvz1PE2D5W_tY9aB0o-kD3Cx&amp;sz=w1000</v>
      </c>
      <c r="AF32" s="75" t="s">
        <v>393</v>
      </c>
      <c r="AG32" s="73" t="str">
        <f t="shared" si="2"/>
        <v>https://drive.google.com/thumbnail?id=17kFHEbF-AEDFcJjjgAoxnDoBUieKKDg3&amp;sz=w1000</v>
      </c>
      <c r="AH32" s="75" t="s">
        <v>394</v>
      </c>
    </row>
    <row r="33" spans="1:34" ht="22.15" customHeight="1">
      <c r="A33" s="12">
        <v>45516</v>
      </c>
      <c r="B33" s="24" t="s">
        <v>75</v>
      </c>
      <c r="C33" s="2" t="s">
        <v>78</v>
      </c>
      <c r="D33" s="16" t="str" cm="1">
        <f t="array" ref="D33">_xlfn.XLOOKUP(1, (Table1[Project Name]=Table2[[#This Row],[Project ID]])*(Table1[Plot]=Table2[[#This Row],[Plot]]), Table1[Project ID])</f>
        <v>MJ-04</v>
      </c>
      <c r="E33" s="39">
        <v>75</v>
      </c>
      <c r="F33" s="40">
        <v>655</v>
      </c>
      <c r="G33" s="39">
        <f>Table2[[#This Row],[Time Elapsed]]+Table2[[#This Row],[Time Remaining]]</f>
        <v>730</v>
      </c>
      <c r="H33" s="2" t="s">
        <v>312</v>
      </c>
      <c r="I33" s="2" t="s">
        <v>313</v>
      </c>
      <c r="J33" s="13">
        <v>6.3299999999999995E-2</v>
      </c>
      <c r="K33" s="148">
        <v>3.2899999999999999E-2</v>
      </c>
      <c r="L33" s="13">
        <f>Table2[[#This Row],[Actual %]]-Table2[[#This Row],[Plan %]]</f>
        <v>-3.0399999999999996E-2</v>
      </c>
      <c r="M33" s="144" t="s">
        <v>51</v>
      </c>
      <c r="N33" s="12">
        <v>45506</v>
      </c>
      <c r="O33" s="12">
        <v>45507</v>
      </c>
      <c r="P33" s="12"/>
      <c r="Q33" s="12">
        <v>45520</v>
      </c>
      <c r="R33" s="2" t="s">
        <v>351</v>
      </c>
      <c r="S33" s="2" t="s">
        <v>352</v>
      </c>
      <c r="T33" s="149" t="s">
        <v>353</v>
      </c>
      <c r="U33" s="36"/>
      <c r="V33" s="36"/>
      <c r="W33" s="36">
        <f>Table2[[#This Row],[Construction Contract Amount]]+Table2[[#This Row],[Cumulative Variations]]</f>
        <v>0</v>
      </c>
      <c r="X33" s="36"/>
      <c r="Y33" s="36"/>
      <c r="Z33" s="36">
        <f>Table2[[#This Row],[Final Contract Value]]+Table2[[#This Row],[Supervision Contract amount]]+Table2[[#This Row],[Authority Cost]]</f>
        <v>0</v>
      </c>
      <c r="AA33" s="92"/>
      <c r="AB33" s="92"/>
      <c r="AC33" s="91" t="str">
        <f t="shared" si="0"/>
        <v>https://drive.google.com/thumbnail?id=1fD7AWmASsFIlXlxUeMDyf0RwmeJ-UJ8T&amp;sz=w1000</v>
      </c>
      <c r="AD33" s="75" t="s">
        <v>392</v>
      </c>
      <c r="AE33" s="74" t="str">
        <f t="shared" si="1"/>
        <v>https://drive.google.com/thumbnail?id=1Ri-YAEWJjvz1PE2D5W_tY9aB0o-kD3Cx&amp;sz=w1000</v>
      </c>
      <c r="AF33" s="75" t="s">
        <v>393</v>
      </c>
      <c r="AG33" s="73" t="str">
        <f t="shared" si="2"/>
        <v>https://drive.google.com/thumbnail?id=17kFHEbF-AEDFcJjjgAoxnDoBUieKKDg3&amp;sz=w1000</v>
      </c>
      <c r="AH33" s="75" t="s">
        <v>394</v>
      </c>
    </row>
    <row r="34" spans="1:34" ht="22.15" customHeight="1">
      <c r="A34" s="12">
        <v>45516</v>
      </c>
      <c r="B34" s="24" t="s">
        <v>75</v>
      </c>
      <c r="C34" s="2" t="s">
        <v>78</v>
      </c>
      <c r="D34" s="16" t="str" cm="1">
        <f t="array" ref="D34">_xlfn.XLOOKUP(1, (Table1[Project Name]=Table2[[#This Row],[Project ID]])*(Table1[Plot]=Table2[[#This Row],[Plot]]), Table1[Project ID])</f>
        <v>MJ-04</v>
      </c>
      <c r="E34" s="39">
        <v>75</v>
      </c>
      <c r="F34" s="40">
        <v>655</v>
      </c>
      <c r="G34" s="39">
        <f>Table2[[#This Row],[Time Elapsed]]+Table2[[#This Row],[Time Remaining]]</f>
        <v>730</v>
      </c>
      <c r="H34" s="2" t="s">
        <v>312</v>
      </c>
      <c r="I34" s="2" t="s">
        <v>313</v>
      </c>
      <c r="J34" s="13">
        <v>6.3299999999999995E-2</v>
      </c>
      <c r="K34" s="148">
        <v>3.2899999999999999E-2</v>
      </c>
      <c r="L34" s="13">
        <f>Table2[[#This Row],[Actual %]]-Table2[[#This Row],[Plan %]]</f>
        <v>-3.0399999999999996E-2</v>
      </c>
      <c r="M34" s="144" t="s">
        <v>275</v>
      </c>
      <c r="N34" s="12">
        <v>45561</v>
      </c>
      <c r="O34" s="12"/>
      <c r="P34" s="12">
        <v>45561</v>
      </c>
      <c r="Q34" s="12">
        <v>45520</v>
      </c>
      <c r="R34" s="2" t="s">
        <v>351</v>
      </c>
      <c r="S34" s="2" t="s">
        <v>352</v>
      </c>
      <c r="T34" s="149" t="s">
        <v>353</v>
      </c>
      <c r="U34" s="36"/>
      <c r="V34" s="36"/>
      <c r="W34" s="36">
        <f>Table2[[#This Row],[Construction Contract Amount]]+Table2[[#This Row],[Cumulative Variations]]</f>
        <v>0</v>
      </c>
      <c r="X34" s="36"/>
      <c r="Y34" s="36"/>
      <c r="Z34" s="36">
        <f>Table2[[#This Row],[Final Contract Value]]+Table2[[#This Row],[Supervision Contract amount]]+Table2[[#This Row],[Authority Cost]]</f>
        <v>0</v>
      </c>
      <c r="AA34" s="92"/>
      <c r="AB34" s="92"/>
      <c r="AC34" s="91" t="str">
        <f t="shared" si="0"/>
        <v>https://drive.google.com/thumbnail?id=1fD7AWmASsFIlXlxUeMDyf0RwmeJ-UJ8T&amp;sz=w1000</v>
      </c>
      <c r="AD34" s="75" t="s">
        <v>392</v>
      </c>
      <c r="AE34" s="74" t="str">
        <f t="shared" si="1"/>
        <v>https://drive.google.com/thumbnail?id=1Ri-YAEWJjvz1PE2D5W_tY9aB0o-kD3Cx&amp;sz=w1000</v>
      </c>
      <c r="AF34" s="75" t="s">
        <v>393</v>
      </c>
      <c r="AG34" s="73" t="str">
        <f t="shared" si="2"/>
        <v>https://drive.google.com/thumbnail?id=17kFHEbF-AEDFcJjjgAoxnDoBUieKKDg3&amp;sz=w1000</v>
      </c>
      <c r="AH34" s="75" t="s">
        <v>394</v>
      </c>
    </row>
    <row r="35" spans="1:34" ht="22.15" customHeight="1">
      <c r="A35" s="12">
        <v>45516</v>
      </c>
      <c r="B35" s="24" t="s">
        <v>75</v>
      </c>
      <c r="C35" s="2" t="s">
        <v>78</v>
      </c>
      <c r="D35" s="16" t="str" cm="1">
        <f t="array" ref="D35">_xlfn.XLOOKUP(1, (Table1[Project Name]=Table2[[#This Row],[Project ID]])*(Table1[Plot]=Table2[[#This Row],[Plot]]), Table1[Project ID])</f>
        <v>MJ-04</v>
      </c>
      <c r="E35" s="39">
        <v>75</v>
      </c>
      <c r="F35" s="40">
        <v>655</v>
      </c>
      <c r="G35" s="39">
        <f>Table2[[#This Row],[Time Elapsed]]+Table2[[#This Row],[Time Remaining]]</f>
        <v>730</v>
      </c>
      <c r="H35" s="2" t="s">
        <v>312</v>
      </c>
      <c r="I35" s="2" t="s">
        <v>313</v>
      </c>
      <c r="J35" s="13">
        <v>6.3299999999999995E-2</v>
      </c>
      <c r="K35" s="148">
        <v>3.2899999999999999E-2</v>
      </c>
      <c r="L35" s="13">
        <f>Table2[[#This Row],[Actual %]]-Table2[[#This Row],[Plan %]]</f>
        <v>-3.0399999999999996E-2</v>
      </c>
      <c r="M35" s="144" t="s">
        <v>276</v>
      </c>
      <c r="N35" s="12">
        <v>45586</v>
      </c>
      <c r="O35" s="12"/>
      <c r="P35" s="12">
        <v>45586</v>
      </c>
      <c r="Q35" s="12">
        <v>45520</v>
      </c>
      <c r="R35" s="2" t="s">
        <v>351</v>
      </c>
      <c r="S35" s="2" t="s">
        <v>352</v>
      </c>
      <c r="T35" s="149" t="s">
        <v>353</v>
      </c>
      <c r="U35" s="36"/>
      <c r="V35" s="36"/>
      <c r="W35" s="36">
        <f>Table2[[#This Row],[Construction Contract Amount]]+Table2[[#This Row],[Cumulative Variations]]</f>
        <v>0</v>
      </c>
      <c r="X35" s="36"/>
      <c r="Y35" s="36"/>
      <c r="Z35" s="36">
        <f>Table2[[#This Row],[Final Contract Value]]+Table2[[#This Row],[Supervision Contract amount]]+Table2[[#This Row],[Authority Cost]]</f>
        <v>0</v>
      </c>
      <c r="AA35" s="36"/>
      <c r="AB35" s="36"/>
      <c r="AC35" s="91" t="str">
        <f t="shared" si="0"/>
        <v>https://drive.google.com/thumbnail?id=1fD7AWmASsFIlXlxUeMDyf0RwmeJ-UJ8T&amp;sz=w1000</v>
      </c>
      <c r="AD35" s="75" t="s">
        <v>392</v>
      </c>
      <c r="AE35" s="74" t="str">
        <f t="shared" si="1"/>
        <v>https://drive.google.com/thumbnail?id=1Ri-YAEWJjvz1PE2D5W_tY9aB0o-kD3Cx&amp;sz=w1000</v>
      </c>
      <c r="AF35" s="75" t="s">
        <v>393</v>
      </c>
      <c r="AG35" s="73" t="str">
        <f t="shared" si="2"/>
        <v>https://drive.google.com/thumbnail?id=17kFHEbF-AEDFcJjjgAoxnDoBUieKKDg3&amp;sz=w1000</v>
      </c>
      <c r="AH35" s="75" t="s">
        <v>394</v>
      </c>
    </row>
    <row r="36" spans="1:34" ht="22.15" customHeight="1">
      <c r="A36" s="12">
        <v>45516</v>
      </c>
      <c r="B36" s="24" t="s">
        <v>75</v>
      </c>
      <c r="C36" s="2" t="s">
        <v>78</v>
      </c>
      <c r="D36" s="16" t="str" cm="1">
        <f t="array" ref="D36">_xlfn.XLOOKUP(1, (Table1[Project Name]=Table2[[#This Row],[Project ID]])*(Table1[Plot]=Table2[[#This Row],[Plot]]), Table1[Project ID])</f>
        <v>MJ-04</v>
      </c>
      <c r="E36" s="39">
        <v>75</v>
      </c>
      <c r="F36" s="40">
        <v>655</v>
      </c>
      <c r="G36" s="39">
        <f>Table2[[#This Row],[Time Elapsed]]+Table2[[#This Row],[Time Remaining]]</f>
        <v>730</v>
      </c>
      <c r="H36" s="2" t="s">
        <v>312</v>
      </c>
      <c r="I36" s="2" t="s">
        <v>313</v>
      </c>
      <c r="J36" s="13">
        <v>6.3299999999999995E-2</v>
      </c>
      <c r="K36" s="148">
        <v>3.2899999999999999E-2</v>
      </c>
      <c r="L36" s="13">
        <f>Table2[[#This Row],[Actual %]]-Table2[[#This Row],[Plan %]]</f>
        <v>-3.0399999999999996E-2</v>
      </c>
      <c r="M36" s="144" t="s">
        <v>277</v>
      </c>
      <c r="N36" s="12">
        <v>45638</v>
      </c>
      <c r="O36" s="12"/>
      <c r="P36" s="12">
        <v>45638</v>
      </c>
      <c r="Q36" s="12">
        <v>45520</v>
      </c>
      <c r="R36" s="2" t="s">
        <v>351</v>
      </c>
      <c r="S36" s="2" t="s">
        <v>352</v>
      </c>
      <c r="T36" s="149" t="s">
        <v>353</v>
      </c>
      <c r="U36" s="36"/>
      <c r="V36" s="36"/>
      <c r="W36" s="36">
        <f>Table2[[#This Row],[Construction Contract Amount]]+Table2[[#This Row],[Cumulative Variations]]</f>
        <v>0</v>
      </c>
      <c r="X36" s="36"/>
      <c r="Y36" s="36"/>
      <c r="Z36" s="36">
        <f>Table2[[#This Row],[Final Contract Value]]+Table2[[#This Row],[Supervision Contract amount]]+Table2[[#This Row],[Authority Cost]]</f>
        <v>0</v>
      </c>
      <c r="AA36" s="36"/>
      <c r="AB36" s="36"/>
      <c r="AC36" s="91" t="str">
        <f t="shared" si="0"/>
        <v>https://drive.google.com/thumbnail?id=1fD7AWmASsFIlXlxUeMDyf0RwmeJ-UJ8T&amp;sz=w1000</v>
      </c>
      <c r="AD36" s="75" t="s">
        <v>392</v>
      </c>
      <c r="AE36" s="74" t="str">
        <f t="shared" si="1"/>
        <v>https://drive.google.com/thumbnail?id=1Ri-YAEWJjvz1PE2D5W_tY9aB0o-kD3Cx&amp;sz=w1000</v>
      </c>
      <c r="AF36" s="75" t="s">
        <v>393</v>
      </c>
      <c r="AG36" s="73" t="str">
        <f t="shared" si="2"/>
        <v>https://drive.google.com/thumbnail?id=17kFHEbF-AEDFcJjjgAoxnDoBUieKKDg3&amp;sz=w1000</v>
      </c>
      <c r="AH36" s="75" t="s">
        <v>394</v>
      </c>
    </row>
    <row r="37" spans="1:34" ht="22.15" customHeight="1">
      <c r="A37" s="12">
        <v>45516</v>
      </c>
      <c r="B37" s="24" t="s">
        <v>75</v>
      </c>
      <c r="C37" s="2" t="s">
        <v>78</v>
      </c>
      <c r="D37" s="16" t="str" cm="1">
        <f t="array" ref="D37">_xlfn.XLOOKUP(1, (Table1[Project Name]=Table2[[#This Row],[Project ID]])*(Table1[Plot]=Table2[[#This Row],[Plot]]), Table1[Project ID])</f>
        <v>MJ-04</v>
      </c>
      <c r="E37" s="39">
        <v>75</v>
      </c>
      <c r="F37" s="40">
        <v>655</v>
      </c>
      <c r="G37" s="39">
        <f>Table2[[#This Row],[Time Elapsed]]+Table2[[#This Row],[Time Remaining]]</f>
        <v>730</v>
      </c>
      <c r="H37" s="2" t="s">
        <v>312</v>
      </c>
      <c r="I37" s="2" t="s">
        <v>313</v>
      </c>
      <c r="J37" s="13">
        <v>6.3299999999999995E-2</v>
      </c>
      <c r="K37" s="148">
        <v>3.2899999999999999E-2</v>
      </c>
      <c r="L37" s="13">
        <f>Table2[[#This Row],[Actual %]]-Table2[[#This Row],[Plan %]]</f>
        <v>-3.0399999999999996E-2</v>
      </c>
      <c r="M37" s="144" t="s">
        <v>278</v>
      </c>
      <c r="N37" s="12">
        <v>45751</v>
      </c>
      <c r="O37" s="12"/>
      <c r="P37" s="12">
        <v>45751</v>
      </c>
      <c r="Q37" s="12">
        <v>45520</v>
      </c>
      <c r="R37" s="2" t="s">
        <v>351</v>
      </c>
      <c r="S37" s="2" t="s">
        <v>352</v>
      </c>
      <c r="T37" s="149" t="s">
        <v>353</v>
      </c>
      <c r="U37" s="36"/>
      <c r="V37" s="36"/>
      <c r="W37" s="36">
        <f>Table2[[#This Row],[Construction Contract Amount]]+Table2[[#This Row],[Cumulative Variations]]</f>
        <v>0</v>
      </c>
      <c r="X37" s="36"/>
      <c r="Y37" s="36"/>
      <c r="Z37" s="36">
        <f>Table2[[#This Row],[Final Contract Value]]+Table2[[#This Row],[Supervision Contract amount]]+Table2[[#This Row],[Authority Cost]]</f>
        <v>0</v>
      </c>
      <c r="AA37" s="36"/>
      <c r="AB37" s="36"/>
      <c r="AC37" s="91" t="str">
        <f t="shared" si="0"/>
        <v>https://drive.google.com/thumbnail?id=1fD7AWmASsFIlXlxUeMDyf0RwmeJ-UJ8T&amp;sz=w1000</v>
      </c>
      <c r="AD37" s="75" t="s">
        <v>392</v>
      </c>
      <c r="AE37" s="74" t="str">
        <f t="shared" si="1"/>
        <v>https://drive.google.com/thumbnail?id=1Ri-YAEWJjvz1PE2D5W_tY9aB0o-kD3Cx&amp;sz=w1000</v>
      </c>
      <c r="AF37" s="75" t="s">
        <v>393</v>
      </c>
      <c r="AG37" s="73" t="str">
        <f t="shared" si="2"/>
        <v>https://drive.google.com/thumbnail?id=17kFHEbF-AEDFcJjjgAoxnDoBUieKKDg3&amp;sz=w1000</v>
      </c>
      <c r="AH37" s="75" t="s">
        <v>394</v>
      </c>
    </row>
    <row r="38" spans="1:34" ht="22.15" customHeight="1">
      <c r="A38" s="12">
        <v>45516</v>
      </c>
      <c r="B38" s="24" t="s">
        <v>75</v>
      </c>
      <c r="C38" s="2" t="s">
        <v>78</v>
      </c>
      <c r="D38" s="16" t="str" cm="1">
        <f t="array" ref="D38">_xlfn.XLOOKUP(1, (Table1[Project Name]=Table2[[#This Row],[Project ID]])*(Table1[Plot]=Table2[[#This Row],[Plot]]), Table1[Project ID])</f>
        <v>MJ-04</v>
      </c>
      <c r="E38" s="39">
        <v>75</v>
      </c>
      <c r="F38" s="40">
        <v>655</v>
      </c>
      <c r="G38" s="39">
        <f>Table2[[#This Row],[Time Elapsed]]+Table2[[#This Row],[Time Remaining]]</f>
        <v>730</v>
      </c>
      <c r="H38" s="2" t="s">
        <v>312</v>
      </c>
      <c r="I38" s="2" t="s">
        <v>313</v>
      </c>
      <c r="J38" s="13">
        <v>6.3299999999999995E-2</v>
      </c>
      <c r="K38" s="148">
        <v>3.2899999999999999E-2</v>
      </c>
      <c r="L38" s="13">
        <f>Table2[[#This Row],[Actual %]]-Table2[[#This Row],[Plan %]]</f>
        <v>-3.0399999999999996E-2</v>
      </c>
      <c r="M38" s="144" t="s">
        <v>279</v>
      </c>
      <c r="N38" s="12">
        <v>45859</v>
      </c>
      <c r="O38" s="12"/>
      <c r="P38" s="12">
        <v>45859</v>
      </c>
      <c r="Q38" s="12">
        <v>45520</v>
      </c>
      <c r="R38" s="2" t="s">
        <v>351</v>
      </c>
      <c r="S38" s="2" t="s">
        <v>352</v>
      </c>
      <c r="T38" s="149" t="s">
        <v>353</v>
      </c>
      <c r="U38" s="36"/>
      <c r="V38" s="36"/>
      <c r="W38" s="36">
        <f>Table2[[#This Row],[Construction Contract Amount]]+Table2[[#This Row],[Cumulative Variations]]</f>
        <v>0</v>
      </c>
      <c r="X38" s="36"/>
      <c r="Y38" s="36"/>
      <c r="Z38" s="36">
        <f>Table2[[#This Row],[Final Contract Value]]+Table2[[#This Row],[Supervision Contract amount]]+Table2[[#This Row],[Authority Cost]]</f>
        <v>0</v>
      </c>
      <c r="AA38" s="36"/>
      <c r="AB38" s="36"/>
      <c r="AC38" s="91" t="str">
        <f t="shared" si="0"/>
        <v>https://drive.google.com/thumbnail?id=1fD7AWmASsFIlXlxUeMDyf0RwmeJ-UJ8T&amp;sz=w1000</v>
      </c>
      <c r="AD38" s="75" t="s">
        <v>392</v>
      </c>
      <c r="AE38" s="74" t="str">
        <f t="shared" si="1"/>
        <v>https://drive.google.com/thumbnail?id=1Ri-YAEWJjvz1PE2D5W_tY9aB0o-kD3Cx&amp;sz=w1000</v>
      </c>
      <c r="AF38" s="75" t="s">
        <v>393</v>
      </c>
      <c r="AG38" s="73" t="str">
        <f t="shared" si="2"/>
        <v>https://drive.google.com/thumbnail?id=17kFHEbF-AEDFcJjjgAoxnDoBUieKKDg3&amp;sz=w1000</v>
      </c>
      <c r="AH38" s="75" t="s">
        <v>394</v>
      </c>
    </row>
    <row r="39" spans="1:34" ht="22.15" customHeight="1">
      <c r="A39" s="12">
        <v>45516</v>
      </c>
      <c r="B39" s="24" t="s">
        <v>75</v>
      </c>
      <c r="C39" s="2" t="s">
        <v>78</v>
      </c>
      <c r="D39" s="16" t="str" cm="1">
        <f t="array" ref="D39">_xlfn.XLOOKUP(1, (Table1[Project Name]=Table2[[#This Row],[Project ID]])*(Table1[Plot]=Table2[[#This Row],[Plot]]), Table1[Project ID])</f>
        <v>MJ-04</v>
      </c>
      <c r="E39" s="39">
        <v>75</v>
      </c>
      <c r="F39" s="40">
        <v>655</v>
      </c>
      <c r="G39" s="39">
        <f>Table2[[#This Row],[Time Elapsed]]+Table2[[#This Row],[Time Remaining]]</f>
        <v>730</v>
      </c>
      <c r="H39" s="2" t="s">
        <v>312</v>
      </c>
      <c r="I39" s="2" t="s">
        <v>313</v>
      </c>
      <c r="J39" s="13">
        <v>6.3299999999999995E-2</v>
      </c>
      <c r="K39" s="148">
        <v>3.2899999999999999E-2</v>
      </c>
      <c r="L39" s="13">
        <f>Table2[[#This Row],[Actual %]]-Table2[[#This Row],[Plan %]]</f>
        <v>-3.0399999999999996E-2</v>
      </c>
      <c r="M39" s="144" t="s">
        <v>280</v>
      </c>
      <c r="N39" s="12">
        <v>46175</v>
      </c>
      <c r="O39" s="12"/>
      <c r="P39" s="12">
        <v>46175</v>
      </c>
      <c r="Q39" s="12">
        <v>45520</v>
      </c>
      <c r="R39" s="2" t="s">
        <v>351</v>
      </c>
      <c r="S39" s="2" t="s">
        <v>352</v>
      </c>
      <c r="T39" s="149" t="s">
        <v>353</v>
      </c>
      <c r="U39" s="36"/>
      <c r="V39" s="36"/>
      <c r="W39" s="36">
        <f>Table2[[#This Row],[Construction Contract Amount]]+Table2[[#This Row],[Cumulative Variations]]</f>
        <v>0</v>
      </c>
      <c r="X39" s="36"/>
      <c r="Y39" s="36"/>
      <c r="Z39" s="36">
        <f>Table2[[#This Row],[Final Contract Value]]+Table2[[#This Row],[Supervision Contract amount]]+Table2[[#This Row],[Authority Cost]]</f>
        <v>0</v>
      </c>
      <c r="AA39" s="36"/>
      <c r="AB39" s="36"/>
      <c r="AC39" s="91" t="str">
        <f t="shared" si="0"/>
        <v>https://drive.google.com/thumbnail?id=1fD7AWmASsFIlXlxUeMDyf0RwmeJ-UJ8T&amp;sz=w1000</v>
      </c>
      <c r="AD39" s="75" t="s">
        <v>392</v>
      </c>
      <c r="AE39" s="74" t="str">
        <f t="shared" si="1"/>
        <v>https://drive.google.com/thumbnail?id=1Ri-YAEWJjvz1PE2D5W_tY9aB0o-kD3Cx&amp;sz=w1000</v>
      </c>
      <c r="AF39" s="75" t="s">
        <v>393</v>
      </c>
      <c r="AG39" s="73" t="str">
        <f t="shared" si="2"/>
        <v>https://drive.google.com/thumbnail?id=17kFHEbF-AEDFcJjjgAoxnDoBUieKKDg3&amp;sz=w1000</v>
      </c>
      <c r="AH39" s="75" t="s">
        <v>394</v>
      </c>
    </row>
    <row r="40" spans="1:34" ht="22.15" customHeight="1">
      <c r="A40" s="12">
        <v>45516</v>
      </c>
      <c r="B40" s="24" t="s">
        <v>75</v>
      </c>
      <c r="C40" s="2" t="s">
        <v>78</v>
      </c>
      <c r="D40" s="16" t="str" cm="1">
        <f t="array" ref="D40">_xlfn.XLOOKUP(1, (Table1[Project Name]=Table2[[#This Row],[Project ID]])*(Table1[Plot]=Table2[[#This Row],[Plot]]), Table1[Project ID])</f>
        <v>MJ-04</v>
      </c>
      <c r="E40" s="39">
        <v>75</v>
      </c>
      <c r="F40" s="40">
        <v>655</v>
      </c>
      <c r="G40" s="39">
        <f>Table2[[#This Row],[Time Elapsed]]+Table2[[#This Row],[Time Remaining]]</f>
        <v>730</v>
      </c>
      <c r="H40" s="2" t="s">
        <v>312</v>
      </c>
      <c r="I40" s="2" t="s">
        <v>313</v>
      </c>
      <c r="J40" s="13">
        <v>6.3299999999999995E-2</v>
      </c>
      <c r="K40" s="148">
        <v>3.2899999999999999E-2</v>
      </c>
      <c r="L40" s="13">
        <f>Table2[[#This Row],[Actual %]]-Table2[[#This Row],[Plan %]]</f>
        <v>-3.0399999999999996E-2</v>
      </c>
      <c r="M40" s="144" t="s">
        <v>281</v>
      </c>
      <c r="N40" s="12">
        <v>46163</v>
      </c>
      <c r="O40" s="12"/>
      <c r="P40" s="12">
        <v>46163</v>
      </c>
      <c r="Q40" s="12">
        <v>45520</v>
      </c>
      <c r="R40" s="2" t="s">
        <v>351</v>
      </c>
      <c r="S40" s="2" t="s">
        <v>352</v>
      </c>
      <c r="T40" s="149" t="s">
        <v>353</v>
      </c>
      <c r="U40" s="36"/>
      <c r="V40" s="36"/>
      <c r="W40" s="36">
        <f>Table2[[#This Row],[Construction Contract Amount]]+Table2[[#This Row],[Cumulative Variations]]</f>
        <v>0</v>
      </c>
      <c r="X40" s="36"/>
      <c r="Y40" s="36"/>
      <c r="Z40" s="36">
        <f>Table2[[#This Row],[Final Contract Value]]+Table2[[#This Row],[Supervision Contract amount]]+Table2[[#This Row],[Authority Cost]]</f>
        <v>0</v>
      </c>
      <c r="AA40" s="36"/>
      <c r="AB40" s="36"/>
      <c r="AC40" s="91" t="str">
        <f t="shared" si="0"/>
        <v>https://drive.google.com/thumbnail?id=1fD7AWmASsFIlXlxUeMDyf0RwmeJ-UJ8T&amp;sz=w1000</v>
      </c>
      <c r="AD40" s="75" t="s">
        <v>392</v>
      </c>
      <c r="AE40" s="74" t="str">
        <f t="shared" si="1"/>
        <v>https://drive.google.com/thumbnail?id=1Ri-YAEWJjvz1PE2D5W_tY9aB0o-kD3Cx&amp;sz=w1000</v>
      </c>
      <c r="AF40" s="75" t="s">
        <v>393</v>
      </c>
      <c r="AG40" s="73" t="str">
        <f t="shared" si="2"/>
        <v>https://drive.google.com/thumbnail?id=17kFHEbF-AEDFcJjjgAoxnDoBUieKKDg3&amp;sz=w1000</v>
      </c>
      <c r="AH40" s="75" t="s">
        <v>394</v>
      </c>
    </row>
    <row r="41" spans="1:34" ht="22.15" customHeight="1">
      <c r="A41" s="12">
        <v>45516</v>
      </c>
      <c r="B41" s="24" t="s">
        <v>75</v>
      </c>
      <c r="C41" s="2" t="s">
        <v>78</v>
      </c>
      <c r="D41" s="16" t="str" cm="1">
        <f t="array" ref="D41">_xlfn.XLOOKUP(1, (Table1[Project Name]=Table2[[#This Row],[Project ID]])*(Table1[Plot]=Table2[[#This Row],[Plot]]), Table1[Project ID])</f>
        <v>MJ-04</v>
      </c>
      <c r="E41" s="39">
        <v>75</v>
      </c>
      <c r="F41" s="40">
        <v>655</v>
      </c>
      <c r="G41" s="39">
        <f>Table2[[#This Row],[Time Elapsed]]+Table2[[#This Row],[Time Remaining]]</f>
        <v>730</v>
      </c>
      <c r="H41" s="2" t="s">
        <v>312</v>
      </c>
      <c r="I41" s="2" t="s">
        <v>313</v>
      </c>
      <c r="J41" s="13">
        <v>6.3299999999999995E-2</v>
      </c>
      <c r="K41" s="148">
        <v>3.2899999999999999E-2</v>
      </c>
      <c r="L41" s="13">
        <f>Table2[[#This Row],[Actual %]]-Table2[[#This Row],[Plan %]]</f>
        <v>-3.0399999999999996E-2</v>
      </c>
      <c r="M41" s="144" t="s">
        <v>282</v>
      </c>
      <c r="N41" s="12">
        <v>46174</v>
      </c>
      <c r="O41" s="12"/>
      <c r="P41" s="12">
        <v>46174</v>
      </c>
      <c r="Q41" s="12">
        <v>45520</v>
      </c>
      <c r="R41" s="2" t="s">
        <v>351</v>
      </c>
      <c r="S41" s="2" t="s">
        <v>352</v>
      </c>
      <c r="T41" s="149" t="s">
        <v>353</v>
      </c>
      <c r="U41" s="36"/>
      <c r="V41" s="36"/>
      <c r="W41" s="36">
        <f>Table2[[#This Row],[Construction Contract Amount]]+Table2[[#This Row],[Cumulative Variations]]</f>
        <v>0</v>
      </c>
      <c r="X41" s="36"/>
      <c r="Y41" s="36"/>
      <c r="Z41" s="36">
        <f>Table2[[#This Row],[Final Contract Value]]+Table2[[#This Row],[Supervision Contract amount]]+Table2[[#This Row],[Authority Cost]]</f>
        <v>0</v>
      </c>
      <c r="AA41" s="36"/>
      <c r="AB41" s="36"/>
      <c r="AC41" s="91" t="str">
        <f t="shared" si="0"/>
        <v>https://drive.google.com/thumbnail?id=1fD7AWmASsFIlXlxUeMDyf0RwmeJ-UJ8T&amp;sz=w1000</v>
      </c>
      <c r="AD41" s="75" t="s">
        <v>392</v>
      </c>
      <c r="AE41" s="74" t="str">
        <f t="shared" si="1"/>
        <v>https://drive.google.com/thumbnail?id=1Ri-YAEWJjvz1PE2D5W_tY9aB0o-kD3Cx&amp;sz=w1000</v>
      </c>
      <c r="AF41" s="75" t="s">
        <v>393</v>
      </c>
      <c r="AG41" s="73" t="str">
        <f t="shared" si="2"/>
        <v>https://drive.google.com/thumbnail?id=17kFHEbF-AEDFcJjjgAoxnDoBUieKKDg3&amp;sz=w1000</v>
      </c>
      <c r="AH41" s="75" t="s">
        <v>394</v>
      </c>
    </row>
    <row r="42" spans="1:34" ht="22.15" customHeight="1">
      <c r="A42" s="12">
        <v>45516</v>
      </c>
      <c r="B42" s="24" t="s">
        <v>75</v>
      </c>
      <c r="C42" s="2" t="s">
        <v>78</v>
      </c>
      <c r="D42" s="16" t="str" cm="1">
        <f t="array" ref="D42">_xlfn.XLOOKUP(1, (Table1[Project Name]=Table2[[#This Row],[Project ID]])*(Table1[Plot]=Table2[[#This Row],[Plot]]), Table1[Project ID])</f>
        <v>MJ-04</v>
      </c>
      <c r="E42" s="39">
        <v>75</v>
      </c>
      <c r="F42" s="40">
        <v>655</v>
      </c>
      <c r="G42" s="39">
        <f>Table2[[#This Row],[Time Elapsed]]+Table2[[#This Row],[Time Remaining]]</f>
        <v>730</v>
      </c>
      <c r="H42" s="2" t="s">
        <v>312</v>
      </c>
      <c r="I42" s="2" t="s">
        <v>313</v>
      </c>
      <c r="J42" s="13">
        <v>6.3299999999999995E-2</v>
      </c>
      <c r="K42" s="148">
        <v>3.2899999999999999E-2</v>
      </c>
      <c r="L42" s="13">
        <f>Table2[[#This Row],[Actual %]]-Table2[[#This Row],[Plan %]]</f>
        <v>-3.0399999999999996E-2</v>
      </c>
      <c r="M42" s="144" t="s">
        <v>283</v>
      </c>
      <c r="N42" s="12">
        <v>46174</v>
      </c>
      <c r="O42" s="12"/>
      <c r="P42" s="12">
        <v>46174</v>
      </c>
      <c r="Q42" s="12">
        <v>45520</v>
      </c>
      <c r="R42" s="2" t="s">
        <v>351</v>
      </c>
      <c r="S42" s="2" t="s">
        <v>352</v>
      </c>
      <c r="T42" s="149" t="s">
        <v>353</v>
      </c>
      <c r="U42" s="36"/>
      <c r="V42" s="36"/>
      <c r="W42" s="36">
        <f>Table2[[#This Row],[Construction Contract Amount]]+Table2[[#This Row],[Cumulative Variations]]</f>
        <v>0</v>
      </c>
      <c r="X42" s="36"/>
      <c r="Y42" s="36"/>
      <c r="Z42" s="36">
        <f>Table2[[#This Row],[Final Contract Value]]+Table2[[#This Row],[Supervision Contract amount]]+Table2[[#This Row],[Authority Cost]]</f>
        <v>0</v>
      </c>
      <c r="AA42" s="36"/>
      <c r="AB42" s="36"/>
      <c r="AC42" s="91" t="str">
        <f t="shared" si="0"/>
        <v>https://drive.google.com/thumbnail?id=1fD7AWmASsFIlXlxUeMDyf0RwmeJ-UJ8T&amp;sz=w1000</v>
      </c>
      <c r="AD42" s="75" t="s">
        <v>392</v>
      </c>
      <c r="AE42" s="74" t="str">
        <f t="shared" si="1"/>
        <v>https://drive.google.com/thumbnail?id=1Ri-YAEWJjvz1PE2D5W_tY9aB0o-kD3Cx&amp;sz=w1000</v>
      </c>
      <c r="AF42" s="75" t="s">
        <v>393</v>
      </c>
      <c r="AG42" s="73" t="str">
        <f t="shared" si="2"/>
        <v>https://drive.google.com/thumbnail?id=17kFHEbF-AEDFcJjjgAoxnDoBUieKKDg3&amp;sz=w1000</v>
      </c>
      <c r="AH42" s="75" t="s">
        <v>394</v>
      </c>
    </row>
    <row r="43" spans="1:34" ht="22.15" customHeight="1">
      <c r="A43" s="12">
        <v>45516</v>
      </c>
      <c r="B43" s="24" t="s">
        <v>75</v>
      </c>
      <c r="C43" s="2" t="s">
        <v>78</v>
      </c>
      <c r="D43" s="16" t="str" cm="1">
        <f t="array" ref="D43">_xlfn.XLOOKUP(1, (Table1[Project Name]=Table2[[#This Row],[Project ID]])*(Table1[Plot]=Table2[[#This Row],[Plot]]), Table1[Project ID])</f>
        <v>MJ-04</v>
      </c>
      <c r="E43" s="39">
        <v>75</v>
      </c>
      <c r="F43" s="40">
        <v>655</v>
      </c>
      <c r="G43" s="39">
        <f>Table2[[#This Row],[Time Elapsed]]+Table2[[#This Row],[Time Remaining]]</f>
        <v>730</v>
      </c>
      <c r="H43" s="2" t="s">
        <v>312</v>
      </c>
      <c r="I43" s="2" t="s">
        <v>313</v>
      </c>
      <c r="J43" s="13">
        <v>6.3299999999999995E-2</v>
      </c>
      <c r="K43" s="148">
        <v>3.2899999999999999E-2</v>
      </c>
      <c r="L43" s="13">
        <f>Table2[[#This Row],[Actual %]]-Table2[[#This Row],[Plan %]]</f>
        <v>-3.0399999999999996E-2</v>
      </c>
      <c r="M43" s="144" t="s">
        <v>284</v>
      </c>
      <c r="N43" s="12">
        <v>46175</v>
      </c>
      <c r="O43" s="12"/>
      <c r="P43" s="12">
        <v>46175</v>
      </c>
      <c r="Q43" s="12">
        <v>45520</v>
      </c>
      <c r="R43" s="2" t="s">
        <v>351</v>
      </c>
      <c r="S43" s="2" t="s">
        <v>352</v>
      </c>
      <c r="T43" s="149" t="s">
        <v>353</v>
      </c>
      <c r="U43" s="36"/>
      <c r="V43" s="36"/>
      <c r="W43" s="36">
        <f>Table2[[#This Row],[Construction Contract Amount]]+Table2[[#This Row],[Cumulative Variations]]</f>
        <v>0</v>
      </c>
      <c r="X43" s="36"/>
      <c r="Y43" s="36"/>
      <c r="Z43" s="36">
        <f>Table2[[#This Row],[Final Contract Value]]+Table2[[#This Row],[Supervision Contract amount]]+Table2[[#This Row],[Authority Cost]]</f>
        <v>0</v>
      </c>
      <c r="AA43" s="36"/>
      <c r="AB43" s="36"/>
      <c r="AC43" s="91" t="str">
        <f t="shared" si="0"/>
        <v>https://drive.google.com/thumbnail?id=1fD7AWmASsFIlXlxUeMDyf0RwmeJ-UJ8T&amp;sz=w1000</v>
      </c>
      <c r="AD43" s="75" t="s">
        <v>392</v>
      </c>
      <c r="AE43" s="74" t="str">
        <f t="shared" si="1"/>
        <v>https://drive.google.com/thumbnail?id=1Ri-YAEWJjvz1PE2D5W_tY9aB0o-kD3Cx&amp;sz=w1000</v>
      </c>
      <c r="AF43" s="75" t="s">
        <v>393</v>
      </c>
      <c r="AG43" s="73" t="str">
        <f t="shared" si="2"/>
        <v>https://drive.google.com/thumbnail?id=17kFHEbF-AEDFcJjjgAoxnDoBUieKKDg3&amp;sz=w1000</v>
      </c>
      <c r="AH43" s="75" t="s">
        <v>394</v>
      </c>
    </row>
    <row r="44" spans="1:34" ht="22.15" customHeight="1">
      <c r="A44" s="12">
        <v>45516</v>
      </c>
      <c r="B44" s="17" t="s">
        <v>69</v>
      </c>
      <c r="C44" s="2" t="s">
        <v>72</v>
      </c>
      <c r="D44" s="16" t="str" cm="1">
        <f t="array" ref="D44">_xlfn.XLOOKUP(1, (Table1[Project Name]=Table2[[#This Row],[Project ID]])*(Table1[Plot]=Table2[[#This Row],[Plot]]), Table1[Project ID])</f>
        <v>MJ-02</v>
      </c>
      <c r="E44" s="41">
        <v>255</v>
      </c>
      <c r="F44" s="42">
        <v>343</v>
      </c>
      <c r="G44" s="41">
        <f>Table2[[#This Row],[Time Elapsed]]+Table2[[#This Row],[Time Remaining]]</f>
        <v>598</v>
      </c>
      <c r="H44" s="2" t="s">
        <v>314</v>
      </c>
      <c r="I44" s="2" t="s">
        <v>315</v>
      </c>
      <c r="J44" s="13">
        <v>0.4476</v>
      </c>
      <c r="K44" s="148">
        <v>0.36080000000000001</v>
      </c>
      <c r="L44" s="13">
        <f>Table2[[#This Row],[Actual %]]-Table2[[#This Row],[Plan %]]</f>
        <v>-8.6799999999999988E-2</v>
      </c>
      <c r="M44" s="144" t="s">
        <v>285</v>
      </c>
      <c r="N44" s="12">
        <v>45265</v>
      </c>
      <c r="O44" s="12">
        <v>45265</v>
      </c>
      <c r="P44" s="12"/>
      <c r="Q44" s="12">
        <v>45520</v>
      </c>
      <c r="R44" s="2" t="s">
        <v>354</v>
      </c>
      <c r="S44" s="2" t="s">
        <v>355</v>
      </c>
      <c r="T44" s="149" t="s">
        <v>356</v>
      </c>
      <c r="U44" s="36"/>
      <c r="V44" s="36"/>
      <c r="W44" s="36">
        <f>Table2[[#This Row],[Construction Contract Amount]]+Table2[[#This Row],[Cumulative Variations]]</f>
        <v>0</v>
      </c>
      <c r="X44" s="36"/>
      <c r="Y44" s="36"/>
      <c r="Z44" s="36">
        <f>Table2[[#This Row],[Final Contract Value]]+Table2[[#This Row],[Supervision Contract amount]]+Table2[[#This Row],[Authority Cost]]</f>
        <v>0</v>
      </c>
      <c r="AA44" s="36"/>
      <c r="AB44" s="36"/>
      <c r="AC44" s="91" t="str">
        <f t="shared" si="0"/>
        <v>https://drive.google.com/thumbnail?id=1xNwrwZ-kLTM_YhVN0HOVWrlrlMM1DCgm&amp;sz=w1000</v>
      </c>
      <c r="AD44" s="76" t="s">
        <v>395</v>
      </c>
      <c r="AE44" s="74" t="str">
        <f t="shared" si="1"/>
        <v>https://drive.google.com/thumbnail?id=1ubpEtvc1oWuPQhwTMdh21fiJQLJ6YQjL&amp;sz=w1000</v>
      </c>
      <c r="AF44" s="76" t="s">
        <v>396</v>
      </c>
      <c r="AG44" s="73" t="str">
        <f t="shared" si="2"/>
        <v>https://drive.google.com/thumbnail?id=16BMdQPUP_243M9ZY1BsJCcqCz75Uhylv&amp;sz=w1000</v>
      </c>
      <c r="AH44" s="76" t="s">
        <v>397</v>
      </c>
    </row>
    <row r="45" spans="1:34" ht="22.15" customHeight="1">
      <c r="A45" s="12">
        <v>45516</v>
      </c>
      <c r="B45" s="17" t="s">
        <v>69</v>
      </c>
      <c r="C45" s="2" t="s">
        <v>72</v>
      </c>
      <c r="D45" s="16" t="str" cm="1">
        <f t="array" ref="D45">_xlfn.XLOOKUP(1, (Table1[Project Name]=Table2[[#This Row],[Project ID]])*(Table1[Plot]=Table2[[#This Row],[Plot]]), Table1[Project ID])</f>
        <v>MJ-02</v>
      </c>
      <c r="E45" s="41">
        <v>255</v>
      </c>
      <c r="F45" s="42">
        <v>343</v>
      </c>
      <c r="G45" s="41">
        <f>Table2[[#This Row],[Time Elapsed]]+Table2[[#This Row],[Time Remaining]]</f>
        <v>598</v>
      </c>
      <c r="H45" s="2" t="s">
        <v>314</v>
      </c>
      <c r="I45" s="2" t="s">
        <v>315</v>
      </c>
      <c r="J45" s="13">
        <v>0.4476</v>
      </c>
      <c r="K45" s="148">
        <v>0.36080000000000001</v>
      </c>
      <c r="L45" s="13">
        <f>Table2[[#This Row],[Actual %]]-Table2[[#This Row],[Plan %]]</f>
        <v>-8.6799999999999988E-2</v>
      </c>
      <c r="M45" s="144" t="s">
        <v>331</v>
      </c>
      <c r="N45" s="12">
        <v>45374</v>
      </c>
      <c r="O45" s="12">
        <v>45450</v>
      </c>
      <c r="P45" s="12"/>
      <c r="Q45" s="12">
        <v>45520</v>
      </c>
      <c r="R45" s="2" t="s">
        <v>354</v>
      </c>
      <c r="S45" s="2" t="s">
        <v>355</v>
      </c>
      <c r="T45" s="149" t="s">
        <v>356</v>
      </c>
      <c r="U45" s="36"/>
      <c r="V45" s="36"/>
      <c r="W45" s="36">
        <f>Table2[[#This Row],[Construction Contract Amount]]+Table2[[#This Row],[Cumulative Variations]]</f>
        <v>0</v>
      </c>
      <c r="X45" s="36"/>
      <c r="Y45" s="36"/>
      <c r="Z45" s="36">
        <f>Table2[[#This Row],[Final Contract Value]]+Table2[[#This Row],[Supervision Contract amount]]+Table2[[#This Row],[Authority Cost]]</f>
        <v>0</v>
      </c>
      <c r="AA45" s="36"/>
      <c r="AB45" s="36"/>
      <c r="AC45" s="91" t="str">
        <f t="shared" si="0"/>
        <v>https://drive.google.com/thumbnail?id=1xNwrwZ-kLTM_YhVN0HOVWrlrlMM1DCgm&amp;sz=w1000</v>
      </c>
      <c r="AD45" s="76" t="s">
        <v>395</v>
      </c>
      <c r="AE45" s="74" t="str">
        <f t="shared" si="1"/>
        <v>https://drive.google.com/thumbnail?id=1ubpEtvc1oWuPQhwTMdh21fiJQLJ6YQjL&amp;sz=w1000</v>
      </c>
      <c r="AF45" s="76" t="s">
        <v>396</v>
      </c>
      <c r="AG45" s="73" t="str">
        <f t="shared" si="2"/>
        <v>https://drive.google.com/thumbnail?id=16BMdQPUP_243M9ZY1BsJCcqCz75Uhylv&amp;sz=w1000</v>
      </c>
      <c r="AH45" s="76" t="s">
        <v>397</v>
      </c>
    </row>
    <row r="46" spans="1:34" ht="22.15" customHeight="1">
      <c r="A46" s="12">
        <v>45516</v>
      </c>
      <c r="B46" s="17" t="s">
        <v>69</v>
      </c>
      <c r="C46" s="2" t="s">
        <v>72</v>
      </c>
      <c r="D46" s="16" t="str" cm="1">
        <f t="array" ref="D46">_xlfn.XLOOKUP(1, (Table1[Project Name]=Table2[[#This Row],[Project ID]])*(Table1[Plot]=Table2[[#This Row],[Plot]]), Table1[Project ID])</f>
        <v>MJ-02</v>
      </c>
      <c r="E46" s="41">
        <v>255</v>
      </c>
      <c r="F46" s="42">
        <v>343</v>
      </c>
      <c r="G46" s="41">
        <f>Table2[[#This Row],[Time Elapsed]]+Table2[[#This Row],[Time Remaining]]</f>
        <v>598</v>
      </c>
      <c r="H46" s="2" t="s">
        <v>314</v>
      </c>
      <c r="I46" s="2" t="s">
        <v>315</v>
      </c>
      <c r="J46" s="13">
        <v>0.4476</v>
      </c>
      <c r="K46" s="148">
        <v>0.36080000000000001</v>
      </c>
      <c r="L46" s="13">
        <f>Table2[[#This Row],[Actual %]]-Table2[[#This Row],[Plan %]]</f>
        <v>-8.6799999999999988E-2</v>
      </c>
      <c r="M46" s="144" t="s">
        <v>588</v>
      </c>
      <c r="N46" s="12">
        <v>45503</v>
      </c>
      <c r="O46" s="12"/>
      <c r="P46" s="12">
        <v>45526</v>
      </c>
      <c r="Q46" s="12">
        <v>45520</v>
      </c>
      <c r="R46" s="2" t="s">
        <v>354</v>
      </c>
      <c r="S46" s="2" t="s">
        <v>355</v>
      </c>
      <c r="T46" s="149" t="s">
        <v>356</v>
      </c>
      <c r="U46" s="36"/>
      <c r="V46" s="36"/>
      <c r="W46" s="36">
        <f>Table2[[#This Row],[Construction Contract Amount]]+Table2[[#This Row],[Cumulative Variations]]</f>
        <v>0</v>
      </c>
      <c r="X46" s="36"/>
      <c r="Y46" s="36"/>
      <c r="Z46" s="36">
        <f>Table2[[#This Row],[Final Contract Value]]+Table2[[#This Row],[Supervision Contract amount]]+Table2[[#This Row],[Authority Cost]]</f>
        <v>0</v>
      </c>
      <c r="AA46" s="36"/>
      <c r="AB46" s="36"/>
      <c r="AC46" s="91" t="str">
        <f t="shared" si="0"/>
        <v>https://drive.google.com/thumbnail?id=1xNwrwZ-kLTM_YhVN0HOVWrlrlMM1DCgm&amp;sz=w1000</v>
      </c>
      <c r="AD46" s="76" t="s">
        <v>395</v>
      </c>
      <c r="AE46" s="74" t="str">
        <f t="shared" si="1"/>
        <v>https://drive.google.com/thumbnail?id=1ubpEtvc1oWuPQhwTMdh21fiJQLJ6YQjL&amp;sz=w1000</v>
      </c>
      <c r="AF46" s="76" t="s">
        <v>396</v>
      </c>
      <c r="AG46" s="73" t="str">
        <f t="shared" si="2"/>
        <v>https://drive.google.com/thumbnail?id=16BMdQPUP_243M9ZY1BsJCcqCz75Uhylv&amp;sz=w1000</v>
      </c>
      <c r="AH46" s="76" t="s">
        <v>397</v>
      </c>
    </row>
    <row r="47" spans="1:34" ht="22.15" customHeight="1">
      <c r="A47" s="12">
        <v>45516</v>
      </c>
      <c r="B47" s="17" t="s">
        <v>69</v>
      </c>
      <c r="C47" s="2" t="s">
        <v>72</v>
      </c>
      <c r="D47" s="16" t="str" cm="1">
        <f t="array" ref="D47">_xlfn.XLOOKUP(1, (Table1[Project Name]=Table2[[#This Row],[Project ID]])*(Table1[Plot]=Table2[[#This Row],[Plot]]), Table1[Project ID])</f>
        <v>MJ-02</v>
      </c>
      <c r="E47" s="41">
        <v>255</v>
      </c>
      <c r="F47" s="42">
        <v>343</v>
      </c>
      <c r="G47" s="41">
        <f>Table2[[#This Row],[Time Elapsed]]+Table2[[#This Row],[Time Remaining]]</f>
        <v>598</v>
      </c>
      <c r="H47" s="2" t="s">
        <v>314</v>
      </c>
      <c r="I47" s="2" t="s">
        <v>315</v>
      </c>
      <c r="J47" s="13">
        <v>0.4476</v>
      </c>
      <c r="K47" s="148">
        <v>0.36080000000000001</v>
      </c>
      <c r="L47" s="13">
        <f>Table2[[#This Row],[Actual %]]-Table2[[#This Row],[Plan %]]</f>
        <v>-8.6799999999999988E-2</v>
      </c>
      <c r="M47" s="144" t="s">
        <v>333</v>
      </c>
      <c r="N47" s="12">
        <v>45539</v>
      </c>
      <c r="O47" s="12"/>
      <c r="P47" s="12">
        <v>45616</v>
      </c>
      <c r="Q47" s="12">
        <v>45520</v>
      </c>
      <c r="R47" s="2" t="s">
        <v>354</v>
      </c>
      <c r="S47" s="2" t="s">
        <v>355</v>
      </c>
      <c r="T47" s="149" t="s">
        <v>356</v>
      </c>
      <c r="U47" s="36"/>
      <c r="V47" s="36"/>
      <c r="W47" s="36">
        <f>Table2[[#This Row],[Construction Contract Amount]]+Table2[[#This Row],[Cumulative Variations]]</f>
        <v>0</v>
      </c>
      <c r="X47" s="36"/>
      <c r="Y47" s="36"/>
      <c r="Z47" s="36">
        <f>Table2[[#This Row],[Final Contract Value]]+Table2[[#This Row],[Supervision Contract amount]]+Table2[[#This Row],[Authority Cost]]</f>
        <v>0</v>
      </c>
      <c r="AA47" s="36"/>
      <c r="AB47" s="36"/>
      <c r="AC47" s="91" t="str">
        <f t="shared" si="0"/>
        <v>https://drive.google.com/thumbnail?id=1xNwrwZ-kLTM_YhVN0HOVWrlrlMM1DCgm&amp;sz=w1000</v>
      </c>
      <c r="AD47" s="76" t="s">
        <v>395</v>
      </c>
      <c r="AE47" s="74" t="str">
        <f t="shared" si="1"/>
        <v>https://drive.google.com/thumbnail?id=1ubpEtvc1oWuPQhwTMdh21fiJQLJ6YQjL&amp;sz=w1000</v>
      </c>
      <c r="AF47" s="76" t="s">
        <v>396</v>
      </c>
      <c r="AG47" s="73" t="str">
        <f t="shared" si="2"/>
        <v>https://drive.google.com/thumbnail?id=16BMdQPUP_243M9ZY1BsJCcqCz75Uhylv&amp;sz=w1000</v>
      </c>
      <c r="AH47" s="76" t="s">
        <v>397</v>
      </c>
    </row>
    <row r="48" spans="1:34" ht="22.15" customHeight="1">
      <c r="A48" s="12">
        <v>45516</v>
      </c>
      <c r="B48" s="17" t="s">
        <v>69</v>
      </c>
      <c r="C48" s="2" t="s">
        <v>72</v>
      </c>
      <c r="D48" s="16" t="str" cm="1">
        <f t="array" ref="D48">_xlfn.XLOOKUP(1, (Table1[Project Name]=Table2[[#This Row],[Project ID]])*(Table1[Plot]=Table2[[#This Row],[Plot]]), Table1[Project ID])</f>
        <v>MJ-02</v>
      </c>
      <c r="E48" s="41">
        <v>255</v>
      </c>
      <c r="F48" s="42">
        <v>343</v>
      </c>
      <c r="G48" s="41">
        <f>Table2[[#This Row],[Time Elapsed]]+Table2[[#This Row],[Time Remaining]]</f>
        <v>598</v>
      </c>
      <c r="H48" s="2" t="s">
        <v>314</v>
      </c>
      <c r="I48" s="2" t="s">
        <v>315</v>
      </c>
      <c r="J48" s="13">
        <v>0.4476</v>
      </c>
      <c r="K48" s="148">
        <v>0.36080000000000001</v>
      </c>
      <c r="L48" s="13">
        <f>Table2[[#This Row],[Actual %]]-Table2[[#This Row],[Plan %]]</f>
        <v>-8.6799999999999988E-2</v>
      </c>
      <c r="M48" s="144" t="s">
        <v>334</v>
      </c>
      <c r="N48" s="12">
        <v>45856</v>
      </c>
      <c r="O48" s="12"/>
      <c r="P48" s="12">
        <v>45856</v>
      </c>
      <c r="Q48" s="12">
        <v>45520</v>
      </c>
      <c r="R48" s="2" t="s">
        <v>354</v>
      </c>
      <c r="S48" s="2" t="s">
        <v>355</v>
      </c>
      <c r="T48" s="149" t="s">
        <v>356</v>
      </c>
      <c r="U48" s="36"/>
      <c r="V48" s="36"/>
      <c r="W48" s="36">
        <f>Table2[[#This Row],[Construction Contract Amount]]+Table2[[#This Row],[Cumulative Variations]]</f>
        <v>0</v>
      </c>
      <c r="X48" s="36"/>
      <c r="Y48" s="36"/>
      <c r="Z48" s="36">
        <f>Table2[[#This Row],[Final Contract Value]]+Table2[[#This Row],[Supervision Contract amount]]+Table2[[#This Row],[Authority Cost]]</f>
        <v>0</v>
      </c>
      <c r="AA48" s="36"/>
      <c r="AB48" s="36"/>
      <c r="AC48" s="91" t="str">
        <f t="shared" si="0"/>
        <v>https://drive.google.com/thumbnail?id=1xNwrwZ-kLTM_YhVN0HOVWrlrlMM1DCgm&amp;sz=w1000</v>
      </c>
      <c r="AD48" s="76" t="s">
        <v>395</v>
      </c>
      <c r="AE48" s="74" t="str">
        <f t="shared" si="1"/>
        <v>https://drive.google.com/thumbnail?id=1ubpEtvc1oWuPQhwTMdh21fiJQLJ6YQjL&amp;sz=w1000</v>
      </c>
      <c r="AF48" s="76" t="s">
        <v>396</v>
      </c>
      <c r="AG48" s="73" t="str">
        <f t="shared" si="2"/>
        <v>https://drive.google.com/thumbnail?id=16BMdQPUP_243M9ZY1BsJCcqCz75Uhylv&amp;sz=w1000</v>
      </c>
      <c r="AH48" s="76" t="s">
        <v>397</v>
      </c>
    </row>
    <row r="49" spans="1:34" ht="22.15" customHeight="1">
      <c r="A49" s="12">
        <v>45516</v>
      </c>
      <c r="B49" s="17" t="s">
        <v>69</v>
      </c>
      <c r="C49" s="2" t="s">
        <v>72</v>
      </c>
      <c r="D49" s="16" t="str" cm="1">
        <f t="array" ref="D49">_xlfn.XLOOKUP(1, (Table1[Project Name]=Table2[[#This Row],[Project ID]])*(Table1[Plot]=Table2[[#This Row],[Plot]]), Table1[Project ID])</f>
        <v>MJ-02</v>
      </c>
      <c r="E49" s="41">
        <v>255</v>
      </c>
      <c r="F49" s="42">
        <v>343</v>
      </c>
      <c r="G49" s="41">
        <f>Table2[[#This Row],[Time Elapsed]]+Table2[[#This Row],[Time Remaining]]</f>
        <v>598</v>
      </c>
      <c r="H49" s="2" t="s">
        <v>314</v>
      </c>
      <c r="I49" s="2" t="s">
        <v>315</v>
      </c>
      <c r="J49" s="13">
        <v>0.4476</v>
      </c>
      <c r="K49" s="148">
        <v>0.36080000000000001</v>
      </c>
      <c r="L49" s="13">
        <f>Table2[[#This Row],[Actual %]]-Table2[[#This Row],[Plan %]]</f>
        <v>-8.6799999999999988E-2</v>
      </c>
      <c r="M49" s="144" t="s">
        <v>284</v>
      </c>
      <c r="N49" s="12">
        <v>45889</v>
      </c>
      <c r="O49" s="12"/>
      <c r="P49" s="12">
        <v>45899</v>
      </c>
      <c r="Q49" s="12">
        <v>45520</v>
      </c>
      <c r="R49" s="2" t="s">
        <v>354</v>
      </c>
      <c r="S49" s="2" t="s">
        <v>355</v>
      </c>
      <c r="T49" s="149" t="s">
        <v>356</v>
      </c>
      <c r="U49" s="36"/>
      <c r="V49" s="36"/>
      <c r="W49" s="36">
        <f>Table2[[#This Row],[Construction Contract Amount]]+Table2[[#This Row],[Cumulative Variations]]</f>
        <v>0</v>
      </c>
      <c r="X49" s="36"/>
      <c r="Y49" s="36"/>
      <c r="Z49" s="36">
        <f>Table2[[#This Row],[Final Contract Value]]+Table2[[#This Row],[Supervision Contract amount]]+Table2[[#This Row],[Authority Cost]]</f>
        <v>0</v>
      </c>
      <c r="AA49" s="36"/>
      <c r="AB49" s="36"/>
      <c r="AC49" s="91" t="str">
        <f t="shared" si="0"/>
        <v>https://drive.google.com/thumbnail?id=1xNwrwZ-kLTM_YhVN0HOVWrlrlMM1DCgm&amp;sz=w1000</v>
      </c>
      <c r="AD49" s="76" t="s">
        <v>395</v>
      </c>
      <c r="AE49" s="74" t="str">
        <f t="shared" si="1"/>
        <v>https://drive.google.com/thumbnail?id=1ubpEtvc1oWuPQhwTMdh21fiJQLJ6YQjL&amp;sz=w1000</v>
      </c>
      <c r="AF49" s="76" t="s">
        <v>396</v>
      </c>
      <c r="AG49" s="73" t="str">
        <f t="shared" si="2"/>
        <v>https://drive.google.com/thumbnail?id=16BMdQPUP_243M9ZY1BsJCcqCz75Uhylv&amp;sz=w1000</v>
      </c>
      <c r="AH49" s="76" t="s">
        <v>397</v>
      </c>
    </row>
    <row r="50" spans="1:34" ht="22.15" customHeight="1">
      <c r="A50" s="12">
        <v>45516</v>
      </c>
      <c r="B50" s="17" t="s">
        <v>82</v>
      </c>
      <c r="C50" s="2" t="s">
        <v>85</v>
      </c>
      <c r="D50" s="16" t="str" cm="1">
        <f t="array" ref="D50">_xlfn.XLOOKUP(1, (Table1[Project Name]=Table2[[#This Row],[Project ID]])*(Table1[Plot]=Table2[[#This Row],[Plot]]), Table1[Project ID])</f>
        <v>MJ-03</v>
      </c>
      <c r="E50" s="43">
        <v>255</v>
      </c>
      <c r="F50" s="44">
        <v>343</v>
      </c>
      <c r="G50" s="43">
        <f>Table2[[#This Row],[Time Elapsed]]+Table2[[#This Row],[Time Remaining]]</f>
        <v>598</v>
      </c>
      <c r="H50" s="2" t="s">
        <v>314</v>
      </c>
      <c r="I50" s="2" t="s">
        <v>316</v>
      </c>
      <c r="J50" s="13">
        <v>0.40710000000000002</v>
      </c>
      <c r="K50" s="148">
        <v>0.17230000000000001</v>
      </c>
      <c r="L50" s="13">
        <f>Table2[[#This Row],[Actual %]]-Table2[[#This Row],[Plan %]]</f>
        <v>-0.23480000000000001</v>
      </c>
      <c r="M50" s="144" t="s">
        <v>285</v>
      </c>
      <c r="N50" s="12">
        <v>45631</v>
      </c>
      <c r="O50" s="12">
        <v>45631</v>
      </c>
      <c r="P50" s="12"/>
      <c r="Q50" s="12">
        <v>45520</v>
      </c>
      <c r="R50" s="2" t="s">
        <v>357</v>
      </c>
      <c r="S50" s="2" t="s">
        <v>358</v>
      </c>
      <c r="T50" s="149" t="s">
        <v>359</v>
      </c>
      <c r="U50" s="36"/>
      <c r="V50" s="36"/>
      <c r="W50" s="36">
        <f>Table2[[#This Row],[Construction Contract Amount]]+Table2[[#This Row],[Cumulative Variations]]</f>
        <v>0</v>
      </c>
      <c r="X50" s="36"/>
      <c r="Y50" s="36"/>
      <c r="Z50" s="36">
        <f>Table2[[#This Row],[Final Contract Value]]+Table2[[#This Row],[Supervision Contract amount]]+Table2[[#This Row],[Authority Cost]]</f>
        <v>0</v>
      </c>
      <c r="AA50" s="36"/>
      <c r="AB50" s="36"/>
      <c r="AC50" s="91" t="str">
        <f t="shared" si="0"/>
        <v>https://drive.google.com/thumbnail?id=1PN5QKrWfuLNLtg-y5ctP3wPnqv2s1Rlm&amp;sz=w1000</v>
      </c>
      <c r="AD50" s="77" t="s">
        <v>398</v>
      </c>
      <c r="AE50" s="74" t="str">
        <f t="shared" si="1"/>
        <v>https://drive.google.com/thumbnail?id=1Xv5IhBhdmlrvaY32k_gxD4v2dwCxj2S0&amp;sz=w1000</v>
      </c>
      <c r="AF50" s="77" t="s">
        <v>399</v>
      </c>
      <c r="AG50" s="73" t="str">
        <f t="shared" si="2"/>
        <v>https://drive.google.com/thumbnail?id=1cGFZl0t3lci1ilX5gjjOKnRFdDklY_8G&amp;sz=w1000</v>
      </c>
      <c r="AH50" s="77" t="s">
        <v>400</v>
      </c>
    </row>
    <row r="51" spans="1:34" ht="22.15" customHeight="1">
      <c r="A51" s="12">
        <v>45516</v>
      </c>
      <c r="B51" s="17" t="s">
        <v>82</v>
      </c>
      <c r="C51" s="2" t="s">
        <v>85</v>
      </c>
      <c r="D51" s="16" t="str" cm="1">
        <f t="array" ref="D51">_xlfn.XLOOKUP(1, (Table1[Project Name]=Table2[[#This Row],[Project ID]])*(Table1[Plot]=Table2[[#This Row],[Plot]]), Table1[Project ID])</f>
        <v>MJ-03</v>
      </c>
      <c r="E51" s="43">
        <v>255</v>
      </c>
      <c r="F51" s="44">
        <v>343</v>
      </c>
      <c r="G51" s="43">
        <f>Table2[[#This Row],[Time Elapsed]]+Table2[[#This Row],[Time Remaining]]</f>
        <v>598</v>
      </c>
      <c r="H51" s="2" t="s">
        <v>314</v>
      </c>
      <c r="I51" s="2" t="s">
        <v>316</v>
      </c>
      <c r="J51" s="13">
        <v>0.40710000000000002</v>
      </c>
      <c r="K51" s="148">
        <v>0.17230000000000001</v>
      </c>
      <c r="L51" s="13">
        <f>Table2[[#This Row],[Actual %]]-Table2[[#This Row],[Plan %]]</f>
        <v>-0.23480000000000001</v>
      </c>
      <c r="M51" s="144" t="s">
        <v>331</v>
      </c>
      <c r="N51" s="12">
        <v>45379</v>
      </c>
      <c r="O51" s="12">
        <v>45512</v>
      </c>
      <c r="P51" s="12"/>
      <c r="Q51" s="12">
        <v>45520</v>
      </c>
      <c r="R51" s="2" t="s">
        <v>357</v>
      </c>
      <c r="S51" s="2" t="s">
        <v>358</v>
      </c>
      <c r="T51" s="149" t="s">
        <v>359</v>
      </c>
      <c r="U51" s="36"/>
      <c r="V51" s="36"/>
      <c r="W51" s="36">
        <f>Table2[[#This Row],[Construction Contract Amount]]+Table2[[#This Row],[Cumulative Variations]]</f>
        <v>0</v>
      </c>
      <c r="X51" s="36"/>
      <c r="Y51" s="36"/>
      <c r="Z51" s="36">
        <f>Table2[[#This Row],[Final Contract Value]]+Table2[[#This Row],[Supervision Contract amount]]+Table2[[#This Row],[Authority Cost]]</f>
        <v>0</v>
      </c>
      <c r="AA51" s="36"/>
      <c r="AB51" s="36"/>
      <c r="AC51" s="91" t="str">
        <f t="shared" si="0"/>
        <v>https://drive.google.com/thumbnail?id=1PN5QKrWfuLNLtg-y5ctP3wPnqv2s1Rlm&amp;sz=w1000</v>
      </c>
      <c r="AD51" s="77" t="s">
        <v>398</v>
      </c>
      <c r="AE51" s="74" t="str">
        <f t="shared" si="1"/>
        <v>https://drive.google.com/thumbnail?id=1Xv5IhBhdmlrvaY32k_gxD4v2dwCxj2S0&amp;sz=w1000</v>
      </c>
      <c r="AF51" s="77" t="s">
        <v>399</v>
      </c>
      <c r="AG51" s="73" t="str">
        <f t="shared" si="2"/>
        <v>https://drive.google.com/thumbnail?id=1cGFZl0t3lci1ilX5gjjOKnRFdDklY_8G&amp;sz=w1000</v>
      </c>
      <c r="AH51" s="77" t="s">
        <v>400</v>
      </c>
    </row>
    <row r="52" spans="1:34" ht="22.15" customHeight="1">
      <c r="A52" s="12">
        <v>45516</v>
      </c>
      <c r="B52" s="17" t="s">
        <v>82</v>
      </c>
      <c r="C52" s="2" t="s">
        <v>85</v>
      </c>
      <c r="D52" s="16" t="str" cm="1">
        <f t="array" ref="D52">_xlfn.XLOOKUP(1, (Table1[Project Name]=Table2[[#This Row],[Project ID]])*(Table1[Plot]=Table2[[#This Row],[Plot]]), Table1[Project ID])</f>
        <v>MJ-03</v>
      </c>
      <c r="E52" s="43">
        <v>255</v>
      </c>
      <c r="F52" s="44">
        <v>343</v>
      </c>
      <c r="G52" s="43">
        <f>Table2[[#This Row],[Time Elapsed]]+Table2[[#This Row],[Time Remaining]]</f>
        <v>598</v>
      </c>
      <c r="H52" s="2" t="s">
        <v>314</v>
      </c>
      <c r="I52" s="2" t="s">
        <v>316</v>
      </c>
      <c r="J52" s="13">
        <v>0.40710000000000002</v>
      </c>
      <c r="K52" s="148">
        <v>0.17230000000000001</v>
      </c>
      <c r="L52" s="13">
        <f>Table2[[#This Row],[Actual %]]-Table2[[#This Row],[Plan %]]</f>
        <v>-0.23480000000000001</v>
      </c>
      <c r="M52" s="144" t="s">
        <v>332</v>
      </c>
      <c r="N52" s="12">
        <v>45517</v>
      </c>
      <c r="O52" s="12"/>
      <c r="P52" s="12">
        <v>45570</v>
      </c>
      <c r="Q52" s="12">
        <v>45520</v>
      </c>
      <c r="R52" s="2" t="s">
        <v>357</v>
      </c>
      <c r="S52" s="2" t="s">
        <v>358</v>
      </c>
      <c r="T52" s="149" t="s">
        <v>359</v>
      </c>
      <c r="U52" s="36"/>
      <c r="V52" s="36"/>
      <c r="W52" s="36">
        <f>Table2[[#This Row],[Construction Contract Amount]]+Table2[[#This Row],[Cumulative Variations]]</f>
        <v>0</v>
      </c>
      <c r="X52" s="36"/>
      <c r="Y52" s="36"/>
      <c r="Z52" s="36">
        <f>Table2[[#This Row],[Final Contract Value]]+Table2[[#This Row],[Supervision Contract amount]]+Table2[[#This Row],[Authority Cost]]</f>
        <v>0</v>
      </c>
      <c r="AA52" s="36"/>
      <c r="AB52" s="36"/>
      <c r="AC52" s="91" t="str">
        <f t="shared" si="0"/>
        <v>https://drive.google.com/thumbnail?id=1PN5QKrWfuLNLtg-y5ctP3wPnqv2s1Rlm&amp;sz=w1000</v>
      </c>
      <c r="AD52" s="77" t="s">
        <v>398</v>
      </c>
      <c r="AE52" s="74" t="str">
        <f t="shared" si="1"/>
        <v>https://drive.google.com/thumbnail?id=1Xv5IhBhdmlrvaY32k_gxD4v2dwCxj2S0&amp;sz=w1000</v>
      </c>
      <c r="AF52" s="77" t="s">
        <v>399</v>
      </c>
      <c r="AG52" s="73" t="str">
        <f t="shared" si="2"/>
        <v>https://drive.google.com/thumbnail?id=1cGFZl0t3lci1ilX5gjjOKnRFdDklY_8G&amp;sz=w1000</v>
      </c>
      <c r="AH52" s="77" t="s">
        <v>400</v>
      </c>
    </row>
    <row r="53" spans="1:34" ht="22.15" customHeight="1">
      <c r="A53" s="12">
        <v>45516</v>
      </c>
      <c r="B53" s="17" t="s">
        <v>82</v>
      </c>
      <c r="C53" s="2" t="s">
        <v>85</v>
      </c>
      <c r="D53" s="16" t="str" cm="1">
        <f t="array" ref="D53">_xlfn.XLOOKUP(1, (Table1[Project Name]=Table2[[#This Row],[Project ID]])*(Table1[Plot]=Table2[[#This Row],[Plot]]), Table1[Project ID])</f>
        <v>MJ-03</v>
      </c>
      <c r="E53" s="43">
        <v>255</v>
      </c>
      <c r="F53" s="44">
        <v>343</v>
      </c>
      <c r="G53" s="43">
        <f>Table2[[#This Row],[Time Elapsed]]+Table2[[#This Row],[Time Remaining]]</f>
        <v>598</v>
      </c>
      <c r="H53" s="2" t="s">
        <v>314</v>
      </c>
      <c r="I53" s="2" t="s">
        <v>316</v>
      </c>
      <c r="J53" s="13">
        <v>0.40710000000000002</v>
      </c>
      <c r="K53" s="148">
        <v>0.17230000000000001</v>
      </c>
      <c r="L53" s="13">
        <f>Table2[[#This Row],[Actual %]]-Table2[[#This Row],[Plan %]]</f>
        <v>-0.23480000000000001</v>
      </c>
      <c r="M53" s="144" t="s">
        <v>333</v>
      </c>
      <c r="N53" s="12">
        <v>45857</v>
      </c>
      <c r="O53" s="12"/>
      <c r="P53" s="12">
        <v>46011</v>
      </c>
      <c r="Q53" s="12">
        <v>45520</v>
      </c>
      <c r="R53" s="2" t="s">
        <v>357</v>
      </c>
      <c r="S53" s="2" t="s">
        <v>358</v>
      </c>
      <c r="T53" s="149" t="s">
        <v>359</v>
      </c>
      <c r="U53" s="36"/>
      <c r="V53" s="36"/>
      <c r="W53" s="36">
        <f>Table2[[#This Row],[Construction Contract Amount]]+Table2[[#This Row],[Cumulative Variations]]</f>
        <v>0</v>
      </c>
      <c r="X53" s="36"/>
      <c r="Y53" s="36"/>
      <c r="Z53" s="36">
        <f>Table2[[#This Row],[Final Contract Value]]+Table2[[#This Row],[Supervision Contract amount]]+Table2[[#This Row],[Authority Cost]]</f>
        <v>0</v>
      </c>
      <c r="AA53" s="36"/>
      <c r="AB53" s="36"/>
      <c r="AC53" s="91" t="str">
        <f t="shared" si="0"/>
        <v>https://drive.google.com/thumbnail?id=1PN5QKrWfuLNLtg-y5ctP3wPnqv2s1Rlm&amp;sz=w1000</v>
      </c>
      <c r="AD53" s="77" t="s">
        <v>398</v>
      </c>
      <c r="AE53" s="74" t="str">
        <f t="shared" si="1"/>
        <v>https://drive.google.com/thumbnail?id=1Xv5IhBhdmlrvaY32k_gxD4v2dwCxj2S0&amp;sz=w1000</v>
      </c>
      <c r="AF53" s="77" t="s">
        <v>399</v>
      </c>
      <c r="AG53" s="73" t="str">
        <f t="shared" si="2"/>
        <v>https://drive.google.com/thumbnail?id=1cGFZl0t3lci1ilX5gjjOKnRFdDklY_8G&amp;sz=w1000</v>
      </c>
      <c r="AH53" s="77" t="s">
        <v>400</v>
      </c>
    </row>
    <row r="54" spans="1:34" ht="22.15" customHeight="1">
      <c r="A54" s="12">
        <v>45516</v>
      </c>
      <c r="B54" s="17" t="s">
        <v>82</v>
      </c>
      <c r="C54" s="2" t="s">
        <v>85</v>
      </c>
      <c r="D54" s="16" t="str" cm="1">
        <f t="array" ref="D54">_xlfn.XLOOKUP(1, (Table1[Project Name]=Table2[[#This Row],[Project ID]])*(Table1[Plot]=Table2[[#This Row],[Plot]]), Table1[Project ID])</f>
        <v>MJ-03</v>
      </c>
      <c r="E54" s="43">
        <v>255</v>
      </c>
      <c r="F54" s="44">
        <v>343</v>
      </c>
      <c r="G54" s="43">
        <f>Table2[[#This Row],[Time Elapsed]]+Table2[[#This Row],[Time Remaining]]</f>
        <v>598</v>
      </c>
      <c r="H54" s="2" t="s">
        <v>314</v>
      </c>
      <c r="I54" s="2" t="s">
        <v>316</v>
      </c>
      <c r="J54" s="13">
        <v>0.40710000000000002</v>
      </c>
      <c r="K54" s="148">
        <v>0.17230000000000001</v>
      </c>
      <c r="L54" s="13">
        <f>Table2[[#This Row],[Actual %]]-Table2[[#This Row],[Plan %]]</f>
        <v>-0.23480000000000001</v>
      </c>
      <c r="M54" s="144" t="s">
        <v>334</v>
      </c>
      <c r="N54" s="12">
        <v>45862</v>
      </c>
      <c r="O54" s="12"/>
      <c r="P54" s="12">
        <v>46015</v>
      </c>
      <c r="Q54" s="12">
        <v>45520</v>
      </c>
      <c r="R54" s="2" t="s">
        <v>357</v>
      </c>
      <c r="S54" s="2" t="s">
        <v>358</v>
      </c>
      <c r="T54" s="149" t="s">
        <v>359</v>
      </c>
      <c r="U54" s="36"/>
      <c r="V54" s="36"/>
      <c r="W54" s="36">
        <f>Table2[[#This Row],[Construction Contract Amount]]+Table2[[#This Row],[Cumulative Variations]]</f>
        <v>0</v>
      </c>
      <c r="X54" s="36"/>
      <c r="Y54" s="36"/>
      <c r="Z54" s="36">
        <f>Table2[[#This Row],[Final Contract Value]]+Table2[[#This Row],[Supervision Contract amount]]+Table2[[#This Row],[Authority Cost]]</f>
        <v>0</v>
      </c>
      <c r="AA54" s="36"/>
      <c r="AB54" s="36"/>
      <c r="AC54" s="91" t="str">
        <f t="shared" si="0"/>
        <v>https://drive.google.com/thumbnail?id=1PN5QKrWfuLNLtg-y5ctP3wPnqv2s1Rlm&amp;sz=w1000</v>
      </c>
      <c r="AD54" s="77" t="s">
        <v>398</v>
      </c>
      <c r="AE54" s="74" t="str">
        <f t="shared" si="1"/>
        <v>https://drive.google.com/thumbnail?id=1Xv5IhBhdmlrvaY32k_gxD4v2dwCxj2S0&amp;sz=w1000</v>
      </c>
      <c r="AF54" s="77" t="s">
        <v>399</v>
      </c>
      <c r="AG54" s="73" t="str">
        <f t="shared" si="2"/>
        <v>https://drive.google.com/thumbnail?id=1cGFZl0t3lci1ilX5gjjOKnRFdDklY_8G&amp;sz=w1000</v>
      </c>
      <c r="AH54" s="77" t="s">
        <v>400</v>
      </c>
    </row>
    <row r="55" spans="1:34" ht="22.15" customHeight="1">
      <c r="A55" s="12">
        <v>45516</v>
      </c>
      <c r="B55" s="17" t="s">
        <v>82</v>
      </c>
      <c r="C55" s="2" t="s">
        <v>85</v>
      </c>
      <c r="D55" s="16" t="str" cm="1">
        <f t="array" ref="D55">_xlfn.XLOOKUP(1, (Table1[Project Name]=Table2[[#This Row],[Project ID]])*(Table1[Plot]=Table2[[#This Row],[Plot]]), Table1[Project ID])</f>
        <v>MJ-03</v>
      </c>
      <c r="E55" s="43">
        <v>255</v>
      </c>
      <c r="F55" s="44">
        <v>343</v>
      </c>
      <c r="G55" s="43">
        <f>Table2[[#This Row],[Time Elapsed]]+Table2[[#This Row],[Time Remaining]]</f>
        <v>598</v>
      </c>
      <c r="H55" s="2" t="s">
        <v>314</v>
      </c>
      <c r="I55" s="2" t="s">
        <v>316</v>
      </c>
      <c r="J55" s="13">
        <v>0.40710000000000002</v>
      </c>
      <c r="K55" s="148">
        <v>0.17230000000000001</v>
      </c>
      <c r="L55" s="13">
        <f>Table2[[#This Row],[Actual %]]-Table2[[#This Row],[Plan %]]</f>
        <v>-0.23480000000000001</v>
      </c>
      <c r="M55" s="144" t="s">
        <v>284</v>
      </c>
      <c r="N55" s="12">
        <v>45857</v>
      </c>
      <c r="O55" s="12"/>
      <c r="P55" s="12">
        <v>46001</v>
      </c>
      <c r="Q55" s="12">
        <v>45520</v>
      </c>
      <c r="R55" s="2" t="s">
        <v>357</v>
      </c>
      <c r="S55" s="2" t="s">
        <v>358</v>
      </c>
      <c r="T55" s="149" t="s">
        <v>359</v>
      </c>
      <c r="U55" s="36"/>
      <c r="V55" s="36"/>
      <c r="W55" s="36">
        <f>Table2[[#This Row],[Construction Contract Amount]]+Table2[[#This Row],[Cumulative Variations]]</f>
        <v>0</v>
      </c>
      <c r="X55" s="36"/>
      <c r="Y55" s="36"/>
      <c r="Z55" s="36">
        <f>Table2[[#This Row],[Final Contract Value]]+Table2[[#This Row],[Supervision Contract amount]]+Table2[[#This Row],[Authority Cost]]</f>
        <v>0</v>
      </c>
      <c r="AA55" s="36"/>
      <c r="AB55" s="36"/>
      <c r="AC55" s="91" t="str">
        <f t="shared" si="0"/>
        <v>https://drive.google.com/thumbnail?id=1PN5QKrWfuLNLtg-y5ctP3wPnqv2s1Rlm&amp;sz=w1000</v>
      </c>
      <c r="AD55" s="77" t="s">
        <v>398</v>
      </c>
      <c r="AE55" s="74" t="str">
        <f t="shared" si="1"/>
        <v>https://drive.google.com/thumbnail?id=1Xv5IhBhdmlrvaY32k_gxD4v2dwCxj2S0&amp;sz=w1000</v>
      </c>
      <c r="AF55" s="77" t="s">
        <v>399</v>
      </c>
      <c r="AG55" s="73" t="str">
        <f t="shared" si="2"/>
        <v>https://drive.google.com/thumbnail?id=1cGFZl0t3lci1ilX5gjjOKnRFdDklY_8G&amp;sz=w1000</v>
      </c>
      <c r="AH55" s="77" t="s">
        <v>400</v>
      </c>
    </row>
    <row r="56" spans="1:34" ht="22.15" customHeight="1">
      <c r="A56" s="12">
        <v>45516</v>
      </c>
      <c r="B56" s="17" t="s">
        <v>82</v>
      </c>
      <c r="C56" s="2" t="s">
        <v>85</v>
      </c>
      <c r="D56" s="16" t="str" cm="1">
        <f t="array" ref="D56">_xlfn.XLOOKUP(1, (Table1[Project Name]=Table2[[#This Row],[Project ID]])*(Table1[Plot]=Table2[[#This Row],[Plot]]), Table1[Project ID])</f>
        <v>MJ-03</v>
      </c>
      <c r="E56" s="43">
        <v>255</v>
      </c>
      <c r="F56" s="44">
        <v>343</v>
      </c>
      <c r="G56" s="43">
        <f>Table2[[#This Row],[Time Elapsed]]+Table2[[#This Row],[Time Remaining]]</f>
        <v>598</v>
      </c>
      <c r="H56" s="2" t="s">
        <v>314</v>
      </c>
      <c r="I56" s="2" t="s">
        <v>316</v>
      </c>
      <c r="J56" s="13">
        <v>0.40710000000000002</v>
      </c>
      <c r="K56" s="148">
        <v>0.17230000000000001</v>
      </c>
      <c r="L56" s="13">
        <f>Table2[[#This Row],[Actual %]]-Table2[[#This Row],[Plan %]]</f>
        <v>-0.23480000000000001</v>
      </c>
      <c r="M56" s="144" t="s">
        <v>335</v>
      </c>
      <c r="N56" s="12">
        <v>45857</v>
      </c>
      <c r="O56" s="12"/>
      <c r="P56" s="12">
        <v>45853</v>
      </c>
      <c r="Q56" s="12">
        <v>45520</v>
      </c>
      <c r="R56" s="2" t="s">
        <v>357</v>
      </c>
      <c r="S56" s="2" t="s">
        <v>358</v>
      </c>
      <c r="T56" s="149" t="s">
        <v>359</v>
      </c>
      <c r="U56" s="36"/>
      <c r="V56" s="36"/>
      <c r="W56" s="36">
        <f>Table2[[#This Row],[Construction Contract Amount]]+Table2[[#This Row],[Cumulative Variations]]</f>
        <v>0</v>
      </c>
      <c r="X56" s="36"/>
      <c r="Y56" s="36"/>
      <c r="Z56" s="36">
        <f>Table2[[#This Row],[Final Contract Value]]+Table2[[#This Row],[Supervision Contract amount]]+Table2[[#This Row],[Authority Cost]]</f>
        <v>0</v>
      </c>
      <c r="AA56" s="36"/>
      <c r="AB56" s="36"/>
      <c r="AC56" s="91" t="str">
        <f t="shared" si="0"/>
        <v>https://drive.google.com/thumbnail?id=1PN5QKrWfuLNLtg-y5ctP3wPnqv2s1Rlm&amp;sz=w1000</v>
      </c>
      <c r="AD56" s="77" t="s">
        <v>398</v>
      </c>
      <c r="AE56" s="74" t="str">
        <f t="shared" si="1"/>
        <v>https://drive.google.com/thumbnail?id=1Xv5IhBhdmlrvaY32k_gxD4v2dwCxj2S0&amp;sz=w1000</v>
      </c>
      <c r="AF56" s="77" t="s">
        <v>399</v>
      </c>
      <c r="AG56" s="73" t="str">
        <f t="shared" si="2"/>
        <v>https://drive.google.com/thumbnail?id=1cGFZl0t3lci1ilX5gjjOKnRFdDklY_8G&amp;sz=w1000</v>
      </c>
      <c r="AH56" s="77" t="s">
        <v>400</v>
      </c>
    </row>
    <row r="57" spans="1:34" ht="22.15" customHeight="1">
      <c r="A57" s="12">
        <v>45516</v>
      </c>
      <c r="B57" s="17" t="s">
        <v>82</v>
      </c>
      <c r="C57" s="2" t="s">
        <v>85</v>
      </c>
      <c r="D57" s="16" t="str" cm="1">
        <f t="array" ref="D57">_xlfn.XLOOKUP(1, (Table1[Project Name]=Table2[[#This Row],[Project ID]])*(Table1[Plot]=Table2[[#This Row],[Plot]]), Table1[Project ID])</f>
        <v>MJ-03</v>
      </c>
      <c r="E57" s="43">
        <v>255</v>
      </c>
      <c r="F57" s="44">
        <v>343</v>
      </c>
      <c r="G57" s="43">
        <f>Table2[[#This Row],[Time Elapsed]]+Table2[[#This Row],[Time Remaining]]</f>
        <v>598</v>
      </c>
      <c r="H57" s="2" t="s">
        <v>314</v>
      </c>
      <c r="I57" s="2" t="s">
        <v>316</v>
      </c>
      <c r="J57" s="13">
        <v>0.40710000000000002</v>
      </c>
      <c r="K57" s="148">
        <v>0.17230000000000001</v>
      </c>
      <c r="L57" s="13">
        <f>Table2[[#This Row],[Actual %]]-Table2[[#This Row],[Plan %]]</f>
        <v>-0.23480000000000001</v>
      </c>
      <c r="M57" s="144" t="s">
        <v>336</v>
      </c>
      <c r="N57" s="12">
        <v>45855</v>
      </c>
      <c r="O57" s="12"/>
      <c r="P57" s="12">
        <v>46001</v>
      </c>
      <c r="Q57" s="12">
        <v>45520</v>
      </c>
      <c r="R57" s="2" t="s">
        <v>357</v>
      </c>
      <c r="S57" s="2" t="s">
        <v>358</v>
      </c>
      <c r="T57" s="149" t="s">
        <v>359</v>
      </c>
      <c r="U57" s="36"/>
      <c r="V57" s="36"/>
      <c r="W57" s="36">
        <f>Table2[[#This Row],[Construction Contract Amount]]+Table2[[#This Row],[Cumulative Variations]]</f>
        <v>0</v>
      </c>
      <c r="X57" s="36"/>
      <c r="Y57" s="36"/>
      <c r="Z57" s="36">
        <f>Table2[[#This Row],[Final Contract Value]]+Table2[[#This Row],[Supervision Contract amount]]+Table2[[#This Row],[Authority Cost]]</f>
        <v>0</v>
      </c>
      <c r="AA57" s="36"/>
      <c r="AB57" s="36"/>
      <c r="AC57" s="91" t="str">
        <f t="shared" si="0"/>
        <v>https://drive.google.com/thumbnail?id=1PN5QKrWfuLNLtg-y5ctP3wPnqv2s1Rlm&amp;sz=w1000</v>
      </c>
      <c r="AD57" s="77" t="s">
        <v>398</v>
      </c>
      <c r="AE57" s="74" t="str">
        <f t="shared" si="1"/>
        <v>https://drive.google.com/thumbnail?id=1Xv5IhBhdmlrvaY32k_gxD4v2dwCxj2S0&amp;sz=w1000</v>
      </c>
      <c r="AF57" s="77" t="s">
        <v>399</v>
      </c>
      <c r="AG57" s="73" t="str">
        <f t="shared" si="2"/>
        <v>https://drive.google.com/thumbnail?id=1cGFZl0t3lci1ilX5gjjOKnRFdDklY_8G&amp;sz=w1000</v>
      </c>
      <c r="AH57" s="77" t="s">
        <v>400</v>
      </c>
    </row>
    <row r="58" spans="1:34" ht="22.15" customHeight="1">
      <c r="A58" s="12">
        <v>45516</v>
      </c>
      <c r="B58" s="17" t="s">
        <v>82</v>
      </c>
      <c r="C58" s="2" t="s">
        <v>85</v>
      </c>
      <c r="D58" s="16" t="str" cm="1">
        <f t="array" ref="D58">_xlfn.XLOOKUP(1, (Table1[Project Name]=Table2[[#This Row],[Project ID]])*(Table1[Plot]=Table2[[#This Row],[Plot]]), Table1[Project ID])</f>
        <v>MJ-03</v>
      </c>
      <c r="E58" s="43">
        <v>255</v>
      </c>
      <c r="F58" s="44">
        <v>343</v>
      </c>
      <c r="G58" s="43">
        <f>Table2[[#This Row],[Time Elapsed]]+Table2[[#This Row],[Time Remaining]]</f>
        <v>598</v>
      </c>
      <c r="H58" s="2" t="s">
        <v>314</v>
      </c>
      <c r="I58" s="2" t="s">
        <v>316</v>
      </c>
      <c r="J58" s="13">
        <v>0.40710000000000002</v>
      </c>
      <c r="K58" s="148">
        <v>0.17230000000000001</v>
      </c>
      <c r="L58" s="13">
        <f>Table2[[#This Row],[Actual %]]-Table2[[#This Row],[Plan %]]</f>
        <v>-0.23480000000000001</v>
      </c>
      <c r="M58" s="144" t="s">
        <v>337</v>
      </c>
      <c r="N58" s="12">
        <v>45862</v>
      </c>
      <c r="O58" s="12"/>
      <c r="P58" s="12">
        <v>46011</v>
      </c>
      <c r="Q58" s="12">
        <v>45520</v>
      </c>
      <c r="R58" s="2" t="s">
        <v>357</v>
      </c>
      <c r="S58" s="2" t="s">
        <v>358</v>
      </c>
      <c r="T58" s="149" t="s">
        <v>359</v>
      </c>
      <c r="U58" s="36"/>
      <c r="V58" s="36"/>
      <c r="W58" s="36">
        <f>Table2[[#This Row],[Construction Contract Amount]]+Table2[[#This Row],[Cumulative Variations]]</f>
        <v>0</v>
      </c>
      <c r="X58" s="36"/>
      <c r="Y58" s="36"/>
      <c r="Z58" s="36">
        <f>Table2[[#This Row],[Final Contract Value]]+Table2[[#This Row],[Supervision Contract amount]]+Table2[[#This Row],[Authority Cost]]</f>
        <v>0</v>
      </c>
      <c r="AA58" s="36"/>
      <c r="AB58" s="36"/>
      <c r="AC58" s="91" t="str">
        <f t="shared" si="0"/>
        <v>https://drive.google.com/thumbnail?id=1PN5QKrWfuLNLtg-y5ctP3wPnqv2s1Rlm&amp;sz=w1000</v>
      </c>
      <c r="AD58" s="77" t="s">
        <v>398</v>
      </c>
      <c r="AE58" s="74" t="str">
        <f t="shared" si="1"/>
        <v>https://drive.google.com/thumbnail?id=1Xv5IhBhdmlrvaY32k_gxD4v2dwCxj2S0&amp;sz=w1000</v>
      </c>
      <c r="AF58" s="77" t="s">
        <v>399</v>
      </c>
      <c r="AG58" s="73" t="str">
        <f t="shared" si="2"/>
        <v>https://drive.google.com/thumbnail?id=1cGFZl0t3lci1ilX5gjjOKnRFdDklY_8G&amp;sz=w1000</v>
      </c>
      <c r="AH58" s="77" t="s">
        <v>400</v>
      </c>
    </row>
    <row r="59" spans="1:34" ht="22.15" customHeight="1">
      <c r="A59" s="12">
        <v>45516</v>
      </c>
      <c r="B59" s="17" t="s">
        <v>82</v>
      </c>
      <c r="C59" s="2" t="s">
        <v>85</v>
      </c>
      <c r="D59" s="16" t="str" cm="1">
        <f t="array" ref="D59">_xlfn.XLOOKUP(1, (Table1[Project Name]=Table2[[#This Row],[Project ID]])*(Table1[Plot]=Table2[[#This Row],[Plot]]), Table1[Project ID])</f>
        <v>MJ-03</v>
      </c>
      <c r="E59" s="43">
        <v>255</v>
      </c>
      <c r="F59" s="44">
        <v>343</v>
      </c>
      <c r="G59" s="43">
        <f>Table2[[#This Row],[Time Elapsed]]+Table2[[#This Row],[Time Remaining]]</f>
        <v>598</v>
      </c>
      <c r="H59" s="2" t="s">
        <v>314</v>
      </c>
      <c r="I59" s="2" t="s">
        <v>316</v>
      </c>
      <c r="J59" s="13">
        <v>0.40710000000000002</v>
      </c>
      <c r="K59" s="148">
        <v>0.17230000000000001</v>
      </c>
      <c r="L59" s="13">
        <f>Table2[[#This Row],[Actual %]]-Table2[[#This Row],[Plan %]]</f>
        <v>-0.23480000000000001</v>
      </c>
      <c r="M59" s="144" t="s">
        <v>296</v>
      </c>
      <c r="N59" s="12">
        <v>45862</v>
      </c>
      <c r="O59" s="12"/>
      <c r="P59" s="12">
        <v>46015</v>
      </c>
      <c r="Q59" s="12">
        <v>45520</v>
      </c>
      <c r="R59" s="2" t="s">
        <v>357</v>
      </c>
      <c r="S59" s="2" t="s">
        <v>358</v>
      </c>
      <c r="T59" s="149" t="s">
        <v>359</v>
      </c>
      <c r="U59" s="36"/>
      <c r="V59" s="36"/>
      <c r="W59" s="36">
        <f>Table2[[#This Row],[Construction Contract Amount]]+Table2[[#This Row],[Cumulative Variations]]</f>
        <v>0</v>
      </c>
      <c r="X59" s="36"/>
      <c r="Y59" s="36"/>
      <c r="Z59" s="36">
        <f>Table2[[#This Row],[Final Contract Value]]+Table2[[#This Row],[Supervision Contract amount]]+Table2[[#This Row],[Authority Cost]]</f>
        <v>0</v>
      </c>
      <c r="AA59" s="36"/>
      <c r="AB59" s="36"/>
      <c r="AC59" s="91" t="str">
        <f t="shared" si="0"/>
        <v>https://drive.google.com/thumbnail?id=1PN5QKrWfuLNLtg-y5ctP3wPnqv2s1Rlm&amp;sz=w1000</v>
      </c>
      <c r="AD59" s="77" t="s">
        <v>398</v>
      </c>
      <c r="AE59" s="74" t="str">
        <f t="shared" si="1"/>
        <v>https://drive.google.com/thumbnail?id=1Xv5IhBhdmlrvaY32k_gxD4v2dwCxj2S0&amp;sz=w1000</v>
      </c>
      <c r="AF59" s="77" t="s">
        <v>399</v>
      </c>
      <c r="AG59" s="73" t="str">
        <f t="shared" si="2"/>
        <v>https://drive.google.com/thumbnail?id=1cGFZl0t3lci1ilX5gjjOKnRFdDklY_8G&amp;sz=w1000</v>
      </c>
      <c r="AH59" s="77" t="s">
        <v>400</v>
      </c>
    </row>
    <row r="60" spans="1:34" ht="22.15" customHeight="1">
      <c r="A60" s="12">
        <v>45516</v>
      </c>
      <c r="B60" s="24" t="s">
        <v>87</v>
      </c>
      <c r="C60" s="2" t="s">
        <v>11</v>
      </c>
      <c r="D60" s="16" t="str" cm="1">
        <f t="array" ref="D60">_xlfn.XLOOKUP(1, (Table1[Project Name]=Table2[[#This Row],[Project ID]])*(Table1[Plot]=Table2[[#This Row],[Plot]]), Table1[Project ID])</f>
        <v>MJ-06</v>
      </c>
      <c r="E60" s="45">
        <v>89</v>
      </c>
      <c r="F60" s="46">
        <v>521</v>
      </c>
      <c r="G60" s="45">
        <f>Table2[[#This Row],[Time Elapsed]]+Table2[[#This Row],[Time Remaining]]</f>
        <v>610</v>
      </c>
      <c r="H60" s="2" t="s">
        <v>317</v>
      </c>
      <c r="I60" s="2" t="s">
        <v>318</v>
      </c>
      <c r="J60" s="13">
        <v>3.15E-2</v>
      </c>
      <c r="K60" s="148">
        <v>1.9599999999999999E-2</v>
      </c>
      <c r="L60" s="13">
        <f>Table2[[#This Row],[Actual %]]-Table2[[#This Row],[Plan %]]</f>
        <v>-1.1900000000000001E-2</v>
      </c>
      <c r="M60" s="144" t="s">
        <v>285</v>
      </c>
      <c r="N60" s="12">
        <v>45427</v>
      </c>
      <c r="O60" s="12">
        <v>45427</v>
      </c>
      <c r="P60" s="12"/>
      <c r="Q60" s="12">
        <v>45520</v>
      </c>
      <c r="R60" s="2" t="s">
        <v>286</v>
      </c>
      <c r="S60" s="2" t="s">
        <v>360</v>
      </c>
      <c r="T60" s="149" t="s">
        <v>361</v>
      </c>
      <c r="U60" s="36"/>
      <c r="V60" s="36"/>
      <c r="W60" s="36">
        <f>Table2[[#This Row],[Construction Contract Amount]]+Table2[[#This Row],[Cumulative Variations]]</f>
        <v>0</v>
      </c>
      <c r="X60" s="36"/>
      <c r="Y60" s="36"/>
      <c r="Z60" s="36">
        <f>Table2[[#This Row],[Final Contract Value]]+Table2[[#This Row],[Supervision Contract amount]]+Table2[[#This Row],[Authority Cost]]</f>
        <v>0</v>
      </c>
      <c r="AA60" s="36"/>
      <c r="AB60" s="36"/>
      <c r="AC60" s="91" t="str">
        <f t="shared" si="0"/>
        <v>https://drive.google.com/thumbnail?id=19ZTyE2xeT2sZ01YGBhW0hDNK1zkOgzov&amp;sz=w1000</v>
      </c>
      <c r="AD60" s="78" t="s">
        <v>401</v>
      </c>
      <c r="AE60" s="74" t="str">
        <f t="shared" si="1"/>
        <v>https://drive.google.com/thumbnail?id=1Jq87qjyP8CX6GzfZ6UTJqN8h3tUDVJ4L&amp;sz=w1000</v>
      </c>
      <c r="AF60" s="78" t="s">
        <v>402</v>
      </c>
      <c r="AG60" s="73" t="str">
        <f t="shared" si="2"/>
        <v>https://drive.google.com/thumbnail?id=11ckN00HUeGC8mZ4NTbuNo3XBAKRafCzJ&amp;sz=w1000</v>
      </c>
      <c r="AH60" s="78" t="s">
        <v>403</v>
      </c>
    </row>
    <row r="61" spans="1:34" ht="22.15" customHeight="1">
      <c r="A61" s="12">
        <v>45516</v>
      </c>
      <c r="B61" s="24" t="s">
        <v>87</v>
      </c>
      <c r="C61" s="2" t="s">
        <v>11</v>
      </c>
      <c r="D61" s="16" t="str" cm="1">
        <f t="array" ref="D61">_xlfn.XLOOKUP(1, (Table1[Project Name]=Table2[[#This Row],[Project ID]])*(Table1[Plot]=Table2[[#This Row],[Plot]]), Table1[Project ID])</f>
        <v>MJ-06</v>
      </c>
      <c r="E61" s="45">
        <v>89</v>
      </c>
      <c r="F61" s="46">
        <v>521</v>
      </c>
      <c r="G61" s="45">
        <f>Table2[[#This Row],[Time Elapsed]]+Table2[[#This Row],[Time Remaining]]</f>
        <v>610</v>
      </c>
      <c r="H61" s="2" t="s">
        <v>317</v>
      </c>
      <c r="I61" s="2" t="s">
        <v>318</v>
      </c>
      <c r="J61" s="13">
        <v>3.15E-2</v>
      </c>
      <c r="K61" s="148">
        <v>1.9599999999999999E-2</v>
      </c>
      <c r="L61" s="13">
        <f>Table2[[#This Row],[Actual %]]-Table2[[#This Row],[Plan %]]</f>
        <v>-1.1900000000000001E-2</v>
      </c>
      <c r="M61" s="144" t="s">
        <v>338</v>
      </c>
      <c r="N61" s="12">
        <v>45433</v>
      </c>
      <c r="O61" s="12">
        <v>45433</v>
      </c>
      <c r="P61" s="12"/>
      <c r="Q61" s="12">
        <v>45520</v>
      </c>
      <c r="R61" s="2" t="s">
        <v>286</v>
      </c>
      <c r="S61" s="2" t="s">
        <v>360</v>
      </c>
      <c r="T61" s="149" t="s">
        <v>361</v>
      </c>
      <c r="U61" s="36"/>
      <c r="V61" s="36"/>
      <c r="W61" s="36">
        <f>Table2[[#This Row],[Construction Contract Amount]]+Table2[[#This Row],[Cumulative Variations]]</f>
        <v>0</v>
      </c>
      <c r="X61" s="36"/>
      <c r="Y61" s="36"/>
      <c r="Z61" s="36">
        <f>Table2[[#This Row],[Final Contract Value]]+Table2[[#This Row],[Supervision Contract amount]]+Table2[[#This Row],[Authority Cost]]</f>
        <v>0</v>
      </c>
      <c r="AA61" s="36"/>
      <c r="AB61" s="36"/>
      <c r="AC61" s="91" t="str">
        <f t="shared" si="0"/>
        <v>https://drive.google.com/thumbnail?id=19ZTyE2xeT2sZ01YGBhW0hDNK1zkOgzov&amp;sz=w1000</v>
      </c>
      <c r="AD61" s="78" t="s">
        <v>401</v>
      </c>
      <c r="AE61" s="74" t="str">
        <f t="shared" si="1"/>
        <v>https://drive.google.com/thumbnail?id=1Jq87qjyP8CX6GzfZ6UTJqN8h3tUDVJ4L&amp;sz=w1000</v>
      </c>
      <c r="AF61" s="78" t="s">
        <v>402</v>
      </c>
      <c r="AG61" s="73" t="str">
        <f t="shared" si="2"/>
        <v>https://drive.google.com/thumbnail?id=11ckN00HUeGC8mZ4NTbuNo3XBAKRafCzJ&amp;sz=w1000</v>
      </c>
      <c r="AH61" s="78" t="s">
        <v>403</v>
      </c>
    </row>
    <row r="62" spans="1:34" ht="22.15" customHeight="1">
      <c r="A62" s="12">
        <v>45516</v>
      </c>
      <c r="B62" s="24" t="s">
        <v>87</v>
      </c>
      <c r="C62" s="2" t="s">
        <v>11</v>
      </c>
      <c r="D62" s="16" t="str" cm="1">
        <f t="array" ref="D62">_xlfn.XLOOKUP(1, (Table1[Project Name]=Table2[[#This Row],[Project ID]])*(Table1[Plot]=Table2[[#This Row],[Plot]]), Table1[Project ID])</f>
        <v>MJ-06</v>
      </c>
      <c r="E62" s="45">
        <v>89</v>
      </c>
      <c r="F62" s="46">
        <v>521</v>
      </c>
      <c r="G62" s="45">
        <f>Table2[[#This Row],[Time Elapsed]]+Table2[[#This Row],[Time Remaining]]</f>
        <v>610</v>
      </c>
      <c r="H62" s="2" t="s">
        <v>317</v>
      </c>
      <c r="I62" s="2" t="s">
        <v>318</v>
      </c>
      <c r="J62" s="13">
        <v>3.15E-2</v>
      </c>
      <c r="K62" s="148">
        <v>1.9599999999999999E-2</v>
      </c>
      <c r="L62" s="13">
        <f>Table2[[#This Row],[Actual %]]-Table2[[#This Row],[Plan %]]</f>
        <v>-1.1900000000000001E-2</v>
      </c>
      <c r="M62" s="144" t="s">
        <v>51</v>
      </c>
      <c r="N62" s="12">
        <v>45495</v>
      </c>
      <c r="O62" s="12">
        <v>45519</v>
      </c>
      <c r="P62" s="12"/>
      <c r="Q62" s="12">
        <v>45520</v>
      </c>
      <c r="R62" s="2" t="s">
        <v>286</v>
      </c>
      <c r="S62" s="2" t="s">
        <v>360</v>
      </c>
      <c r="T62" s="149" t="s">
        <v>361</v>
      </c>
      <c r="U62" s="36"/>
      <c r="V62" s="36"/>
      <c r="W62" s="36">
        <f>Table2[[#This Row],[Construction Contract Amount]]+Table2[[#This Row],[Cumulative Variations]]</f>
        <v>0</v>
      </c>
      <c r="X62" s="36"/>
      <c r="Y62" s="36"/>
      <c r="Z62" s="36">
        <f>Table2[[#This Row],[Final Contract Value]]+Table2[[#This Row],[Supervision Contract amount]]+Table2[[#This Row],[Authority Cost]]</f>
        <v>0</v>
      </c>
      <c r="AA62" s="36"/>
      <c r="AB62" s="36"/>
      <c r="AC62" s="91" t="str">
        <f t="shared" si="0"/>
        <v>https://drive.google.com/thumbnail?id=19ZTyE2xeT2sZ01YGBhW0hDNK1zkOgzov&amp;sz=w1000</v>
      </c>
      <c r="AD62" s="78" t="s">
        <v>401</v>
      </c>
      <c r="AE62" s="74" t="str">
        <f t="shared" si="1"/>
        <v>https://drive.google.com/thumbnail?id=1Jq87qjyP8CX6GzfZ6UTJqN8h3tUDVJ4L&amp;sz=w1000</v>
      </c>
      <c r="AF62" s="78" t="s">
        <v>402</v>
      </c>
      <c r="AG62" s="73" t="str">
        <f t="shared" si="2"/>
        <v>https://drive.google.com/thumbnail?id=11ckN00HUeGC8mZ4NTbuNo3XBAKRafCzJ&amp;sz=w1000</v>
      </c>
      <c r="AH62" s="78" t="s">
        <v>403</v>
      </c>
    </row>
    <row r="63" spans="1:34" ht="22.15" customHeight="1">
      <c r="A63" s="12">
        <v>45516</v>
      </c>
      <c r="B63" s="24" t="s">
        <v>87</v>
      </c>
      <c r="C63" s="2" t="s">
        <v>11</v>
      </c>
      <c r="D63" s="16" t="str" cm="1">
        <f t="array" ref="D63">_xlfn.XLOOKUP(1, (Table1[Project Name]=Table2[[#This Row],[Project ID]])*(Table1[Plot]=Table2[[#This Row],[Plot]]), Table1[Project ID])</f>
        <v>MJ-06</v>
      </c>
      <c r="E63" s="45">
        <v>89</v>
      </c>
      <c r="F63" s="46">
        <v>521</v>
      </c>
      <c r="G63" s="45">
        <f>Table2[[#This Row],[Time Elapsed]]+Table2[[#This Row],[Time Remaining]]</f>
        <v>610</v>
      </c>
      <c r="H63" s="2" t="s">
        <v>317</v>
      </c>
      <c r="I63" s="2" t="s">
        <v>318</v>
      </c>
      <c r="J63" s="13">
        <v>3.15E-2</v>
      </c>
      <c r="K63" s="148">
        <v>1.9599999999999999E-2</v>
      </c>
      <c r="L63" s="13">
        <f>Table2[[#This Row],[Actual %]]-Table2[[#This Row],[Plan %]]</f>
        <v>-1.1900000000000001E-2</v>
      </c>
      <c r="M63" s="144" t="s">
        <v>298</v>
      </c>
      <c r="N63" s="12">
        <v>45602</v>
      </c>
      <c r="O63" s="12"/>
      <c r="P63" s="12">
        <v>45628</v>
      </c>
      <c r="Q63" s="12">
        <v>45520</v>
      </c>
      <c r="R63" s="2" t="s">
        <v>286</v>
      </c>
      <c r="S63" s="2" t="s">
        <v>360</v>
      </c>
      <c r="T63" s="149" t="s">
        <v>361</v>
      </c>
      <c r="U63" s="36"/>
      <c r="V63" s="36"/>
      <c r="W63" s="36">
        <f>Table2[[#This Row],[Construction Contract Amount]]+Table2[[#This Row],[Cumulative Variations]]</f>
        <v>0</v>
      </c>
      <c r="X63" s="36"/>
      <c r="Y63" s="36"/>
      <c r="Z63" s="36">
        <f>Table2[[#This Row],[Final Contract Value]]+Table2[[#This Row],[Supervision Contract amount]]+Table2[[#This Row],[Authority Cost]]</f>
        <v>0</v>
      </c>
      <c r="AA63" s="36"/>
      <c r="AB63" s="36"/>
      <c r="AC63" s="91" t="str">
        <f t="shared" si="0"/>
        <v>https://drive.google.com/thumbnail?id=19ZTyE2xeT2sZ01YGBhW0hDNK1zkOgzov&amp;sz=w1000</v>
      </c>
      <c r="AD63" s="78" t="s">
        <v>401</v>
      </c>
      <c r="AE63" s="74" t="str">
        <f t="shared" si="1"/>
        <v>https://drive.google.com/thumbnail?id=1Jq87qjyP8CX6GzfZ6UTJqN8h3tUDVJ4L&amp;sz=w1000</v>
      </c>
      <c r="AF63" s="78" t="s">
        <v>402</v>
      </c>
      <c r="AG63" s="73" t="str">
        <f t="shared" si="2"/>
        <v>https://drive.google.com/thumbnail?id=11ckN00HUeGC8mZ4NTbuNo3XBAKRafCzJ&amp;sz=w1000</v>
      </c>
      <c r="AH63" s="78" t="s">
        <v>403</v>
      </c>
    </row>
    <row r="64" spans="1:34" ht="22.15" customHeight="1">
      <c r="A64" s="12">
        <v>45516</v>
      </c>
      <c r="B64" s="24" t="s">
        <v>87</v>
      </c>
      <c r="C64" s="2" t="s">
        <v>11</v>
      </c>
      <c r="D64" s="16" t="str" cm="1">
        <f t="array" ref="D64">_xlfn.XLOOKUP(1, (Table1[Project Name]=Table2[[#This Row],[Project ID]])*(Table1[Plot]=Table2[[#This Row],[Plot]]), Table1[Project ID])</f>
        <v>MJ-06</v>
      </c>
      <c r="E64" s="45">
        <v>89</v>
      </c>
      <c r="F64" s="46">
        <v>521</v>
      </c>
      <c r="G64" s="45">
        <f>Table2[[#This Row],[Time Elapsed]]+Table2[[#This Row],[Time Remaining]]</f>
        <v>610</v>
      </c>
      <c r="H64" s="2" t="s">
        <v>317</v>
      </c>
      <c r="I64" s="2" t="s">
        <v>318</v>
      </c>
      <c r="J64" s="13">
        <v>3.15E-2</v>
      </c>
      <c r="K64" s="148">
        <v>1.9599999999999999E-2</v>
      </c>
      <c r="L64" s="13">
        <f>Table2[[#This Row],[Actual %]]-Table2[[#This Row],[Plan %]]</f>
        <v>-1.1900000000000001E-2</v>
      </c>
      <c r="M64" s="144" t="s">
        <v>278</v>
      </c>
      <c r="N64" s="12">
        <v>45634</v>
      </c>
      <c r="O64" s="12"/>
      <c r="P64" s="12">
        <v>45637</v>
      </c>
      <c r="Q64" s="12">
        <v>45520</v>
      </c>
      <c r="R64" s="2" t="s">
        <v>286</v>
      </c>
      <c r="S64" s="2" t="s">
        <v>360</v>
      </c>
      <c r="T64" s="149" t="s">
        <v>361</v>
      </c>
      <c r="U64" s="36"/>
      <c r="V64" s="36"/>
      <c r="W64" s="36">
        <f>Table2[[#This Row],[Construction Contract Amount]]+Table2[[#This Row],[Cumulative Variations]]</f>
        <v>0</v>
      </c>
      <c r="X64" s="36"/>
      <c r="Y64" s="36"/>
      <c r="Z64" s="36">
        <f>Table2[[#This Row],[Final Contract Value]]+Table2[[#This Row],[Supervision Contract amount]]+Table2[[#This Row],[Authority Cost]]</f>
        <v>0</v>
      </c>
      <c r="AA64" s="36"/>
      <c r="AB64" s="36"/>
      <c r="AC64" s="91" t="str">
        <f t="shared" si="0"/>
        <v>https://drive.google.com/thumbnail?id=19ZTyE2xeT2sZ01YGBhW0hDNK1zkOgzov&amp;sz=w1000</v>
      </c>
      <c r="AD64" s="78" t="s">
        <v>401</v>
      </c>
      <c r="AE64" s="74" t="str">
        <f t="shared" si="1"/>
        <v>https://drive.google.com/thumbnail?id=1Jq87qjyP8CX6GzfZ6UTJqN8h3tUDVJ4L&amp;sz=w1000</v>
      </c>
      <c r="AF64" s="78" t="s">
        <v>402</v>
      </c>
      <c r="AG64" s="73" t="str">
        <f t="shared" si="2"/>
        <v>https://drive.google.com/thumbnail?id=11ckN00HUeGC8mZ4NTbuNo3XBAKRafCzJ&amp;sz=w1000</v>
      </c>
      <c r="AH64" s="78" t="s">
        <v>403</v>
      </c>
    </row>
    <row r="65" spans="1:34" ht="22.15" customHeight="1">
      <c r="A65" s="12">
        <v>45516</v>
      </c>
      <c r="B65" s="24" t="s">
        <v>87</v>
      </c>
      <c r="C65" s="2" t="s">
        <v>11</v>
      </c>
      <c r="D65" s="16" t="str" cm="1">
        <f t="array" ref="D65">_xlfn.XLOOKUP(1, (Table1[Project Name]=Table2[[#This Row],[Project ID]])*(Table1[Plot]=Table2[[#This Row],[Plot]]), Table1[Project ID])</f>
        <v>MJ-06</v>
      </c>
      <c r="E65" s="45">
        <v>89</v>
      </c>
      <c r="F65" s="46">
        <v>521</v>
      </c>
      <c r="G65" s="45">
        <f>Table2[[#This Row],[Time Elapsed]]+Table2[[#This Row],[Time Remaining]]</f>
        <v>610</v>
      </c>
      <c r="H65" s="2" t="s">
        <v>317</v>
      </c>
      <c r="I65" s="2" t="s">
        <v>318</v>
      </c>
      <c r="J65" s="13">
        <v>3.15E-2</v>
      </c>
      <c r="K65" s="148">
        <v>1.9599999999999999E-2</v>
      </c>
      <c r="L65" s="13">
        <f>Table2[[#This Row],[Actual %]]-Table2[[#This Row],[Plan %]]</f>
        <v>-1.1900000000000001E-2</v>
      </c>
      <c r="M65" s="144" t="s">
        <v>279</v>
      </c>
      <c r="N65" s="12">
        <v>45901</v>
      </c>
      <c r="O65" s="12"/>
      <c r="P65" s="12">
        <v>45935</v>
      </c>
      <c r="Q65" s="12">
        <v>45520</v>
      </c>
      <c r="R65" s="2" t="s">
        <v>286</v>
      </c>
      <c r="S65" s="2" t="s">
        <v>360</v>
      </c>
      <c r="T65" s="149" t="s">
        <v>361</v>
      </c>
      <c r="U65" s="36"/>
      <c r="V65" s="36"/>
      <c r="W65" s="36">
        <f>Table2[[#This Row],[Construction Contract Amount]]+Table2[[#This Row],[Cumulative Variations]]</f>
        <v>0</v>
      </c>
      <c r="X65" s="36"/>
      <c r="Y65" s="36"/>
      <c r="Z65" s="36">
        <f>Table2[[#This Row],[Final Contract Value]]+Table2[[#This Row],[Supervision Contract amount]]+Table2[[#This Row],[Authority Cost]]</f>
        <v>0</v>
      </c>
      <c r="AA65" s="36"/>
      <c r="AB65" s="36"/>
      <c r="AC65" s="91" t="str">
        <f t="shared" si="0"/>
        <v>https://drive.google.com/thumbnail?id=19ZTyE2xeT2sZ01YGBhW0hDNK1zkOgzov&amp;sz=w1000</v>
      </c>
      <c r="AD65" s="78" t="s">
        <v>401</v>
      </c>
      <c r="AE65" s="74" t="str">
        <f t="shared" si="1"/>
        <v>https://drive.google.com/thumbnail?id=1Jq87qjyP8CX6GzfZ6UTJqN8h3tUDVJ4L&amp;sz=w1000</v>
      </c>
      <c r="AF65" s="78" t="s">
        <v>402</v>
      </c>
      <c r="AG65" s="73" t="str">
        <f t="shared" si="2"/>
        <v>https://drive.google.com/thumbnail?id=11ckN00HUeGC8mZ4NTbuNo3XBAKRafCzJ&amp;sz=w1000</v>
      </c>
      <c r="AH65" s="78" t="s">
        <v>403</v>
      </c>
    </row>
    <row r="66" spans="1:34" ht="22.15" customHeight="1">
      <c r="A66" s="12">
        <v>45516</v>
      </c>
      <c r="B66" s="24" t="s">
        <v>87</v>
      </c>
      <c r="C66" s="2" t="s">
        <v>11</v>
      </c>
      <c r="D66" s="16" t="str" cm="1">
        <f t="array" ref="D66">_xlfn.XLOOKUP(1, (Table1[Project Name]=Table2[[#This Row],[Project ID]])*(Table1[Plot]=Table2[[#This Row],[Plot]]), Table1[Project ID])</f>
        <v>MJ-06</v>
      </c>
      <c r="E66" s="45">
        <v>89</v>
      </c>
      <c r="F66" s="46">
        <v>521</v>
      </c>
      <c r="G66" s="45">
        <f>Table2[[#This Row],[Time Elapsed]]+Table2[[#This Row],[Time Remaining]]</f>
        <v>610</v>
      </c>
      <c r="H66" s="2" t="s">
        <v>317</v>
      </c>
      <c r="I66" s="2" t="s">
        <v>318</v>
      </c>
      <c r="J66" s="13">
        <v>3.15E-2</v>
      </c>
      <c r="K66" s="148">
        <v>1.9599999999999999E-2</v>
      </c>
      <c r="L66" s="13">
        <f>Table2[[#This Row],[Actual %]]-Table2[[#This Row],[Plan %]]</f>
        <v>-1.1900000000000001E-2</v>
      </c>
      <c r="M66" s="144" t="s">
        <v>289</v>
      </c>
      <c r="N66" s="12">
        <v>45965</v>
      </c>
      <c r="O66" s="12"/>
      <c r="P66" s="12">
        <v>45997</v>
      </c>
      <c r="Q66" s="12">
        <v>45520</v>
      </c>
      <c r="R66" s="2" t="s">
        <v>286</v>
      </c>
      <c r="S66" s="2" t="s">
        <v>360</v>
      </c>
      <c r="T66" s="149" t="s">
        <v>361</v>
      </c>
      <c r="U66" s="36"/>
      <c r="V66" s="36"/>
      <c r="W66" s="36">
        <f>Table2[[#This Row],[Construction Contract Amount]]+Table2[[#This Row],[Cumulative Variations]]</f>
        <v>0</v>
      </c>
      <c r="X66" s="36"/>
      <c r="Y66" s="36"/>
      <c r="Z66" s="36">
        <f>Table2[[#This Row],[Final Contract Value]]+Table2[[#This Row],[Supervision Contract amount]]+Table2[[#This Row],[Authority Cost]]</f>
        <v>0</v>
      </c>
      <c r="AA66" s="36"/>
      <c r="AB66" s="36"/>
      <c r="AC66" s="91" t="str">
        <f t="shared" ref="AC66:AC129" si="3">CONCATENATE("https://drive.google.com/thumbnail?id=", MID(AD66, FIND("/d/", AD66) + 3, FIND("/view", AD66) - FIND("/d/", AD66) - 3), "&amp;sz=w1000")</f>
        <v>https://drive.google.com/thumbnail?id=19ZTyE2xeT2sZ01YGBhW0hDNK1zkOgzov&amp;sz=w1000</v>
      </c>
      <c r="AD66" s="78" t="s">
        <v>401</v>
      </c>
      <c r="AE66" s="74" t="str">
        <f t="shared" ref="AE66:AE129" si="4">CONCATENATE("https://drive.google.com/thumbnail?id=", MID(AF66, FIND("/d/", AF66) + 3, FIND("/view", AF66) - FIND("/d/", AF66) - 3), "&amp;sz=w1000")</f>
        <v>https://drive.google.com/thumbnail?id=1Jq87qjyP8CX6GzfZ6UTJqN8h3tUDVJ4L&amp;sz=w1000</v>
      </c>
      <c r="AF66" s="78" t="s">
        <v>402</v>
      </c>
      <c r="AG66" s="73" t="str">
        <f t="shared" ref="AG66:AG129" si="5">CONCATENATE("https://drive.google.com/thumbnail?id=", MID(AH66, FIND("/d/", AH66) + 3, FIND("/view", AH66) - FIND("/d/", AH66) - 3), "&amp;sz=w1000")</f>
        <v>https://drive.google.com/thumbnail?id=11ckN00HUeGC8mZ4NTbuNo3XBAKRafCzJ&amp;sz=w1000</v>
      </c>
      <c r="AH66" s="78" t="s">
        <v>403</v>
      </c>
    </row>
    <row r="67" spans="1:34" ht="22.15" customHeight="1">
      <c r="A67" s="12">
        <v>45516</v>
      </c>
      <c r="B67" s="24" t="s">
        <v>87</v>
      </c>
      <c r="C67" s="2" t="s">
        <v>11</v>
      </c>
      <c r="D67" s="16" t="str" cm="1">
        <f t="array" ref="D67">_xlfn.XLOOKUP(1, (Table1[Project Name]=Table2[[#This Row],[Project ID]])*(Table1[Plot]=Table2[[#This Row],[Plot]]), Table1[Project ID])</f>
        <v>MJ-06</v>
      </c>
      <c r="E67" s="45">
        <v>89</v>
      </c>
      <c r="F67" s="46">
        <v>521</v>
      </c>
      <c r="G67" s="45">
        <f>Table2[[#This Row],[Time Elapsed]]+Table2[[#This Row],[Time Remaining]]</f>
        <v>610</v>
      </c>
      <c r="H67" s="2" t="s">
        <v>317</v>
      </c>
      <c r="I67" s="2" t="s">
        <v>318</v>
      </c>
      <c r="J67" s="13">
        <v>3.15E-2</v>
      </c>
      <c r="K67" s="148">
        <v>1.9599999999999999E-2</v>
      </c>
      <c r="L67" s="13">
        <f>Table2[[#This Row],[Actual %]]-Table2[[#This Row],[Plan %]]</f>
        <v>-1.1900000000000001E-2</v>
      </c>
      <c r="M67" s="144" t="s">
        <v>291</v>
      </c>
      <c r="N67" s="12">
        <v>45975</v>
      </c>
      <c r="O67" s="12"/>
      <c r="P67" s="12">
        <v>46001</v>
      </c>
      <c r="Q67" s="12">
        <v>45520</v>
      </c>
      <c r="R67" s="2" t="s">
        <v>286</v>
      </c>
      <c r="S67" s="2" t="s">
        <v>360</v>
      </c>
      <c r="T67" s="149" t="s">
        <v>361</v>
      </c>
      <c r="U67" s="36"/>
      <c r="V67" s="36"/>
      <c r="W67" s="36">
        <f>Table2[[#This Row],[Construction Contract Amount]]+Table2[[#This Row],[Cumulative Variations]]</f>
        <v>0</v>
      </c>
      <c r="X67" s="36"/>
      <c r="Y67" s="36"/>
      <c r="Z67" s="36">
        <f>Table2[[#This Row],[Final Contract Value]]+Table2[[#This Row],[Supervision Contract amount]]+Table2[[#This Row],[Authority Cost]]</f>
        <v>0</v>
      </c>
      <c r="AA67" s="36"/>
      <c r="AB67" s="36"/>
      <c r="AC67" s="91" t="str">
        <f t="shared" si="3"/>
        <v>https://drive.google.com/thumbnail?id=19ZTyE2xeT2sZ01YGBhW0hDNK1zkOgzov&amp;sz=w1000</v>
      </c>
      <c r="AD67" s="78" t="s">
        <v>401</v>
      </c>
      <c r="AE67" s="74" t="str">
        <f t="shared" si="4"/>
        <v>https://drive.google.com/thumbnail?id=1Jq87qjyP8CX6GzfZ6UTJqN8h3tUDVJ4L&amp;sz=w1000</v>
      </c>
      <c r="AF67" s="78" t="s">
        <v>402</v>
      </c>
      <c r="AG67" s="73" t="str">
        <f t="shared" si="5"/>
        <v>https://drive.google.com/thumbnail?id=11ckN00HUeGC8mZ4NTbuNo3XBAKRafCzJ&amp;sz=w1000</v>
      </c>
      <c r="AH67" s="78" t="s">
        <v>403</v>
      </c>
    </row>
    <row r="68" spans="1:34" ht="22.15" customHeight="1">
      <c r="A68" s="12">
        <v>45516</v>
      </c>
      <c r="B68" s="24" t="s">
        <v>87</v>
      </c>
      <c r="C68" s="2" t="s">
        <v>11</v>
      </c>
      <c r="D68" s="16" t="str" cm="1">
        <f t="array" ref="D68">_xlfn.XLOOKUP(1, (Table1[Project Name]=Table2[[#This Row],[Project ID]])*(Table1[Plot]=Table2[[#This Row],[Plot]]), Table1[Project ID])</f>
        <v>MJ-06</v>
      </c>
      <c r="E68" s="45">
        <v>89</v>
      </c>
      <c r="F68" s="46">
        <v>521</v>
      </c>
      <c r="G68" s="45">
        <f>Table2[[#This Row],[Time Elapsed]]+Table2[[#This Row],[Time Remaining]]</f>
        <v>610</v>
      </c>
      <c r="H68" s="2" t="s">
        <v>317</v>
      </c>
      <c r="I68" s="2" t="s">
        <v>318</v>
      </c>
      <c r="J68" s="13">
        <v>3.15E-2</v>
      </c>
      <c r="K68" s="148">
        <v>1.9599999999999999E-2</v>
      </c>
      <c r="L68" s="13">
        <f>Table2[[#This Row],[Actual %]]-Table2[[#This Row],[Plan %]]</f>
        <v>-1.1900000000000001E-2</v>
      </c>
      <c r="M68" s="144" t="s">
        <v>290</v>
      </c>
      <c r="N68" s="12">
        <v>45981</v>
      </c>
      <c r="O68" s="12"/>
      <c r="P68" s="12">
        <v>46007</v>
      </c>
      <c r="Q68" s="12">
        <v>45520</v>
      </c>
      <c r="R68" s="2" t="s">
        <v>286</v>
      </c>
      <c r="S68" s="2" t="s">
        <v>360</v>
      </c>
      <c r="T68" s="149" t="s">
        <v>361</v>
      </c>
      <c r="U68" s="36"/>
      <c r="V68" s="36"/>
      <c r="W68" s="36">
        <f>Table2[[#This Row],[Construction Contract Amount]]+Table2[[#This Row],[Cumulative Variations]]</f>
        <v>0</v>
      </c>
      <c r="X68" s="36"/>
      <c r="Y68" s="36"/>
      <c r="Z68" s="36">
        <f>Table2[[#This Row],[Final Contract Value]]+Table2[[#This Row],[Supervision Contract amount]]+Table2[[#This Row],[Authority Cost]]</f>
        <v>0</v>
      </c>
      <c r="AA68" s="36"/>
      <c r="AB68" s="36"/>
      <c r="AC68" s="91" t="str">
        <f t="shared" si="3"/>
        <v>https://drive.google.com/thumbnail?id=19ZTyE2xeT2sZ01YGBhW0hDNK1zkOgzov&amp;sz=w1000</v>
      </c>
      <c r="AD68" s="78" t="s">
        <v>401</v>
      </c>
      <c r="AE68" s="74" t="str">
        <f t="shared" si="4"/>
        <v>https://drive.google.com/thumbnail?id=1Jq87qjyP8CX6GzfZ6UTJqN8h3tUDVJ4L&amp;sz=w1000</v>
      </c>
      <c r="AF68" s="78" t="s">
        <v>402</v>
      </c>
      <c r="AG68" s="73" t="str">
        <f t="shared" si="5"/>
        <v>https://drive.google.com/thumbnail?id=11ckN00HUeGC8mZ4NTbuNo3XBAKRafCzJ&amp;sz=w1000</v>
      </c>
      <c r="AH68" s="78" t="s">
        <v>403</v>
      </c>
    </row>
    <row r="69" spans="1:34" ht="22.15" customHeight="1">
      <c r="A69" s="12">
        <v>45516</v>
      </c>
      <c r="B69" s="24" t="s">
        <v>87</v>
      </c>
      <c r="C69" s="2" t="s">
        <v>11</v>
      </c>
      <c r="D69" s="16" t="str" cm="1">
        <f t="array" ref="D69">_xlfn.XLOOKUP(1, (Table1[Project Name]=Table2[[#This Row],[Project ID]])*(Table1[Plot]=Table2[[#This Row],[Plot]]), Table1[Project ID])</f>
        <v>MJ-06</v>
      </c>
      <c r="E69" s="45">
        <v>89</v>
      </c>
      <c r="F69" s="46">
        <v>521</v>
      </c>
      <c r="G69" s="45">
        <f>Table2[[#This Row],[Time Elapsed]]+Table2[[#This Row],[Time Remaining]]</f>
        <v>610</v>
      </c>
      <c r="H69" s="2" t="s">
        <v>317</v>
      </c>
      <c r="I69" s="2" t="s">
        <v>318</v>
      </c>
      <c r="J69" s="13">
        <v>3.15E-2</v>
      </c>
      <c r="K69" s="148">
        <v>1.9599999999999999E-2</v>
      </c>
      <c r="L69" s="13">
        <f>Table2[[#This Row],[Actual %]]-Table2[[#This Row],[Plan %]]</f>
        <v>-1.1900000000000001E-2</v>
      </c>
      <c r="M69" s="144" t="s">
        <v>284</v>
      </c>
      <c r="N69" s="12">
        <v>45999</v>
      </c>
      <c r="O69" s="12"/>
      <c r="P69" s="12">
        <v>46025</v>
      </c>
      <c r="Q69" s="12">
        <v>45520</v>
      </c>
      <c r="R69" s="2" t="s">
        <v>286</v>
      </c>
      <c r="S69" s="2" t="s">
        <v>360</v>
      </c>
      <c r="T69" s="149" t="s">
        <v>361</v>
      </c>
      <c r="U69" s="36"/>
      <c r="V69" s="36"/>
      <c r="W69" s="36">
        <f>Table2[[#This Row],[Construction Contract Amount]]+Table2[[#This Row],[Cumulative Variations]]</f>
        <v>0</v>
      </c>
      <c r="X69" s="36"/>
      <c r="Y69" s="36"/>
      <c r="Z69" s="36">
        <f>Table2[[#This Row],[Final Contract Value]]+Table2[[#This Row],[Supervision Contract amount]]+Table2[[#This Row],[Authority Cost]]</f>
        <v>0</v>
      </c>
      <c r="AA69" s="36"/>
      <c r="AB69" s="36"/>
      <c r="AC69" s="91" t="str">
        <f t="shared" si="3"/>
        <v>https://drive.google.com/thumbnail?id=19ZTyE2xeT2sZ01YGBhW0hDNK1zkOgzov&amp;sz=w1000</v>
      </c>
      <c r="AD69" s="78" t="s">
        <v>401</v>
      </c>
      <c r="AE69" s="74" t="str">
        <f t="shared" si="4"/>
        <v>https://drive.google.com/thumbnail?id=1Jq87qjyP8CX6GzfZ6UTJqN8h3tUDVJ4L&amp;sz=w1000</v>
      </c>
      <c r="AF69" s="78" t="s">
        <v>402</v>
      </c>
      <c r="AG69" s="73" t="str">
        <f t="shared" si="5"/>
        <v>https://drive.google.com/thumbnail?id=11ckN00HUeGC8mZ4NTbuNo3XBAKRafCzJ&amp;sz=w1000</v>
      </c>
      <c r="AH69" s="78" t="s">
        <v>403</v>
      </c>
    </row>
    <row r="70" spans="1:34" ht="22.15" customHeight="1">
      <c r="A70" s="12">
        <v>45516</v>
      </c>
      <c r="B70" s="24" t="s">
        <v>87</v>
      </c>
      <c r="C70" s="2" t="s">
        <v>11</v>
      </c>
      <c r="D70" s="16" t="str" cm="1">
        <f t="array" ref="D70">_xlfn.XLOOKUP(1, (Table1[Project Name]=Table2[[#This Row],[Project ID]])*(Table1[Plot]=Table2[[#This Row],[Plot]]), Table1[Project ID])</f>
        <v>MJ-06</v>
      </c>
      <c r="E70" s="45">
        <v>89</v>
      </c>
      <c r="F70" s="46">
        <v>521</v>
      </c>
      <c r="G70" s="45">
        <f>Table2[[#This Row],[Time Elapsed]]+Table2[[#This Row],[Time Remaining]]</f>
        <v>610</v>
      </c>
      <c r="H70" s="2" t="s">
        <v>317</v>
      </c>
      <c r="I70" s="2" t="s">
        <v>318</v>
      </c>
      <c r="J70" s="13">
        <v>3.15E-2</v>
      </c>
      <c r="K70" s="148">
        <v>1.9599999999999999E-2</v>
      </c>
      <c r="L70" s="13">
        <f>Table2[[#This Row],[Actual %]]-Table2[[#This Row],[Plan %]]</f>
        <v>-1.1900000000000001E-2</v>
      </c>
      <c r="M70" s="144" t="s">
        <v>339</v>
      </c>
      <c r="N70" s="12">
        <v>46036</v>
      </c>
      <c r="O70" s="12"/>
      <c r="P70" s="12">
        <v>46068</v>
      </c>
      <c r="Q70" s="12">
        <v>45520</v>
      </c>
      <c r="R70" s="2" t="s">
        <v>286</v>
      </c>
      <c r="S70" s="2" t="s">
        <v>360</v>
      </c>
      <c r="T70" s="149" t="s">
        <v>361</v>
      </c>
      <c r="U70" s="36"/>
      <c r="V70" s="36"/>
      <c r="W70" s="36">
        <f>Table2[[#This Row],[Construction Contract Amount]]+Table2[[#This Row],[Cumulative Variations]]</f>
        <v>0</v>
      </c>
      <c r="X70" s="36"/>
      <c r="Y70" s="36"/>
      <c r="Z70" s="36">
        <f>Table2[[#This Row],[Final Contract Value]]+Table2[[#This Row],[Supervision Contract amount]]+Table2[[#This Row],[Authority Cost]]</f>
        <v>0</v>
      </c>
      <c r="AA70" s="36"/>
      <c r="AB70" s="36"/>
      <c r="AC70" s="91" t="str">
        <f t="shared" si="3"/>
        <v>https://drive.google.com/thumbnail?id=19ZTyE2xeT2sZ01YGBhW0hDNK1zkOgzov&amp;sz=w1000</v>
      </c>
      <c r="AD70" s="78" t="s">
        <v>401</v>
      </c>
      <c r="AE70" s="74" t="str">
        <f t="shared" si="4"/>
        <v>https://drive.google.com/thumbnail?id=1Jq87qjyP8CX6GzfZ6UTJqN8h3tUDVJ4L&amp;sz=w1000</v>
      </c>
      <c r="AF70" s="78" t="s">
        <v>402</v>
      </c>
      <c r="AG70" s="73" t="str">
        <f t="shared" si="5"/>
        <v>https://drive.google.com/thumbnail?id=11ckN00HUeGC8mZ4NTbuNo3XBAKRafCzJ&amp;sz=w1000</v>
      </c>
      <c r="AH70" s="78" t="s">
        <v>403</v>
      </c>
    </row>
    <row r="71" spans="1:34" ht="22.15" customHeight="1">
      <c r="A71" s="12">
        <v>45516</v>
      </c>
      <c r="B71" s="17" t="s">
        <v>91</v>
      </c>
      <c r="C71" s="2" t="s">
        <v>94</v>
      </c>
      <c r="D71" s="16" t="str" cm="1">
        <f t="array" ref="D71">_xlfn.XLOOKUP(1, (Table1[Project Name]=Table2[[#This Row],[Project ID]])*(Table1[Plot]=Table2[[#This Row],[Plot]]), Table1[Project ID])</f>
        <v>MJ-07</v>
      </c>
      <c r="E71" s="47">
        <v>89</v>
      </c>
      <c r="F71" s="48">
        <v>521</v>
      </c>
      <c r="G71" s="47">
        <f>Table2[[#This Row],[Time Elapsed]]+Table2[[#This Row],[Time Remaining]]</f>
        <v>610</v>
      </c>
      <c r="H71" s="2" t="s">
        <v>297</v>
      </c>
      <c r="I71" s="2" t="s">
        <v>319</v>
      </c>
      <c r="J71" s="13">
        <v>3.61E-2</v>
      </c>
      <c r="K71" s="148">
        <v>2.8400000000000002E-2</v>
      </c>
      <c r="L71" s="13">
        <f>Table2[[#This Row],[Actual %]]-Table2[[#This Row],[Plan %]]</f>
        <v>-7.6999999999999985E-3</v>
      </c>
      <c r="M71" s="144" t="s">
        <v>285</v>
      </c>
      <c r="N71" s="12">
        <v>45427</v>
      </c>
      <c r="O71" s="12">
        <v>45427</v>
      </c>
      <c r="P71" s="12"/>
      <c r="Q71" s="12">
        <v>45520</v>
      </c>
      <c r="R71" s="2" t="s">
        <v>362</v>
      </c>
      <c r="S71" s="2" t="s">
        <v>288</v>
      </c>
      <c r="T71" s="149" t="s">
        <v>363</v>
      </c>
      <c r="U71" s="36"/>
      <c r="V71" s="36"/>
      <c r="W71" s="36">
        <f>Table2[[#This Row],[Construction Contract Amount]]+Table2[[#This Row],[Cumulative Variations]]</f>
        <v>0</v>
      </c>
      <c r="X71" s="36"/>
      <c r="Y71" s="36"/>
      <c r="Z71" s="36">
        <f>Table2[[#This Row],[Final Contract Value]]+Table2[[#This Row],[Supervision Contract amount]]+Table2[[#This Row],[Authority Cost]]</f>
        <v>0</v>
      </c>
      <c r="AA71" s="36"/>
      <c r="AB71" s="36"/>
      <c r="AC71" s="91" t="str">
        <f t="shared" si="3"/>
        <v>https://drive.google.com/thumbnail?id=1XRwotDLG4Wn7ltT3YhUdshMCpqVktKT8&amp;sz=w1000</v>
      </c>
      <c r="AD71" s="79" t="s">
        <v>404</v>
      </c>
      <c r="AE71" s="74" t="str">
        <f t="shared" si="4"/>
        <v>https://drive.google.com/thumbnail?id=1m0sCGqTc1t6OyfiPeptI64GQWmQuBkv8&amp;sz=w1000</v>
      </c>
      <c r="AF71" s="79" t="s">
        <v>405</v>
      </c>
      <c r="AG71" s="73" t="str">
        <f t="shared" si="5"/>
        <v>https://drive.google.com/thumbnail?id=1davhSxDuZNhi5xMvx1qc6yUbp9a-alvk&amp;sz=w1000</v>
      </c>
      <c r="AH71" s="79" t="s">
        <v>406</v>
      </c>
    </row>
    <row r="72" spans="1:34" ht="22.15" customHeight="1">
      <c r="A72" s="12">
        <v>45516</v>
      </c>
      <c r="B72" s="17" t="s">
        <v>91</v>
      </c>
      <c r="C72" s="2" t="s">
        <v>94</v>
      </c>
      <c r="D72" s="16" t="str" cm="1">
        <f t="array" ref="D72">_xlfn.XLOOKUP(1, (Table1[Project Name]=Table2[[#This Row],[Project ID]])*(Table1[Plot]=Table2[[#This Row],[Plot]]), Table1[Project ID])</f>
        <v>MJ-07</v>
      </c>
      <c r="E72" s="47">
        <v>89</v>
      </c>
      <c r="F72" s="48">
        <v>521</v>
      </c>
      <c r="G72" s="47">
        <f>Table2[[#This Row],[Time Elapsed]]+Table2[[#This Row],[Time Remaining]]</f>
        <v>610</v>
      </c>
      <c r="H72" s="2" t="s">
        <v>297</v>
      </c>
      <c r="I72" s="2" t="s">
        <v>319</v>
      </c>
      <c r="J72" s="13">
        <v>3.61E-2</v>
      </c>
      <c r="K72" s="148">
        <v>2.8400000000000002E-2</v>
      </c>
      <c r="L72" s="13">
        <f>Table2[[#This Row],[Actual %]]-Table2[[#This Row],[Plan %]]</f>
        <v>-7.6999999999999985E-3</v>
      </c>
      <c r="M72" s="144" t="s">
        <v>338</v>
      </c>
      <c r="N72" s="12">
        <v>45433</v>
      </c>
      <c r="O72" s="12">
        <v>45433</v>
      </c>
      <c r="P72" s="12"/>
      <c r="Q72" s="12">
        <v>45520</v>
      </c>
      <c r="R72" s="2" t="s">
        <v>362</v>
      </c>
      <c r="S72" s="2" t="s">
        <v>288</v>
      </c>
      <c r="T72" s="149" t="s">
        <v>363</v>
      </c>
      <c r="U72" s="36"/>
      <c r="V72" s="36"/>
      <c r="W72" s="36">
        <f>Table2[[#This Row],[Construction Contract Amount]]+Table2[[#This Row],[Cumulative Variations]]</f>
        <v>0</v>
      </c>
      <c r="X72" s="36"/>
      <c r="Y72" s="36"/>
      <c r="Z72" s="36">
        <f>Table2[[#This Row],[Final Contract Value]]+Table2[[#This Row],[Supervision Contract amount]]+Table2[[#This Row],[Authority Cost]]</f>
        <v>0</v>
      </c>
      <c r="AA72" s="36"/>
      <c r="AB72" s="36"/>
      <c r="AC72" s="91" t="str">
        <f t="shared" si="3"/>
        <v>https://drive.google.com/thumbnail?id=1XRwotDLG4Wn7ltT3YhUdshMCpqVktKT8&amp;sz=w1000</v>
      </c>
      <c r="AD72" s="79" t="s">
        <v>404</v>
      </c>
      <c r="AE72" s="74" t="str">
        <f t="shared" si="4"/>
        <v>https://drive.google.com/thumbnail?id=1m0sCGqTc1t6OyfiPeptI64GQWmQuBkv8&amp;sz=w1000</v>
      </c>
      <c r="AF72" s="79" t="s">
        <v>405</v>
      </c>
      <c r="AG72" s="73" t="str">
        <f t="shared" si="5"/>
        <v>https://drive.google.com/thumbnail?id=1davhSxDuZNhi5xMvx1qc6yUbp9a-alvk&amp;sz=w1000</v>
      </c>
      <c r="AH72" s="79" t="s">
        <v>406</v>
      </c>
    </row>
    <row r="73" spans="1:34" ht="22.15" customHeight="1">
      <c r="A73" s="12">
        <v>45516</v>
      </c>
      <c r="B73" s="17" t="s">
        <v>91</v>
      </c>
      <c r="C73" s="2" t="s">
        <v>94</v>
      </c>
      <c r="D73" s="16" t="str" cm="1">
        <f t="array" ref="D73">_xlfn.XLOOKUP(1, (Table1[Project Name]=Table2[[#This Row],[Project ID]])*(Table1[Plot]=Table2[[#This Row],[Plot]]), Table1[Project ID])</f>
        <v>MJ-07</v>
      </c>
      <c r="E73" s="47">
        <v>89</v>
      </c>
      <c r="F73" s="48">
        <v>521</v>
      </c>
      <c r="G73" s="47">
        <f>Table2[[#This Row],[Time Elapsed]]+Table2[[#This Row],[Time Remaining]]</f>
        <v>610</v>
      </c>
      <c r="H73" s="2" t="s">
        <v>297</v>
      </c>
      <c r="I73" s="2" t="s">
        <v>319</v>
      </c>
      <c r="J73" s="13">
        <v>3.61E-2</v>
      </c>
      <c r="K73" s="148">
        <v>2.8400000000000002E-2</v>
      </c>
      <c r="L73" s="13">
        <f>Table2[[#This Row],[Actual %]]-Table2[[#This Row],[Plan %]]</f>
        <v>-7.6999999999999985E-3</v>
      </c>
      <c r="M73" s="144" t="s">
        <v>51</v>
      </c>
      <c r="N73" s="12">
        <v>45493</v>
      </c>
      <c r="O73" s="12"/>
      <c r="P73" s="12">
        <v>45544</v>
      </c>
      <c r="Q73" s="12">
        <v>45520</v>
      </c>
      <c r="R73" s="2" t="s">
        <v>362</v>
      </c>
      <c r="S73" s="2" t="s">
        <v>288</v>
      </c>
      <c r="T73" s="149" t="s">
        <v>363</v>
      </c>
      <c r="U73" s="36"/>
      <c r="V73" s="36"/>
      <c r="W73" s="36">
        <f>Table2[[#This Row],[Construction Contract Amount]]+Table2[[#This Row],[Cumulative Variations]]</f>
        <v>0</v>
      </c>
      <c r="X73" s="36"/>
      <c r="Y73" s="36"/>
      <c r="Z73" s="36">
        <f>Table2[[#This Row],[Final Contract Value]]+Table2[[#This Row],[Supervision Contract amount]]+Table2[[#This Row],[Authority Cost]]</f>
        <v>0</v>
      </c>
      <c r="AA73" s="36"/>
      <c r="AB73" s="36"/>
      <c r="AC73" s="91" t="str">
        <f t="shared" si="3"/>
        <v>https://drive.google.com/thumbnail?id=1XRwotDLG4Wn7ltT3YhUdshMCpqVktKT8&amp;sz=w1000</v>
      </c>
      <c r="AD73" s="79" t="s">
        <v>404</v>
      </c>
      <c r="AE73" s="74" t="str">
        <f t="shared" si="4"/>
        <v>https://drive.google.com/thumbnail?id=1m0sCGqTc1t6OyfiPeptI64GQWmQuBkv8&amp;sz=w1000</v>
      </c>
      <c r="AF73" s="79" t="s">
        <v>405</v>
      </c>
      <c r="AG73" s="73" t="str">
        <f t="shared" si="5"/>
        <v>https://drive.google.com/thumbnail?id=1davhSxDuZNhi5xMvx1qc6yUbp9a-alvk&amp;sz=w1000</v>
      </c>
      <c r="AH73" s="79" t="s">
        <v>406</v>
      </c>
    </row>
    <row r="74" spans="1:34" ht="22.15" customHeight="1">
      <c r="A74" s="12">
        <v>45516</v>
      </c>
      <c r="B74" s="17" t="s">
        <v>91</v>
      </c>
      <c r="C74" s="2" t="s">
        <v>94</v>
      </c>
      <c r="D74" s="16" t="str" cm="1">
        <f t="array" ref="D74">_xlfn.XLOOKUP(1, (Table1[Project Name]=Table2[[#This Row],[Project ID]])*(Table1[Plot]=Table2[[#This Row],[Plot]]), Table1[Project ID])</f>
        <v>MJ-07</v>
      </c>
      <c r="E74" s="47">
        <v>89</v>
      </c>
      <c r="F74" s="48">
        <v>521</v>
      </c>
      <c r="G74" s="47">
        <f>Table2[[#This Row],[Time Elapsed]]+Table2[[#This Row],[Time Remaining]]</f>
        <v>610</v>
      </c>
      <c r="H74" s="2" t="s">
        <v>297</v>
      </c>
      <c r="I74" s="2" t="s">
        <v>319</v>
      </c>
      <c r="J74" s="13">
        <v>3.61E-2</v>
      </c>
      <c r="K74" s="148">
        <v>2.8400000000000002E-2</v>
      </c>
      <c r="L74" s="13">
        <f>Table2[[#This Row],[Actual %]]-Table2[[#This Row],[Plan %]]</f>
        <v>-7.6999999999999985E-3</v>
      </c>
      <c r="M74" s="144" t="s">
        <v>298</v>
      </c>
      <c r="N74" s="12">
        <v>45603</v>
      </c>
      <c r="O74" s="12"/>
      <c r="P74" s="12">
        <v>45619</v>
      </c>
      <c r="Q74" s="12">
        <v>45520</v>
      </c>
      <c r="R74" s="2" t="s">
        <v>362</v>
      </c>
      <c r="S74" s="2" t="s">
        <v>288</v>
      </c>
      <c r="T74" s="149" t="s">
        <v>363</v>
      </c>
      <c r="U74" s="36"/>
      <c r="V74" s="36"/>
      <c r="W74" s="36">
        <f>Table2[[#This Row],[Construction Contract Amount]]+Table2[[#This Row],[Cumulative Variations]]</f>
        <v>0</v>
      </c>
      <c r="X74" s="36"/>
      <c r="Y74" s="36"/>
      <c r="Z74" s="36">
        <f>Table2[[#This Row],[Final Contract Value]]+Table2[[#This Row],[Supervision Contract amount]]+Table2[[#This Row],[Authority Cost]]</f>
        <v>0</v>
      </c>
      <c r="AA74" s="36"/>
      <c r="AB74" s="36"/>
      <c r="AC74" s="91" t="str">
        <f t="shared" si="3"/>
        <v>https://drive.google.com/thumbnail?id=1XRwotDLG4Wn7ltT3YhUdshMCpqVktKT8&amp;sz=w1000</v>
      </c>
      <c r="AD74" s="79" t="s">
        <v>404</v>
      </c>
      <c r="AE74" s="74" t="str">
        <f t="shared" si="4"/>
        <v>https://drive.google.com/thumbnail?id=1m0sCGqTc1t6OyfiPeptI64GQWmQuBkv8&amp;sz=w1000</v>
      </c>
      <c r="AF74" s="79" t="s">
        <v>405</v>
      </c>
      <c r="AG74" s="73" t="str">
        <f t="shared" si="5"/>
        <v>https://drive.google.com/thumbnail?id=1davhSxDuZNhi5xMvx1qc6yUbp9a-alvk&amp;sz=w1000</v>
      </c>
      <c r="AH74" s="79" t="s">
        <v>406</v>
      </c>
    </row>
    <row r="75" spans="1:34" ht="22.15" customHeight="1">
      <c r="A75" s="12">
        <v>45516</v>
      </c>
      <c r="B75" s="17" t="s">
        <v>91</v>
      </c>
      <c r="C75" s="2" t="s">
        <v>94</v>
      </c>
      <c r="D75" s="16" t="str" cm="1">
        <f t="array" ref="D75">_xlfn.XLOOKUP(1, (Table1[Project Name]=Table2[[#This Row],[Project ID]])*(Table1[Plot]=Table2[[#This Row],[Plot]]), Table1[Project ID])</f>
        <v>MJ-07</v>
      </c>
      <c r="E75" s="47">
        <v>89</v>
      </c>
      <c r="F75" s="48">
        <v>521</v>
      </c>
      <c r="G75" s="47">
        <f>Table2[[#This Row],[Time Elapsed]]+Table2[[#This Row],[Time Remaining]]</f>
        <v>610</v>
      </c>
      <c r="H75" s="2" t="s">
        <v>297</v>
      </c>
      <c r="I75" s="2" t="s">
        <v>319</v>
      </c>
      <c r="J75" s="13">
        <v>3.61E-2</v>
      </c>
      <c r="K75" s="148">
        <v>2.8400000000000002E-2</v>
      </c>
      <c r="L75" s="13">
        <f>Table2[[#This Row],[Actual %]]-Table2[[#This Row],[Plan %]]</f>
        <v>-7.6999999999999985E-3</v>
      </c>
      <c r="M75" s="144" t="s">
        <v>278</v>
      </c>
      <c r="N75" s="12">
        <v>45644</v>
      </c>
      <c r="O75" s="12"/>
      <c r="P75" s="12">
        <v>45659</v>
      </c>
      <c r="Q75" s="12">
        <v>45520</v>
      </c>
      <c r="R75" s="2" t="s">
        <v>362</v>
      </c>
      <c r="S75" s="2" t="s">
        <v>288</v>
      </c>
      <c r="T75" s="149" t="s">
        <v>363</v>
      </c>
      <c r="U75" s="36"/>
      <c r="V75" s="36"/>
      <c r="W75" s="36">
        <f>Table2[[#This Row],[Construction Contract Amount]]+Table2[[#This Row],[Cumulative Variations]]</f>
        <v>0</v>
      </c>
      <c r="X75" s="36"/>
      <c r="Y75" s="36"/>
      <c r="Z75" s="36">
        <f>Table2[[#This Row],[Final Contract Value]]+Table2[[#This Row],[Supervision Contract amount]]+Table2[[#This Row],[Authority Cost]]</f>
        <v>0</v>
      </c>
      <c r="AA75" s="36"/>
      <c r="AB75" s="36"/>
      <c r="AC75" s="91" t="str">
        <f t="shared" si="3"/>
        <v>https://drive.google.com/thumbnail?id=1XRwotDLG4Wn7ltT3YhUdshMCpqVktKT8&amp;sz=w1000</v>
      </c>
      <c r="AD75" s="79" t="s">
        <v>404</v>
      </c>
      <c r="AE75" s="74" t="str">
        <f t="shared" si="4"/>
        <v>https://drive.google.com/thumbnail?id=1m0sCGqTc1t6OyfiPeptI64GQWmQuBkv8&amp;sz=w1000</v>
      </c>
      <c r="AF75" s="79" t="s">
        <v>405</v>
      </c>
      <c r="AG75" s="73" t="str">
        <f t="shared" si="5"/>
        <v>https://drive.google.com/thumbnail?id=1davhSxDuZNhi5xMvx1qc6yUbp9a-alvk&amp;sz=w1000</v>
      </c>
      <c r="AH75" s="79" t="s">
        <v>406</v>
      </c>
    </row>
    <row r="76" spans="1:34" ht="22.15" customHeight="1">
      <c r="A76" s="12">
        <v>45516</v>
      </c>
      <c r="B76" s="17" t="s">
        <v>91</v>
      </c>
      <c r="C76" s="2" t="s">
        <v>94</v>
      </c>
      <c r="D76" s="16" t="str" cm="1">
        <f t="array" ref="D76">_xlfn.XLOOKUP(1, (Table1[Project Name]=Table2[[#This Row],[Project ID]])*(Table1[Plot]=Table2[[#This Row],[Plot]]), Table1[Project ID])</f>
        <v>MJ-07</v>
      </c>
      <c r="E76" s="47">
        <v>89</v>
      </c>
      <c r="F76" s="48">
        <v>521</v>
      </c>
      <c r="G76" s="47">
        <f>Table2[[#This Row],[Time Elapsed]]+Table2[[#This Row],[Time Remaining]]</f>
        <v>610</v>
      </c>
      <c r="H76" s="2" t="s">
        <v>297</v>
      </c>
      <c r="I76" s="2" t="s">
        <v>319</v>
      </c>
      <c r="J76" s="13">
        <v>3.61E-2</v>
      </c>
      <c r="K76" s="148">
        <v>2.8400000000000002E-2</v>
      </c>
      <c r="L76" s="13">
        <f>Table2[[#This Row],[Actual %]]-Table2[[#This Row],[Plan %]]</f>
        <v>-7.6999999999999985E-3</v>
      </c>
      <c r="M76" s="144" t="s">
        <v>279</v>
      </c>
      <c r="N76" s="12">
        <v>45897</v>
      </c>
      <c r="O76" s="12"/>
      <c r="P76" s="12">
        <v>45917</v>
      </c>
      <c r="Q76" s="12">
        <v>45520</v>
      </c>
      <c r="R76" s="2" t="s">
        <v>362</v>
      </c>
      <c r="S76" s="2" t="s">
        <v>288</v>
      </c>
      <c r="T76" s="149" t="s">
        <v>363</v>
      </c>
      <c r="U76" s="36"/>
      <c r="V76" s="36"/>
      <c r="W76" s="36">
        <f>Table2[[#This Row],[Construction Contract Amount]]+Table2[[#This Row],[Cumulative Variations]]</f>
        <v>0</v>
      </c>
      <c r="X76" s="36"/>
      <c r="Y76" s="36"/>
      <c r="Z76" s="36">
        <f>Table2[[#This Row],[Final Contract Value]]+Table2[[#This Row],[Supervision Contract amount]]+Table2[[#This Row],[Authority Cost]]</f>
        <v>0</v>
      </c>
      <c r="AA76" s="36"/>
      <c r="AB76" s="36"/>
      <c r="AC76" s="91" t="str">
        <f t="shared" si="3"/>
        <v>https://drive.google.com/thumbnail?id=1XRwotDLG4Wn7ltT3YhUdshMCpqVktKT8&amp;sz=w1000</v>
      </c>
      <c r="AD76" s="79" t="s">
        <v>404</v>
      </c>
      <c r="AE76" s="74" t="str">
        <f t="shared" si="4"/>
        <v>https://drive.google.com/thumbnail?id=1m0sCGqTc1t6OyfiPeptI64GQWmQuBkv8&amp;sz=w1000</v>
      </c>
      <c r="AF76" s="79" t="s">
        <v>405</v>
      </c>
      <c r="AG76" s="73" t="str">
        <f t="shared" si="5"/>
        <v>https://drive.google.com/thumbnail?id=1davhSxDuZNhi5xMvx1qc6yUbp9a-alvk&amp;sz=w1000</v>
      </c>
      <c r="AH76" s="79" t="s">
        <v>406</v>
      </c>
    </row>
    <row r="77" spans="1:34" ht="22.15" customHeight="1">
      <c r="A77" s="12">
        <v>45516</v>
      </c>
      <c r="B77" s="17" t="s">
        <v>91</v>
      </c>
      <c r="C77" s="2" t="s">
        <v>94</v>
      </c>
      <c r="D77" s="16" t="str" cm="1">
        <f t="array" ref="D77">_xlfn.XLOOKUP(1, (Table1[Project Name]=Table2[[#This Row],[Project ID]])*(Table1[Plot]=Table2[[#This Row],[Plot]]), Table1[Project ID])</f>
        <v>MJ-07</v>
      </c>
      <c r="E77" s="47">
        <v>89</v>
      </c>
      <c r="F77" s="48">
        <v>521</v>
      </c>
      <c r="G77" s="47">
        <f>Table2[[#This Row],[Time Elapsed]]+Table2[[#This Row],[Time Remaining]]</f>
        <v>610</v>
      </c>
      <c r="H77" s="2" t="s">
        <v>297</v>
      </c>
      <c r="I77" s="2" t="s">
        <v>319</v>
      </c>
      <c r="J77" s="13">
        <v>3.61E-2</v>
      </c>
      <c r="K77" s="148">
        <v>2.8400000000000002E-2</v>
      </c>
      <c r="L77" s="13">
        <f>Table2[[#This Row],[Actual %]]-Table2[[#This Row],[Plan %]]</f>
        <v>-7.6999999999999985E-3</v>
      </c>
      <c r="M77" s="144" t="s">
        <v>289</v>
      </c>
      <c r="N77" s="12">
        <v>45965</v>
      </c>
      <c r="O77" s="12"/>
      <c r="P77" s="12">
        <v>45985</v>
      </c>
      <c r="Q77" s="12">
        <v>45520</v>
      </c>
      <c r="R77" s="2" t="s">
        <v>362</v>
      </c>
      <c r="S77" s="2" t="s">
        <v>288</v>
      </c>
      <c r="T77" s="149" t="s">
        <v>363</v>
      </c>
      <c r="U77" s="36"/>
      <c r="V77" s="36"/>
      <c r="W77" s="36">
        <f>Table2[[#This Row],[Construction Contract Amount]]+Table2[[#This Row],[Cumulative Variations]]</f>
        <v>0</v>
      </c>
      <c r="X77" s="36"/>
      <c r="Y77" s="36"/>
      <c r="Z77" s="36">
        <f>Table2[[#This Row],[Final Contract Value]]+Table2[[#This Row],[Supervision Contract amount]]+Table2[[#This Row],[Authority Cost]]</f>
        <v>0</v>
      </c>
      <c r="AA77" s="36"/>
      <c r="AB77" s="36"/>
      <c r="AC77" s="91" t="str">
        <f t="shared" si="3"/>
        <v>https://drive.google.com/thumbnail?id=1XRwotDLG4Wn7ltT3YhUdshMCpqVktKT8&amp;sz=w1000</v>
      </c>
      <c r="AD77" s="79" t="s">
        <v>404</v>
      </c>
      <c r="AE77" s="74" t="str">
        <f t="shared" si="4"/>
        <v>https://drive.google.com/thumbnail?id=1m0sCGqTc1t6OyfiPeptI64GQWmQuBkv8&amp;sz=w1000</v>
      </c>
      <c r="AF77" s="79" t="s">
        <v>405</v>
      </c>
      <c r="AG77" s="73" t="str">
        <f t="shared" si="5"/>
        <v>https://drive.google.com/thumbnail?id=1davhSxDuZNhi5xMvx1qc6yUbp9a-alvk&amp;sz=w1000</v>
      </c>
      <c r="AH77" s="79" t="s">
        <v>406</v>
      </c>
    </row>
    <row r="78" spans="1:34" ht="22.15" customHeight="1">
      <c r="A78" s="12">
        <v>45516</v>
      </c>
      <c r="B78" s="17" t="s">
        <v>91</v>
      </c>
      <c r="C78" s="2" t="s">
        <v>94</v>
      </c>
      <c r="D78" s="16" t="str" cm="1">
        <f t="array" ref="D78">_xlfn.XLOOKUP(1, (Table1[Project Name]=Table2[[#This Row],[Project ID]])*(Table1[Plot]=Table2[[#This Row],[Plot]]), Table1[Project ID])</f>
        <v>MJ-07</v>
      </c>
      <c r="E78" s="47">
        <v>89</v>
      </c>
      <c r="F78" s="48">
        <v>521</v>
      </c>
      <c r="G78" s="47">
        <f>Table2[[#This Row],[Time Elapsed]]+Table2[[#This Row],[Time Remaining]]</f>
        <v>610</v>
      </c>
      <c r="H78" s="2" t="s">
        <v>297</v>
      </c>
      <c r="I78" s="2" t="s">
        <v>319</v>
      </c>
      <c r="J78" s="13">
        <v>3.61E-2</v>
      </c>
      <c r="K78" s="148">
        <v>2.8400000000000002E-2</v>
      </c>
      <c r="L78" s="13">
        <f>Table2[[#This Row],[Actual %]]-Table2[[#This Row],[Plan %]]</f>
        <v>-7.6999999999999985E-3</v>
      </c>
      <c r="M78" s="144" t="s">
        <v>290</v>
      </c>
      <c r="N78" s="12">
        <v>45983</v>
      </c>
      <c r="O78" s="12"/>
      <c r="P78" s="12">
        <v>46003</v>
      </c>
      <c r="Q78" s="12">
        <v>45520</v>
      </c>
      <c r="R78" s="2" t="s">
        <v>362</v>
      </c>
      <c r="S78" s="2" t="s">
        <v>288</v>
      </c>
      <c r="T78" s="149" t="s">
        <v>363</v>
      </c>
      <c r="U78" s="36"/>
      <c r="V78" s="36"/>
      <c r="W78" s="36">
        <f>Table2[[#This Row],[Construction Contract Amount]]+Table2[[#This Row],[Cumulative Variations]]</f>
        <v>0</v>
      </c>
      <c r="X78" s="36"/>
      <c r="Y78" s="36"/>
      <c r="Z78" s="36">
        <f>Table2[[#This Row],[Final Contract Value]]+Table2[[#This Row],[Supervision Contract amount]]+Table2[[#This Row],[Authority Cost]]</f>
        <v>0</v>
      </c>
      <c r="AA78" s="36"/>
      <c r="AB78" s="36"/>
      <c r="AC78" s="91" t="str">
        <f t="shared" si="3"/>
        <v>https://drive.google.com/thumbnail?id=1XRwotDLG4Wn7ltT3YhUdshMCpqVktKT8&amp;sz=w1000</v>
      </c>
      <c r="AD78" s="79" t="s">
        <v>404</v>
      </c>
      <c r="AE78" s="74" t="str">
        <f t="shared" si="4"/>
        <v>https://drive.google.com/thumbnail?id=1m0sCGqTc1t6OyfiPeptI64GQWmQuBkv8&amp;sz=w1000</v>
      </c>
      <c r="AF78" s="79" t="s">
        <v>405</v>
      </c>
      <c r="AG78" s="73" t="str">
        <f t="shared" si="5"/>
        <v>https://drive.google.com/thumbnail?id=1davhSxDuZNhi5xMvx1qc6yUbp9a-alvk&amp;sz=w1000</v>
      </c>
      <c r="AH78" s="79" t="s">
        <v>406</v>
      </c>
    </row>
    <row r="79" spans="1:34" ht="22.15" customHeight="1">
      <c r="A79" s="12">
        <v>45516</v>
      </c>
      <c r="B79" s="17" t="s">
        <v>91</v>
      </c>
      <c r="C79" s="2" t="s">
        <v>94</v>
      </c>
      <c r="D79" s="16" t="str" cm="1">
        <f t="array" ref="D79">_xlfn.XLOOKUP(1, (Table1[Project Name]=Table2[[#This Row],[Project ID]])*(Table1[Plot]=Table2[[#This Row],[Plot]]), Table1[Project ID])</f>
        <v>MJ-07</v>
      </c>
      <c r="E79" s="47">
        <v>89</v>
      </c>
      <c r="F79" s="48">
        <v>521</v>
      </c>
      <c r="G79" s="47">
        <f>Table2[[#This Row],[Time Elapsed]]+Table2[[#This Row],[Time Remaining]]</f>
        <v>610</v>
      </c>
      <c r="H79" s="2" t="s">
        <v>297</v>
      </c>
      <c r="I79" s="2" t="s">
        <v>319</v>
      </c>
      <c r="J79" s="13">
        <v>3.61E-2</v>
      </c>
      <c r="K79" s="148">
        <v>2.8400000000000002E-2</v>
      </c>
      <c r="L79" s="13">
        <f>Table2[[#This Row],[Actual %]]-Table2[[#This Row],[Plan %]]</f>
        <v>-7.6999999999999985E-3</v>
      </c>
      <c r="M79" s="144" t="s">
        <v>291</v>
      </c>
      <c r="N79" s="12">
        <v>45983</v>
      </c>
      <c r="O79" s="12"/>
      <c r="P79" s="12">
        <v>46003</v>
      </c>
      <c r="Q79" s="12">
        <v>45520</v>
      </c>
      <c r="R79" s="2" t="s">
        <v>362</v>
      </c>
      <c r="S79" s="2" t="s">
        <v>288</v>
      </c>
      <c r="T79" s="149" t="s">
        <v>363</v>
      </c>
      <c r="U79" s="35"/>
      <c r="V79" s="93"/>
      <c r="W79" s="94">
        <f>Table2[[#This Row],[Construction Contract Amount]]+Table2[[#This Row],[Cumulative Variations]]</f>
        <v>0</v>
      </c>
      <c r="X79" s="94"/>
      <c r="Y79" s="93"/>
      <c r="Z79" s="94">
        <f>Table2[[#This Row],[Final Contract Value]]+Table2[[#This Row],[Supervision Contract amount]]+Table2[[#This Row],[Authority Cost]]</f>
        <v>0</v>
      </c>
      <c r="AA79" s="35"/>
      <c r="AB79" s="35"/>
      <c r="AC79" s="91" t="str">
        <f t="shared" si="3"/>
        <v>https://drive.google.com/thumbnail?id=1XRwotDLG4Wn7ltT3YhUdshMCpqVktKT8&amp;sz=w1000</v>
      </c>
      <c r="AD79" s="79" t="s">
        <v>404</v>
      </c>
      <c r="AE79" s="74" t="str">
        <f t="shared" si="4"/>
        <v>https://drive.google.com/thumbnail?id=1m0sCGqTc1t6OyfiPeptI64GQWmQuBkv8&amp;sz=w1000</v>
      </c>
      <c r="AF79" s="79" t="s">
        <v>405</v>
      </c>
      <c r="AG79" s="73" t="str">
        <f t="shared" si="5"/>
        <v>https://drive.google.com/thumbnail?id=1davhSxDuZNhi5xMvx1qc6yUbp9a-alvk&amp;sz=w1000</v>
      </c>
      <c r="AH79" s="79" t="s">
        <v>406</v>
      </c>
    </row>
    <row r="80" spans="1:34" ht="22.15" customHeight="1">
      <c r="A80" s="12">
        <v>45516</v>
      </c>
      <c r="B80" s="17" t="s">
        <v>91</v>
      </c>
      <c r="C80" s="2" t="s">
        <v>94</v>
      </c>
      <c r="D80" s="16" t="str" cm="1">
        <f t="array" ref="D80">_xlfn.XLOOKUP(1, (Table1[Project Name]=Table2[[#This Row],[Project ID]])*(Table1[Plot]=Table2[[#This Row],[Plot]]), Table1[Project ID])</f>
        <v>MJ-07</v>
      </c>
      <c r="E80" s="47">
        <v>89</v>
      </c>
      <c r="F80" s="48">
        <v>521</v>
      </c>
      <c r="G80" s="47">
        <f>Table2[[#This Row],[Time Elapsed]]+Table2[[#This Row],[Time Remaining]]</f>
        <v>610</v>
      </c>
      <c r="H80" s="2" t="s">
        <v>297</v>
      </c>
      <c r="I80" s="2" t="s">
        <v>319</v>
      </c>
      <c r="J80" s="13">
        <v>3.61E-2</v>
      </c>
      <c r="K80" s="148">
        <v>2.8400000000000002E-2</v>
      </c>
      <c r="L80" s="13">
        <f>Table2[[#This Row],[Actual %]]-Table2[[#This Row],[Plan %]]</f>
        <v>-7.6999999999999985E-3</v>
      </c>
      <c r="M80" s="144" t="s">
        <v>284</v>
      </c>
      <c r="N80" s="12">
        <v>46006</v>
      </c>
      <c r="O80" s="12"/>
      <c r="P80" s="12">
        <v>46026</v>
      </c>
      <c r="Q80" s="12">
        <v>45520</v>
      </c>
      <c r="R80" s="2" t="s">
        <v>362</v>
      </c>
      <c r="S80" s="2" t="s">
        <v>288</v>
      </c>
      <c r="T80" s="149" t="s">
        <v>363</v>
      </c>
      <c r="U80" s="35"/>
      <c r="V80" s="93"/>
      <c r="W80" s="94">
        <f>Table2[[#This Row],[Construction Contract Amount]]+Table2[[#This Row],[Cumulative Variations]]</f>
        <v>0</v>
      </c>
      <c r="X80" s="94"/>
      <c r="Y80" s="93"/>
      <c r="Z80" s="94">
        <f>Table2[[#This Row],[Final Contract Value]]+Table2[[#This Row],[Supervision Contract amount]]+Table2[[#This Row],[Authority Cost]]</f>
        <v>0</v>
      </c>
      <c r="AA80" s="35"/>
      <c r="AB80" s="35"/>
      <c r="AC80" s="91" t="str">
        <f t="shared" si="3"/>
        <v>https://drive.google.com/thumbnail?id=1XRwotDLG4Wn7ltT3YhUdshMCpqVktKT8&amp;sz=w1000</v>
      </c>
      <c r="AD80" s="79" t="s">
        <v>404</v>
      </c>
      <c r="AE80" s="74" t="str">
        <f t="shared" si="4"/>
        <v>https://drive.google.com/thumbnail?id=1m0sCGqTc1t6OyfiPeptI64GQWmQuBkv8&amp;sz=w1000</v>
      </c>
      <c r="AF80" s="79" t="s">
        <v>405</v>
      </c>
      <c r="AG80" s="73" t="str">
        <f t="shared" si="5"/>
        <v>https://drive.google.com/thumbnail?id=1davhSxDuZNhi5xMvx1qc6yUbp9a-alvk&amp;sz=w1000</v>
      </c>
      <c r="AH80" s="79" t="s">
        <v>406</v>
      </c>
    </row>
    <row r="81" spans="1:34" ht="22.15" customHeight="1">
      <c r="A81" s="12">
        <v>45516</v>
      </c>
      <c r="B81" s="17" t="s">
        <v>91</v>
      </c>
      <c r="C81" s="2" t="s">
        <v>94</v>
      </c>
      <c r="D81" s="16" t="str" cm="1">
        <f t="array" ref="D81">_xlfn.XLOOKUP(1, (Table1[Project Name]=Table2[[#This Row],[Project ID]])*(Table1[Plot]=Table2[[#This Row],[Plot]]), Table1[Project ID])</f>
        <v>MJ-07</v>
      </c>
      <c r="E81" s="47">
        <v>89</v>
      </c>
      <c r="F81" s="48">
        <v>521</v>
      </c>
      <c r="G81" s="47">
        <f>Table2[[#This Row],[Time Elapsed]]+Table2[[#This Row],[Time Remaining]]</f>
        <v>610</v>
      </c>
      <c r="H81" s="2" t="s">
        <v>297</v>
      </c>
      <c r="I81" s="2" t="s">
        <v>319</v>
      </c>
      <c r="J81" s="13">
        <v>3.61E-2</v>
      </c>
      <c r="K81" s="148">
        <v>2.8400000000000002E-2</v>
      </c>
      <c r="L81" s="13">
        <f>Table2[[#This Row],[Actual %]]-Table2[[#This Row],[Plan %]]</f>
        <v>-7.6999999999999985E-3</v>
      </c>
      <c r="M81" s="144" t="s">
        <v>339</v>
      </c>
      <c r="N81" s="12">
        <v>46036</v>
      </c>
      <c r="O81" s="12"/>
      <c r="P81" s="12">
        <v>46057</v>
      </c>
      <c r="Q81" s="12">
        <v>45520</v>
      </c>
      <c r="R81" s="2" t="s">
        <v>362</v>
      </c>
      <c r="S81" s="2" t="s">
        <v>288</v>
      </c>
      <c r="T81" s="149" t="s">
        <v>363</v>
      </c>
      <c r="U81" s="35"/>
      <c r="V81" s="93"/>
      <c r="W81" s="94">
        <f>Table2[[#This Row],[Construction Contract Amount]]+Table2[[#This Row],[Cumulative Variations]]</f>
        <v>0</v>
      </c>
      <c r="X81" s="94"/>
      <c r="Y81" s="93"/>
      <c r="Z81" s="94">
        <f>Table2[[#This Row],[Final Contract Value]]+Table2[[#This Row],[Supervision Contract amount]]+Table2[[#This Row],[Authority Cost]]</f>
        <v>0</v>
      </c>
      <c r="AA81" s="35"/>
      <c r="AB81" s="35"/>
      <c r="AC81" s="91" t="str">
        <f t="shared" si="3"/>
        <v>https://drive.google.com/thumbnail?id=1XRwotDLG4Wn7ltT3YhUdshMCpqVktKT8&amp;sz=w1000</v>
      </c>
      <c r="AD81" s="79" t="s">
        <v>404</v>
      </c>
      <c r="AE81" s="74" t="str">
        <f t="shared" si="4"/>
        <v>https://drive.google.com/thumbnail?id=1m0sCGqTc1t6OyfiPeptI64GQWmQuBkv8&amp;sz=w1000</v>
      </c>
      <c r="AF81" s="79" t="s">
        <v>405</v>
      </c>
      <c r="AG81" s="73" t="str">
        <f t="shared" si="5"/>
        <v>https://drive.google.com/thumbnail?id=1davhSxDuZNhi5xMvx1qc6yUbp9a-alvk&amp;sz=w1000</v>
      </c>
      <c r="AH81" s="79" t="s">
        <v>406</v>
      </c>
    </row>
    <row r="82" spans="1:34" ht="22.15" customHeight="1">
      <c r="A82" s="12">
        <v>45516</v>
      </c>
      <c r="B82" s="24" t="s">
        <v>123</v>
      </c>
      <c r="C82" s="2" t="s">
        <v>126</v>
      </c>
      <c r="D82" s="16" t="str" cm="1">
        <f t="array" ref="D82">_xlfn.XLOOKUP(1, (Table1[Project Name]=Table2[[#This Row],[Project ID]])*(Table1[Plot]=Table2[[#This Row],[Plot]]), Table1[Project ID])</f>
        <v>MJ-15</v>
      </c>
      <c r="E82" s="49">
        <v>0</v>
      </c>
      <c r="F82" s="50">
        <v>610</v>
      </c>
      <c r="G82" s="49">
        <f>Table2[[#This Row],[Time Elapsed]]+Table2[[#This Row],[Time Remaining]]</f>
        <v>610</v>
      </c>
      <c r="H82" s="2"/>
      <c r="I82" s="2"/>
      <c r="J82" s="13">
        <v>0</v>
      </c>
      <c r="K82" s="148">
        <v>0</v>
      </c>
      <c r="L82" s="13">
        <f>Table2[[#This Row],[Actual %]]-Table2[[#This Row],[Plan %]]</f>
        <v>0</v>
      </c>
      <c r="M82" s="144" t="s">
        <v>285</v>
      </c>
      <c r="N82" s="12">
        <v>45550</v>
      </c>
      <c r="O82" s="12"/>
      <c r="P82" s="12"/>
      <c r="Q82" s="12">
        <v>45520</v>
      </c>
      <c r="R82" s="2" t="s">
        <v>364</v>
      </c>
      <c r="S82" s="2" t="s">
        <v>365</v>
      </c>
      <c r="T82" s="149" t="s">
        <v>366</v>
      </c>
      <c r="U82" s="35"/>
      <c r="V82" s="93"/>
      <c r="W82" s="94">
        <f>Table2[[#This Row],[Construction Contract Amount]]+Table2[[#This Row],[Cumulative Variations]]</f>
        <v>0</v>
      </c>
      <c r="X82" s="94"/>
      <c r="Y82" s="93"/>
      <c r="Z82" s="94">
        <f>Table2[[#This Row],[Final Contract Value]]+Table2[[#This Row],[Supervision Contract amount]]+Table2[[#This Row],[Authority Cost]]</f>
        <v>0</v>
      </c>
      <c r="AA82" s="35"/>
      <c r="AB82" s="35"/>
      <c r="AC82" s="91" t="str">
        <f t="shared" si="3"/>
        <v>https://drive.google.com/thumbnail?id=1dOSANF0t0AMhLvT5qlmKuF_szpDrFIOV&amp;sz=w1000</v>
      </c>
      <c r="AD82" s="80" t="s">
        <v>407</v>
      </c>
      <c r="AE82" s="74" t="str">
        <f t="shared" si="4"/>
        <v>https://drive.google.com/thumbnail?id=1UQjOfPn-C05A2ksrxMwMtksI2P0xlIz8&amp;sz=w1000</v>
      </c>
      <c r="AF82" s="80" t="s">
        <v>408</v>
      </c>
      <c r="AG82" s="73" t="str">
        <f t="shared" si="5"/>
        <v>https://drive.google.com/thumbnail?id=1OnwdPVGGVlXHeDo0NSoyMOqv2DdSXlPD&amp;sz=w1000</v>
      </c>
      <c r="AH82" s="80" t="s">
        <v>409</v>
      </c>
    </row>
    <row r="83" spans="1:34" ht="22.15" customHeight="1">
      <c r="A83" s="12">
        <v>45516</v>
      </c>
      <c r="B83" s="24" t="s">
        <v>123</v>
      </c>
      <c r="C83" s="2" t="s">
        <v>126</v>
      </c>
      <c r="D83" s="16" t="str" cm="1">
        <f t="array" ref="D83">_xlfn.XLOOKUP(1, (Table1[Project Name]=Table2[[#This Row],[Project ID]])*(Table1[Plot]=Table2[[#This Row],[Plot]]), Table1[Project ID])</f>
        <v>MJ-15</v>
      </c>
      <c r="E83" s="49">
        <v>0</v>
      </c>
      <c r="F83" s="50">
        <v>610</v>
      </c>
      <c r="G83" s="49">
        <f>Table2[[#This Row],[Time Elapsed]]+Table2[[#This Row],[Time Remaining]]</f>
        <v>610</v>
      </c>
      <c r="H83" s="2"/>
      <c r="I83" s="2"/>
      <c r="J83" s="13">
        <v>0</v>
      </c>
      <c r="K83" s="148">
        <v>0</v>
      </c>
      <c r="L83" s="13">
        <f>Table2[[#This Row],[Actual %]]-Table2[[#This Row],[Plan %]]</f>
        <v>0</v>
      </c>
      <c r="M83" s="144" t="s">
        <v>287</v>
      </c>
      <c r="N83" s="12">
        <v>45556</v>
      </c>
      <c r="O83" s="12"/>
      <c r="P83" s="12"/>
      <c r="Q83" s="12">
        <v>45520</v>
      </c>
      <c r="R83" s="2" t="s">
        <v>364</v>
      </c>
      <c r="S83" s="2" t="s">
        <v>365</v>
      </c>
      <c r="T83" s="149" t="s">
        <v>366</v>
      </c>
      <c r="U83" s="35"/>
      <c r="V83" s="93"/>
      <c r="W83" s="94">
        <f>Table2[[#This Row],[Construction Contract Amount]]+Table2[[#This Row],[Cumulative Variations]]</f>
        <v>0</v>
      </c>
      <c r="X83" s="94"/>
      <c r="Y83" s="93"/>
      <c r="Z83" s="94">
        <f>Table2[[#This Row],[Final Contract Value]]+Table2[[#This Row],[Supervision Contract amount]]+Table2[[#This Row],[Authority Cost]]</f>
        <v>0</v>
      </c>
      <c r="AA83" s="35"/>
      <c r="AB83" s="35"/>
      <c r="AC83" s="91" t="str">
        <f t="shared" si="3"/>
        <v>https://drive.google.com/thumbnail?id=1dOSANF0t0AMhLvT5qlmKuF_szpDrFIOV&amp;sz=w1000</v>
      </c>
      <c r="AD83" s="80" t="s">
        <v>407</v>
      </c>
      <c r="AE83" s="74" t="str">
        <f t="shared" si="4"/>
        <v>https://drive.google.com/thumbnail?id=1UQjOfPn-C05A2ksrxMwMtksI2P0xlIz8&amp;sz=w1000</v>
      </c>
      <c r="AF83" s="80" t="s">
        <v>408</v>
      </c>
      <c r="AG83" s="73" t="str">
        <f t="shared" si="5"/>
        <v>https://drive.google.com/thumbnail?id=1OnwdPVGGVlXHeDo0NSoyMOqv2DdSXlPD&amp;sz=w1000</v>
      </c>
      <c r="AH83" s="80" t="s">
        <v>409</v>
      </c>
    </row>
    <row r="84" spans="1:34" ht="22.15" customHeight="1">
      <c r="A84" s="12">
        <v>45516</v>
      </c>
      <c r="B84" s="24" t="s">
        <v>123</v>
      </c>
      <c r="C84" s="2" t="s">
        <v>126</v>
      </c>
      <c r="D84" s="16" t="str" cm="1">
        <f t="array" ref="D84">_xlfn.XLOOKUP(1, (Table1[Project Name]=Table2[[#This Row],[Project ID]])*(Table1[Plot]=Table2[[#This Row],[Plot]]), Table1[Project ID])</f>
        <v>MJ-15</v>
      </c>
      <c r="E84" s="49">
        <v>0</v>
      </c>
      <c r="F84" s="50">
        <v>610</v>
      </c>
      <c r="G84" s="49">
        <f>Table2[[#This Row],[Time Elapsed]]+Table2[[#This Row],[Time Remaining]]</f>
        <v>610</v>
      </c>
      <c r="H84" s="2"/>
      <c r="I84" s="2"/>
      <c r="J84" s="13">
        <v>0</v>
      </c>
      <c r="K84" s="148">
        <v>0</v>
      </c>
      <c r="L84" s="13">
        <f>Table2[[#This Row],[Actual %]]-Table2[[#This Row],[Plan %]]</f>
        <v>0</v>
      </c>
      <c r="M84" s="144" t="s">
        <v>51</v>
      </c>
      <c r="N84" s="12">
        <v>45579</v>
      </c>
      <c r="O84" s="12"/>
      <c r="P84" s="12"/>
      <c r="Q84" s="12">
        <v>45520</v>
      </c>
      <c r="R84" s="2" t="s">
        <v>364</v>
      </c>
      <c r="S84" s="2" t="s">
        <v>365</v>
      </c>
      <c r="T84" s="149" t="s">
        <v>366</v>
      </c>
      <c r="U84" s="35"/>
      <c r="V84" s="93"/>
      <c r="W84" s="94">
        <f>Table2[[#This Row],[Construction Contract Amount]]+Table2[[#This Row],[Cumulative Variations]]</f>
        <v>0</v>
      </c>
      <c r="X84" s="94"/>
      <c r="Y84" s="93"/>
      <c r="Z84" s="94">
        <f>Table2[[#This Row],[Final Contract Value]]+Table2[[#This Row],[Supervision Contract amount]]+Table2[[#This Row],[Authority Cost]]</f>
        <v>0</v>
      </c>
      <c r="AA84" s="35"/>
      <c r="AB84" s="35"/>
      <c r="AC84" s="91" t="str">
        <f t="shared" si="3"/>
        <v>https://drive.google.com/thumbnail?id=1dOSANF0t0AMhLvT5qlmKuF_szpDrFIOV&amp;sz=w1000</v>
      </c>
      <c r="AD84" s="80" t="s">
        <v>407</v>
      </c>
      <c r="AE84" s="74" t="str">
        <f t="shared" si="4"/>
        <v>https://drive.google.com/thumbnail?id=1UQjOfPn-C05A2ksrxMwMtksI2P0xlIz8&amp;sz=w1000</v>
      </c>
      <c r="AF84" s="80" t="s">
        <v>408</v>
      </c>
      <c r="AG84" s="73" t="str">
        <f t="shared" si="5"/>
        <v>https://drive.google.com/thumbnail?id=1OnwdPVGGVlXHeDo0NSoyMOqv2DdSXlPD&amp;sz=w1000</v>
      </c>
      <c r="AH84" s="80" t="s">
        <v>409</v>
      </c>
    </row>
    <row r="85" spans="1:34" ht="22.15" customHeight="1">
      <c r="A85" s="12">
        <v>45516</v>
      </c>
      <c r="B85" s="17" t="s">
        <v>111</v>
      </c>
      <c r="C85" s="2" t="s">
        <v>11</v>
      </c>
      <c r="D85" s="16" t="str" cm="1">
        <f t="array" ref="D85">_xlfn.XLOOKUP(1, (Table1[Project Name]=Table2[[#This Row],[Project ID]])*(Table1[Plot]=Table2[[#This Row],[Plot]]), Table1[Project ID])</f>
        <v>MJ-12</v>
      </c>
      <c r="E85" s="51">
        <v>28</v>
      </c>
      <c r="F85" s="52">
        <v>580</v>
      </c>
      <c r="G85" s="51">
        <f>Table2[[#This Row],[Time Elapsed]]+Table2[[#This Row],[Time Remaining]]</f>
        <v>608</v>
      </c>
      <c r="H85" s="2" t="s">
        <v>299</v>
      </c>
      <c r="I85" s="2" t="s">
        <v>320</v>
      </c>
      <c r="J85" s="13">
        <v>0</v>
      </c>
      <c r="K85" s="148">
        <v>0</v>
      </c>
      <c r="L85" s="13">
        <f>Table2[[#This Row],[Actual %]]-Table2[[#This Row],[Plan %]]</f>
        <v>0</v>
      </c>
      <c r="M85" s="144" t="s">
        <v>285</v>
      </c>
      <c r="N85" s="12">
        <v>45489</v>
      </c>
      <c r="O85" s="12">
        <v>45489</v>
      </c>
      <c r="P85" s="12"/>
      <c r="Q85" s="12">
        <v>45520</v>
      </c>
      <c r="R85" s="2" t="s">
        <v>367</v>
      </c>
      <c r="S85" s="2" t="s">
        <v>368</v>
      </c>
      <c r="T85" s="149" t="s">
        <v>369</v>
      </c>
      <c r="U85" s="35"/>
      <c r="V85" s="93"/>
      <c r="W85" s="94">
        <f>Table2[[#This Row],[Construction Contract Amount]]+Table2[[#This Row],[Cumulative Variations]]</f>
        <v>0</v>
      </c>
      <c r="X85" s="94"/>
      <c r="Y85" s="93"/>
      <c r="Z85" s="94">
        <f>Table2[[#This Row],[Final Contract Value]]+Table2[[#This Row],[Supervision Contract amount]]+Table2[[#This Row],[Authority Cost]]</f>
        <v>0</v>
      </c>
      <c r="AA85" s="35"/>
      <c r="AB85" s="35"/>
      <c r="AC85" s="91" t="str">
        <f t="shared" si="3"/>
        <v>https://drive.google.com/thumbnail?id=1Xx52lP-CL3Mjgh7XgJuGe8OZtl_A0Kie&amp;sz=w1000</v>
      </c>
      <c r="AD85" s="81" t="s">
        <v>410</v>
      </c>
      <c r="AE85" s="74" t="str">
        <f t="shared" si="4"/>
        <v>https://drive.google.com/thumbnail?id=1TL9IrzKlPKxuk1hHUSBJEQg3OHu9BPMb&amp;sz=w1000</v>
      </c>
      <c r="AF85" s="81" t="s">
        <v>411</v>
      </c>
      <c r="AG85" s="73" t="str">
        <f t="shared" si="5"/>
        <v>https://drive.google.com/thumbnail?id=1mjk5nvW4b1WflrBJK-EEPQRX1KlRm6e2&amp;sz=w1000</v>
      </c>
      <c r="AH85" s="81" t="s">
        <v>412</v>
      </c>
    </row>
    <row r="86" spans="1:34" ht="22.15" customHeight="1">
      <c r="A86" s="12">
        <v>45516</v>
      </c>
      <c r="B86" s="17" t="s">
        <v>111</v>
      </c>
      <c r="C86" s="2" t="s">
        <v>11</v>
      </c>
      <c r="D86" s="16" t="str" cm="1">
        <f t="array" ref="D86">_xlfn.XLOOKUP(1, (Table1[Project Name]=Table2[[#This Row],[Project ID]])*(Table1[Plot]=Table2[[#This Row],[Plot]]), Table1[Project ID])</f>
        <v>MJ-12</v>
      </c>
      <c r="E86" s="51">
        <v>28</v>
      </c>
      <c r="F86" s="52">
        <v>580</v>
      </c>
      <c r="G86" s="51">
        <f>Table2[[#This Row],[Time Elapsed]]+Table2[[#This Row],[Time Remaining]]</f>
        <v>608</v>
      </c>
      <c r="H86" s="2" t="s">
        <v>299</v>
      </c>
      <c r="I86" s="2" t="s">
        <v>320</v>
      </c>
      <c r="J86" s="13">
        <v>0</v>
      </c>
      <c r="K86" s="148">
        <v>0</v>
      </c>
      <c r="L86" s="13">
        <f>Table2[[#This Row],[Actual %]]-Table2[[#This Row],[Plan %]]</f>
        <v>0</v>
      </c>
      <c r="M86" s="144" t="s">
        <v>287</v>
      </c>
      <c r="N86" s="12">
        <v>45477</v>
      </c>
      <c r="O86" s="12"/>
      <c r="P86" s="12">
        <v>45507</v>
      </c>
      <c r="Q86" s="12">
        <v>45520</v>
      </c>
      <c r="R86" s="2" t="s">
        <v>367</v>
      </c>
      <c r="S86" s="2" t="s">
        <v>368</v>
      </c>
      <c r="T86" s="149" t="s">
        <v>369</v>
      </c>
      <c r="U86" s="35"/>
      <c r="V86" s="93"/>
      <c r="W86" s="94">
        <f>Table2[[#This Row],[Construction Contract Amount]]+Table2[[#This Row],[Cumulative Variations]]</f>
        <v>0</v>
      </c>
      <c r="X86" s="94"/>
      <c r="Y86" s="93"/>
      <c r="Z86" s="94">
        <f>Table2[[#This Row],[Final Contract Value]]+Table2[[#This Row],[Supervision Contract amount]]+Table2[[#This Row],[Authority Cost]]</f>
        <v>0</v>
      </c>
      <c r="AA86" s="35"/>
      <c r="AB86" s="35"/>
      <c r="AC86" s="91" t="str">
        <f t="shared" si="3"/>
        <v>https://drive.google.com/thumbnail?id=1Xx52lP-CL3Mjgh7XgJuGe8OZtl_A0Kie&amp;sz=w1000</v>
      </c>
      <c r="AD86" s="81" t="s">
        <v>410</v>
      </c>
      <c r="AE86" s="74" t="str">
        <f t="shared" si="4"/>
        <v>https://drive.google.com/thumbnail?id=1TL9IrzKlPKxuk1hHUSBJEQg3OHu9BPMb&amp;sz=w1000</v>
      </c>
      <c r="AF86" s="81" t="s">
        <v>411</v>
      </c>
      <c r="AG86" s="73" t="str">
        <f t="shared" si="5"/>
        <v>https://drive.google.com/thumbnail?id=1mjk5nvW4b1WflrBJK-EEPQRX1KlRm6e2&amp;sz=w1000</v>
      </c>
      <c r="AH86" s="81" t="s">
        <v>412</v>
      </c>
    </row>
    <row r="87" spans="1:34" ht="22.15" customHeight="1">
      <c r="A87" s="12">
        <v>45516</v>
      </c>
      <c r="B87" s="17" t="s">
        <v>111</v>
      </c>
      <c r="C87" s="2" t="s">
        <v>11</v>
      </c>
      <c r="D87" s="16" t="str" cm="1">
        <f t="array" ref="D87">_xlfn.XLOOKUP(1, (Table1[Project Name]=Table2[[#This Row],[Project ID]])*(Table1[Plot]=Table2[[#This Row],[Plot]]), Table1[Project ID])</f>
        <v>MJ-12</v>
      </c>
      <c r="E87" s="51">
        <v>28</v>
      </c>
      <c r="F87" s="52">
        <v>580</v>
      </c>
      <c r="G87" s="51">
        <f>Table2[[#This Row],[Time Elapsed]]+Table2[[#This Row],[Time Remaining]]</f>
        <v>608</v>
      </c>
      <c r="H87" s="2" t="s">
        <v>299</v>
      </c>
      <c r="I87" s="2" t="s">
        <v>320</v>
      </c>
      <c r="J87" s="13">
        <v>0</v>
      </c>
      <c r="K87" s="148">
        <v>0</v>
      </c>
      <c r="L87" s="13">
        <f>Table2[[#This Row],[Actual %]]-Table2[[#This Row],[Plan %]]</f>
        <v>0</v>
      </c>
      <c r="M87" s="144" t="s">
        <v>292</v>
      </c>
      <c r="N87" s="12">
        <v>45499</v>
      </c>
      <c r="O87" s="12"/>
      <c r="P87" s="12">
        <v>45499</v>
      </c>
      <c r="Q87" s="12">
        <v>45520</v>
      </c>
      <c r="R87" s="2" t="s">
        <v>367</v>
      </c>
      <c r="S87" s="2" t="s">
        <v>368</v>
      </c>
      <c r="T87" s="149" t="s">
        <v>369</v>
      </c>
      <c r="U87" s="35"/>
      <c r="V87" s="93"/>
      <c r="W87" s="94">
        <f>Table2[[#This Row],[Construction Contract Amount]]+Table2[[#This Row],[Cumulative Variations]]</f>
        <v>0</v>
      </c>
      <c r="X87" s="94"/>
      <c r="Y87" s="93"/>
      <c r="Z87" s="94">
        <f>Table2[[#This Row],[Final Contract Value]]+Table2[[#This Row],[Supervision Contract amount]]+Table2[[#This Row],[Authority Cost]]</f>
        <v>0</v>
      </c>
      <c r="AA87" s="35"/>
      <c r="AB87" s="35"/>
      <c r="AC87" s="91" t="str">
        <f t="shared" si="3"/>
        <v>https://drive.google.com/thumbnail?id=1Xx52lP-CL3Mjgh7XgJuGe8OZtl_A0Kie&amp;sz=w1000</v>
      </c>
      <c r="AD87" s="81" t="s">
        <v>410</v>
      </c>
      <c r="AE87" s="74" t="str">
        <f t="shared" si="4"/>
        <v>https://drive.google.com/thumbnail?id=1TL9IrzKlPKxuk1hHUSBJEQg3OHu9BPMb&amp;sz=w1000</v>
      </c>
      <c r="AF87" s="81" t="s">
        <v>411</v>
      </c>
      <c r="AG87" s="73" t="str">
        <f t="shared" si="5"/>
        <v>https://drive.google.com/thumbnail?id=1mjk5nvW4b1WflrBJK-EEPQRX1KlRm6e2&amp;sz=w1000</v>
      </c>
      <c r="AH87" s="81" t="s">
        <v>412</v>
      </c>
    </row>
    <row r="88" spans="1:34" ht="22.15" customHeight="1">
      <c r="A88" s="12">
        <v>45516</v>
      </c>
      <c r="B88" s="17" t="s">
        <v>111</v>
      </c>
      <c r="C88" s="2" t="s">
        <v>11</v>
      </c>
      <c r="D88" s="16" t="str" cm="1">
        <f t="array" ref="D88">_xlfn.XLOOKUP(1, (Table1[Project Name]=Table2[[#This Row],[Project ID]])*(Table1[Plot]=Table2[[#This Row],[Plot]]), Table1[Project ID])</f>
        <v>MJ-12</v>
      </c>
      <c r="E88" s="51">
        <v>28</v>
      </c>
      <c r="F88" s="52">
        <v>580</v>
      </c>
      <c r="G88" s="51">
        <f>Table2[[#This Row],[Time Elapsed]]+Table2[[#This Row],[Time Remaining]]</f>
        <v>608</v>
      </c>
      <c r="H88" s="2" t="s">
        <v>299</v>
      </c>
      <c r="I88" s="2" t="s">
        <v>320</v>
      </c>
      <c r="J88" s="13">
        <v>0</v>
      </c>
      <c r="K88" s="148">
        <v>0</v>
      </c>
      <c r="L88" s="13">
        <f>Table2[[#This Row],[Actual %]]-Table2[[#This Row],[Plan %]]</f>
        <v>0</v>
      </c>
      <c r="M88" s="144" t="s">
        <v>340</v>
      </c>
      <c r="N88" s="12">
        <v>45503</v>
      </c>
      <c r="O88" s="12"/>
      <c r="P88" s="12">
        <v>45503</v>
      </c>
      <c r="Q88" s="12">
        <v>45520</v>
      </c>
      <c r="R88" s="2" t="s">
        <v>367</v>
      </c>
      <c r="S88" s="2" t="s">
        <v>368</v>
      </c>
      <c r="T88" s="149" t="s">
        <v>369</v>
      </c>
      <c r="U88" s="35"/>
      <c r="V88" s="93"/>
      <c r="W88" s="94">
        <f>Table2[[#This Row],[Construction Contract Amount]]+Table2[[#This Row],[Cumulative Variations]]</f>
        <v>0</v>
      </c>
      <c r="X88" s="94"/>
      <c r="Y88" s="93"/>
      <c r="Z88" s="94">
        <f>Table2[[#This Row],[Final Contract Value]]+Table2[[#This Row],[Supervision Contract amount]]+Table2[[#This Row],[Authority Cost]]</f>
        <v>0</v>
      </c>
      <c r="AA88" s="35"/>
      <c r="AB88" s="35"/>
      <c r="AC88" s="91" t="str">
        <f t="shared" si="3"/>
        <v>https://drive.google.com/thumbnail?id=1Xx52lP-CL3Mjgh7XgJuGe8OZtl_A0Kie&amp;sz=w1000</v>
      </c>
      <c r="AD88" s="81" t="s">
        <v>410</v>
      </c>
      <c r="AE88" s="74" t="str">
        <f t="shared" si="4"/>
        <v>https://drive.google.com/thumbnail?id=1TL9IrzKlPKxuk1hHUSBJEQg3OHu9BPMb&amp;sz=w1000</v>
      </c>
      <c r="AF88" s="81" t="s">
        <v>411</v>
      </c>
      <c r="AG88" s="73" t="str">
        <f t="shared" si="5"/>
        <v>https://drive.google.com/thumbnail?id=1mjk5nvW4b1WflrBJK-EEPQRX1KlRm6e2&amp;sz=w1000</v>
      </c>
      <c r="AH88" s="81" t="s">
        <v>412</v>
      </c>
    </row>
    <row r="89" spans="1:34" ht="22.15" customHeight="1">
      <c r="A89" s="12">
        <v>45516</v>
      </c>
      <c r="B89" s="17" t="s">
        <v>111</v>
      </c>
      <c r="C89" s="2" t="s">
        <v>11</v>
      </c>
      <c r="D89" s="16" t="str" cm="1">
        <f t="array" ref="D89">_xlfn.XLOOKUP(1, (Table1[Project Name]=Table2[[#This Row],[Project ID]])*(Table1[Plot]=Table2[[#This Row],[Plot]]), Table1[Project ID])</f>
        <v>MJ-12</v>
      </c>
      <c r="E89" s="51">
        <v>28</v>
      </c>
      <c r="F89" s="52">
        <v>580</v>
      </c>
      <c r="G89" s="51">
        <f>Table2[[#This Row],[Time Elapsed]]+Table2[[#This Row],[Time Remaining]]</f>
        <v>608</v>
      </c>
      <c r="H89" s="2" t="s">
        <v>299</v>
      </c>
      <c r="I89" s="2" t="s">
        <v>320</v>
      </c>
      <c r="J89" s="13">
        <v>0</v>
      </c>
      <c r="K89" s="148">
        <v>0</v>
      </c>
      <c r="L89" s="13">
        <f>Table2[[#This Row],[Actual %]]-Table2[[#This Row],[Plan %]]</f>
        <v>0</v>
      </c>
      <c r="M89" s="144" t="s">
        <v>293</v>
      </c>
      <c r="N89" s="12">
        <v>45507</v>
      </c>
      <c r="O89" s="12"/>
      <c r="P89" s="12">
        <v>45513</v>
      </c>
      <c r="Q89" s="12">
        <v>45520</v>
      </c>
      <c r="R89" s="2" t="s">
        <v>367</v>
      </c>
      <c r="S89" s="2" t="s">
        <v>368</v>
      </c>
      <c r="T89" s="149" t="s">
        <v>369</v>
      </c>
      <c r="U89" s="35"/>
      <c r="V89" s="93"/>
      <c r="W89" s="94">
        <f>Table2[[#This Row],[Construction Contract Amount]]+Table2[[#This Row],[Cumulative Variations]]</f>
        <v>0</v>
      </c>
      <c r="X89" s="35"/>
      <c r="Y89" s="93"/>
      <c r="Z89" s="94">
        <f>Table2[[#This Row],[Final Contract Value]]+Table2[[#This Row],[Supervision Contract amount]]+Table2[[#This Row],[Authority Cost]]</f>
        <v>0</v>
      </c>
      <c r="AA89" s="35"/>
      <c r="AB89" s="35"/>
      <c r="AC89" s="91" t="str">
        <f t="shared" si="3"/>
        <v>https://drive.google.com/thumbnail?id=1Xx52lP-CL3Mjgh7XgJuGe8OZtl_A0Kie&amp;sz=w1000</v>
      </c>
      <c r="AD89" s="81" t="s">
        <v>410</v>
      </c>
      <c r="AE89" s="74" t="str">
        <f t="shared" si="4"/>
        <v>https://drive.google.com/thumbnail?id=1TL9IrzKlPKxuk1hHUSBJEQg3OHu9BPMb&amp;sz=w1000</v>
      </c>
      <c r="AF89" s="81" t="s">
        <v>411</v>
      </c>
      <c r="AG89" s="73" t="str">
        <f t="shared" si="5"/>
        <v>https://drive.google.com/thumbnail?id=1mjk5nvW4b1WflrBJK-EEPQRX1KlRm6e2&amp;sz=w1000</v>
      </c>
      <c r="AH89" s="81" t="s">
        <v>412</v>
      </c>
    </row>
    <row r="90" spans="1:34" ht="22.15" customHeight="1">
      <c r="A90" s="12">
        <v>45516</v>
      </c>
      <c r="B90" s="17" t="s">
        <v>111</v>
      </c>
      <c r="C90" s="2" t="s">
        <v>11</v>
      </c>
      <c r="D90" s="16" t="str" cm="1">
        <f t="array" ref="D90">_xlfn.XLOOKUP(1, (Table1[Project Name]=Table2[[#This Row],[Project ID]])*(Table1[Plot]=Table2[[#This Row],[Plot]]), Table1[Project ID])</f>
        <v>MJ-12</v>
      </c>
      <c r="E90" s="51">
        <v>28</v>
      </c>
      <c r="F90" s="52">
        <v>580</v>
      </c>
      <c r="G90" s="51">
        <f>Table2[[#This Row],[Time Elapsed]]+Table2[[#This Row],[Time Remaining]]</f>
        <v>608</v>
      </c>
      <c r="H90" s="2" t="s">
        <v>299</v>
      </c>
      <c r="I90" s="2" t="s">
        <v>320</v>
      </c>
      <c r="J90" s="13">
        <v>0</v>
      </c>
      <c r="K90" s="148">
        <v>0</v>
      </c>
      <c r="L90" s="13">
        <f>Table2[[#This Row],[Actual %]]-Table2[[#This Row],[Plan %]]</f>
        <v>0</v>
      </c>
      <c r="M90" s="144" t="s">
        <v>294</v>
      </c>
      <c r="N90" s="12">
        <v>45507</v>
      </c>
      <c r="O90" s="12"/>
      <c r="P90" s="12">
        <v>45513</v>
      </c>
      <c r="Q90" s="12">
        <v>45520</v>
      </c>
      <c r="R90" s="2" t="s">
        <v>367</v>
      </c>
      <c r="S90" s="2" t="s">
        <v>368</v>
      </c>
      <c r="T90" s="149" t="s">
        <v>369</v>
      </c>
      <c r="U90" s="35"/>
      <c r="V90" s="93"/>
      <c r="W90" s="94">
        <f>Table2[[#This Row],[Construction Contract Amount]]+Table2[[#This Row],[Cumulative Variations]]</f>
        <v>0</v>
      </c>
      <c r="X90" s="35"/>
      <c r="Y90" s="93"/>
      <c r="Z90" s="94">
        <f>Table2[[#This Row],[Final Contract Value]]+Table2[[#This Row],[Supervision Contract amount]]+Table2[[#This Row],[Authority Cost]]</f>
        <v>0</v>
      </c>
      <c r="AA90" s="35"/>
      <c r="AB90" s="35"/>
      <c r="AC90" s="91" t="str">
        <f t="shared" si="3"/>
        <v>https://drive.google.com/thumbnail?id=1Xx52lP-CL3Mjgh7XgJuGe8OZtl_A0Kie&amp;sz=w1000</v>
      </c>
      <c r="AD90" s="81" t="s">
        <v>410</v>
      </c>
      <c r="AE90" s="74" t="str">
        <f t="shared" si="4"/>
        <v>https://drive.google.com/thumbnail?id=1TL9IrzKlPKxuk1hHUSBJEQg3OHu9BPMb&amp;sz=w1000</v>
      </c>
      <c r="AF90" s="81" t="s">
        <v>411</v>
      </c>
      <c r="AG90" s="73" t="str">
        <f t="shared" si="5"/>
        <v>https://drive.google.com/thumbnail?id=1mjk5nvW4b1WflrBJK-EEPQRX1KlRm6e2&amp;sz=w1000</v>
      </c>
      <c r="AH90" s="81" t="s">
        <v>412</v>
      </c>
    </row>
    <row r="91" spans="1:34" ht="22.15" customHeight="1">
      <c r="A91" s="12">
        <v>45516</v>
      </c>
      <c r="B91" s="17" t="s">
        <v>111</v>
      </c>
      <c r="C91" s="2" t="s">
        <v>11</v>
      </c>
      <c r="D91" s="16" t="str" cm="1">
        <f t="array" ref="D91">_xlfn.XLOOKUP(1, (Table1[Project Name]=Table2[[#This Row],[Project ID]])*(Table1[Plot]=Table2[[#This Row],[Plot]]), Table1[Project ID])</f>
        <v>MJ-12</v>
      </c>
      <c r="E91" s="51">
        <v>28</v>
      </c>
      <c r="F91" s="52">
        <v>580</v>
      </c>
      <c r="G91" s="51">
        <f>Table2[[#This Row],[Time Elapsed]]+Table2[[#This Row],[Time Remaining]]</f>
        <v>608</v>
      </c>
      <c r="H91" s="2" t="s">
        <v>299</v>
      </c>
      <c r="I91" s="2" t="s">
        <v>320</v>
      </c>
      <c r="J91" s="13">
        <v>0</v>
      </c>
      <c r="K91" s="148">
        <v>0</v>
      </c>
      <c r="L91" s="13">
        <f>Table2[[#This Row],[Actual %]]-Table2[[#This Row],[Plan %]]</f>
        <v>0</v>
      </c>
      <c r="M91" s="144" t="s">
        <v>341</v>
      </c>
      <c r="N91" s="12">
        <v>45511</v>
      </c>
      <c r="O91" s="12"/>
      <c r="P91" s="12">
        <v>45511</v>
      </c>
      <c r="Q91" s="12">
        <v>45520</v>
      </c>
      <c r="R91" s="2" t="s">
        <v>367</v>
      </c>
      <c r="S91" s="2" t="s">
        <v>368</v>
      </c>
      <c r="T91" s="149" t="s">
        <v>369</v>
      </c>
      <c r="U91" s="35"/>
      <c r="V91" s="93"/>
      <c r="W91" s="94">
        <f>Table2[[#This Row],[Construction Contract Amount]]+Table2[[#This Row],[Cumulative Variations]]</f>
        <v>0</v>
      </c>
      <c r="X91" s="35"/>
      <c r="Y91" s="93"/>
      <c r="Z91" s="94">
        <f>Table2[[#This Row],[Final Contract Value]]+Table2[[#This Row],[Supervision Contract amount]]+Table2[[#This Row],[Authority Cost]]</f>
        <v>0</v>
      </c>
      <c r="AA91" s="35"/>
      <c r="AB91" s="35"/>
      <c r="AC91" s="91" t="str">
        <f t="shared" si="3"/>
        <v>https://drive.google.com/thumbnail?id=1Xx52lP-CL3Mjgh7XgJuGe8OZtl_A0Kie&amp;sz=w1000</v>
      </c>
      <c r="AD91" s="81" t="s">
        <v>410</v>
      </c>
      <c r="AE91" s="74" t="str">
        <f t="shared" si="4"/>
        <v>https://drive.google.com/thumbnail?id=1TL9IrzKlPKxuk1hHUSBJEQg3OHu9BPMb&amp;sz=w1000</v>
      </c>
      <c r="AF91" s="81" t="s">
        <v>411</v>
      </c>
      <c r="AG91" s="73" t="str">
        <f t="shared" si="5"/>
        <v>https://drive.google.com/thumbnail?id=1mjk5nvW4b1WflrBJK-EEPQRX1KlRm6e2&amp;sz=w1000</v>
      </c>
      <c r="AH91" s="81" t="s">
        <v>412</v>
      </c>
    </row>
    <row r="92" spans="1:34" ht="22.15" customHeight="1">
      <c r="A92" s="12">
        <v>45516</v>
      </c>
      <c r="B92" s="17" t="s">
        <v>111</v>
      </c>
      <c r="C92" s="2" t="s">
        <v>11</v>
      </c>
      <c r="D92" s="16" t="str" cm="1">
        <f t="array" ref="D92">_xlfn.XLOOKUP(1, (Table1[Project Name]=Table2[[#This Row],[Project ID]])*(Table1[Plot]=Table2[[#This Row],[Plot]]), Table1[Project ID])</f>
        <v>MJ-12</v>
      </c>
      <c r="E92" s="51">
        <v>28</v>
      </c>
      <c r="F92" s="52">
        <v>580</v>
      </c>
      <c r="G92" s="51">
        <f>Table2[[#This Row],[Time Elapsed]]+Table2[[#This Row],[Time Remaining]]</f>
        <v>608</v>
      </c>
      <c r="H92" s="2" t="s">
        <v>299</v>
      </c>
      <c r="I92" s="2" t="s">
        <v>320</v>
      </c>
      <c r="J92" s="13">
        <v>0</v>
      </c>
      <c r="K92" s="148">
        <v>0</v>
      </c>
      <c r="L92" s="13">
        <f>Table2[[#This Row],[Actual %]]-Table2[[#This Row],[Plan %]]</f>
        <v>0</v>
      </c>
      <c r="M92" s="144" t="s">
        <v>342</v>
      </c>
      <c r="N92" s="12">
        <v>45532</v>
      </c>
      <c r="O92" s="12"/>
      <c r="P92" s="12">
        <v>45532</v>
      </c>
      <c r="Q92" s="12">
        <v>45520</v>
      </c>
      <c r="R92" s="2" t="s">
        <v>367</v>
      </c>
      <c r="S92" s="2" t="s">
        <v>368</v>
      </c>
      <c r="T92" s="149" t="s">
        <v>369</v>
      </c>
      <c r="U92" s="35"/>
      <c r="V92" s="93"/>
      <c r="W92" s="94">
        <f>Table2[[#This Row],[Construction Contract Amount]]+Table2[[#This Row],[Cumulative Variations]]</f>
        <v>0</v>
      </c>
      <c r="X92" s="35"/>
      <c r="Y92" s="93"/>
      <c r="Z92" s="94">
        <f>Table2[[#This Row],[Final Contract Value]]+Table2[[#This Row],[Supervision Contract amount]]+Table2[[#This Row],[Authority Cost]]</f>
        <v>0</v>
      </c>
      <c r="AA92" s="35"/>
      <c r="AB92" s="35"/>
      <c r="AC92" s="91" t="str">
        <f t="shared" si="3"/>
        <v>https://drive.google.com/thumbnail?id=1Xx52lP-CL3Mjgh7XgJuGe8OZtl_A0Kie&amp;sz=w1000</v>
      </c>
      <c r="AD92" s="81" t="s">
        <v>410</v>
      </c>
      <c r="AE92" s="74" t="str">
        <f t="shared" si="4"/>
        <v>https://drive.google.com/thumbnail?id=1TL9IrzKlPKxuk1hHUSBJEQg3OHu9BPMb&amp;sz=w1000</v>
      </c>
      <c r="AF92" s="81" t="s">
        <v>411</v>
      </c>
      <c r="AG92" s="73" t="str">
        <f t="shared" si="5"/>
        <v>https://drive.google.com/thumbnail?id=1mjk5nvW4b1WflrBJK-EEPQRX1KlRm6e2&amp;sz=w1000</v>
      </c>
      <c r="AH92" s="81" t="s">
        <v>412</v>
      </c>
    </row>
    <row r="93" spans="1:34" ht="22.15" customHeight="1">
      <c r="A93" s="12">
        <v>45516</v>
      </c>
      <c r="B93" s="17" t="s">
        <v>111</v>
      </c>
      <c r="C93" s="2" t="s">
        <v>11</v>
      </c>
      <c r="D93" s="16" t="str" cm="1">
        <f t="array" ref="D93">_xlfn.XLOOKUP(1, (Table1[Project Name]=Table2[[#This Row],[Project ID]])*(Table1[Plot]=Table2[[#This Row],[Plot]]), Table1[Project ID])</f>
        <v>MJ-12</v>
      </c>
      <c r="E93" s="51">
        <v>28</v>
      </c>
      <c r="F93" s="52">
        <v>580</v>
      </c>
      <c r="G93" s="51">
        <f>Table2[[#This Row],[Time Elapsed]]+Table2[[#This Row],[Time Remaining]]</f>
        <v>608</v>
      </c>
      <c r="H93" s="2" t="s">
        <v>299</v>
      </c>
      <c r="I93" s="2" t="s">
        <v>320</v>
      </c>
      <c r="J93" s="13">
        <v>0</v>
      </c>
      <c r="K93" s="148">
        <v>0</v>
      </c>
      <c r="L93" s="13">
        <f>Table2[[#This Row],[Actual %]]-Table2[[#This Row],[Plan %]]</f>
        <v>0</v>
      </c>
      <c r="M93" s="144" t="s">
        <v>339</v>
      </c>
      <c r="N93" s="12">
        <v>46096</v>
      </c>
      <c r="O93" s="12"/>
      <c r="P93" s="12">
        <v>46096</v>
      </c>
      <c r="Q93" s="12">
        <v>45520</v>
      </c>
      <c r="R93" s="2" t="s">
        <v>367</v>
      </c>
      <c r="S93" s="2" t="s">
        <v>368</v>
      </c>
      <c r="T93" s="149" t="s">
        <v>369</v>
      </c>
      <c r="U93" s="35"/>
      <c r="V93" s="93"/>
      <c r="W93" s="94">
        <f>Table2[[#This Row],[Construction Contract Amount]]+Table2[[#This Row],[Cumulative Variations]]</f>
        <v>0</v>
      </c>
      <c r="X93" s="35"/>
      <c r="Y93" s="93"/>
      <c r="Z93" s="94">
        <f>Table2[[#This Row],[Final Contract Value]]+Table2[[#This Row],[Supervision Contract amount]]+Table2[[#This Row],[Authority Cost]]</f>
        <v>0</v>
      </c>
      <c r="AA93" s="35"/>
      <c r="AB93" s="35"/>
      <c r="AC93" s="91" t="str">
        <f t="shared" si="3"/>
        <v>https://drive.google.com/thumbnail?id=1Xx52lP-CL3Mjgh7XgJuGe8OZtl_A0Kie&amp;sz=w1000</v>
      </c>
      <c r="AD93" s="81" t="s">
        <v>410</v>
      </c>
      <c r="AE93" s="74" t="str">
        <f t="shared" si="4"/>
        <v>https://drive.google.com/thumbnail?id=1TL9IrzKlPKxuk1hHUSBJEQg3OHu9BPMb&amp;sz=w1000</v>
      </c>
      <c r="AF93" s="81" t="s">
        <v>411</v>
      </c>
      <c r="AG93" s="73" t="str">
        <f t="shared" si="5"/>
        <v>https://drive.google.com/thumbnail?id=1mjk5nvW4b1WflrBJK-EEPQRX1KlRm6e2&amp;sz=w1000</v>
      </c>
      <c r="AH93" s="81" t="s">
        <v>412</v>
      </c>
    </row>
    <row r="94" spans="1:34" ht="22.15" customHeight="1">
      <c r="A94" s="12">
        <v>45516</v>
      </c>
      <c r="B94" s="17" t="s">
        <v>118</v>
      </c>
      <c r="C94" s="2" t="s">
        <v>121</v>
      </c>
      <c r="D94" s="16" t="str" cm="1">
        <f t="array" ref="D94">_xlfn.XLOOKUP(1, (Table1[Project Name]=Table2[[#This Row],[Project ID]])*(Table1[Plot]=Table2[[#This Row],[Plot]]), Table1[Project ID])</f>
        <v>MJ-14</v>
      </c>
      <c r="E94" s="53">
        <v>28</v>
      </c>
      <c r="F94" s="54">
        <v>580</v>
      </c>
      <c r="G94" s="53">
        <f>Table2[[#This Row],[Time Elapsed]]+Table2[[#This Row],[Time Remaining]]</f>
        <v>608</v>
      </c>
      <c r="H94" s="2" t="s">
        <v>321</v>
      </c>
      <c r="I94" s="2" t="s">
        <v>320</v>
      </c>
      <c r="J94" s="13">
        <v>0</v>
      </c>
      <c r="K94" s="148">
        <v>0</v>
      </c>
      <c r="L94" s="13">
        <f>Table2[[#This Row],[Actual %]]-Table2[[#This Row],[Plan %]]</f>
        <v>0</v>
      </c>
      <c r="M94" s="144" t="s">
        <v>285</v>
      </c>
      <c r="N94" s="12">
        <v>45489</v>
      </c>
      <c r="O94" s="12">
        <v>45489</v>
      </c>
      <c r="P94" s="12"/>
      <c r="Q94" s="12">
        <v>45520</v>
      </c>
      <c r="R94" s="2" t="s">
        <v>370</v>
      </c>
      <c r="S94" s="2" t="s">
        <v>371</v>
      </c>
      <c r="T94" s="149" t="s">
        <v>372</v>
      </c>
      <c r="U94" s="35"/>
      <c r="V94" s="93"/>
      <c r="W94" s="94">
        <f>Table2[[#This Row],[Construction Contract Amount]]+Table2[[#This Row],[Cumulative Variations]]</f>
        <v>0</v>
      </c>
      <c r="X94" s="35"/>
      <c r="Y94" s="93"/>
      <c r="Z94" s="94">
        <f>Table2[[#This Row],[Final Contract Value]]+Table2[[#This Row],[Supervision Contract amount]]+Table2[[#This Row],[Authority Cost]]</f>
        <v>0</v>
      </c>
      <c r="AA94" s="35"/>
      <c r="AB94" s="35"/>
      <c r="AC94" s="91" t="str">
        <f t="shared" si="3"/>
        <v>https://drive.google.com/thumbnail?id=1aotzsm6c1YRrRltmEBM3La85GahLY-Sa&amp;sz=w1000</v>
      </c>
      <c r="AD94" s="82" t="s">
        <v>413</v>
      </c>
      <c r="AE94" s="74" t="str">
        <f t="shared" si="4"/>
        <v>https://drive.google.com/thumbnail?id=16ZFwzklgzbqlTBk2PblSupsG8QWIVKhr&amp;sz=w1000</v>
      </c>
      <c r="AF94" s="82" t="s">
        <v>414</v>
      </c>
      <c r="AG94" s="73" t="str">
        <f t="shared" si="5"/>
        <v>https://drive.google.com/thumbnail?id=14_e23Fks39g6eB6scWs8oJVkvBf-w1QV&amp;sz=w1000</v>
      </c>
      <c r="AH94" s="82" t="s">
        <v>415</v>
      </c>
    </row>
    <row r="95" spans="1:34" ht="22.15" customHeight="1">
      <c r="A95" s="12">
        <v>45516</v>
      </c>
      <c r="B95" s="17" t="s">
        <v>118</v>
      </c>
      <c r="C95" s="2" t="s">
        <v>121</v>
      </c>
      <c r="D95" s="16" t="str" cm="1">
        <f t="array" ref="D95">_xlfn.XLOOKUP(1, (Table1[Project Name]=Table2[[#This Row],[Project ID]])*(Table1[Plot]=Table2[[#This Row],[Plot]]), Table1[Project ID])</f>
        <v>MJ-14</v>
      </c>
      <c r="E95" s="53">
        <v>28</v>
      </c>
      <c r="F95" s="54">
        <v>580</v>
      </c>
      <c r="G95" s="53">
        <f>Table2[[#This Row],[Time Elapsed]]+Table2[[#This Row],[Time Remaining]]</f>
        <v>608</v>
      </c>
      <c r="H95" s="2" t="s">
        <v>321</v>
      </c>
      <c r="I95" s="2" t="s">
        <v>320</v>
      </c>
      <c r="J95" s="13">
        <v>0</v>
      </c>
      <c r="K95" s="148">
        <v>0</v>
      </c>
      <c r="L95" s="13">
        <f>Table2[[#This Row],[Actual %]]-Table2[[#This Row],[Plan %]]</f>
        <v>0</v>
      </c>
      <c r="M95" s="144" t="s">
        <v>287</v>
      </c>
      <c r="N95" s="12">
        <v>45477</v>
      </c>
      <c r="O95" s="12"/>
      <c r="P95" s="12">
        <v>45507</v>
      </c>
      <c r="Q95" s="12">
        <v>45520</v>
      </c>
      <c r="R95" s="2" t="s">
        <v>370</v>
      </c>
      <c r="S95" s="2" t="s">
        <v>371</v>
      </c>
      <c r="T95" s="149" t="s">
        <v>372</v>
      </c>
      <c r="U95" s="35"/>
      <c r="V95" s="93"/>
      <c r="W95" s="94">
        <f>Table2[[#This Row],[Construction Contract Amount]]+Table2[[#This Row],[Cumulative Variations]]</f>
        <v>0</v>
      </c>
      <c r="X95" s="35"/>
      <c r="Y95" s="93"/>
      <c r="Z95" s="94">
        <f>Table2[[#This Row],[Final Contract Value]]+Table2[[#This Row],[Supervision Contract amount]]+Table2[[#This Row],[Authority Cost]]</f>
        <v>0</v>
      </c>
      <c r="AA95" s="35"/>
      <c r="AB95" s="35"/>
      <c r="AC95" s="91" t="str">
        <f t="shared" si="3"/>
        <v>https://drive.google.com/thumbnail?id=1aotzsm6c1YRrRltmEBM3La85GahLY-Sa&amp;sz=w1000</v>
      </c>
      <c r="AD95" s="82" t="s">
        <v>413</v>
      </c>
      <c r="AE95" s="74" t="str">
        <f t="shared" si="4"/>
        <v>https://drive.google.com/thumbnail?id=16ZFwzklgzbqlTBk2PblSupsG8QWIVKhr&amp;sz=w1000</v>
      </c>
      <c r="AF95" s="82" t="s">
        <v>414</v>
      </c>
      <c r="AG95" s="73" t="str">
        <f t="shared" si="5"/>
        <v>https://drive.google.com/thumbnail?id=14_e23Fks39g6eB6scWs8oJVkvBf-w1QV&amp;sz=w1000</v>
      </c>
      <c r="AH95" s="82" t="s">
        <v>415</v>
      </c>
    </row>
    <row r="96" spans="1:34" ht="22.15" customHeight="1">
      <c r="A96" s="12">
        <v>45516</v>
      </c>
      <c r="B96" s="17" t="s">
        <v>118</v>
      </c>
      <c r="C96" s="2" t="s">
        <v>121</v>
      </c>
      <c r="D96" s="16" t="str" cm="1">
        <f t="array" ref="D96">_xlfn.XLOOKUP(1, (Table1[Project Name]=Table2[[#This Row],[Project ID]])*(Table1[Plot]=Table2[[#This Row],[Plot]]), Table1[Project ID])</f>
        <v>MJ-14</v>
      </c>
      <c r="E96" s="53">
        <v>28</v>
      </c>
      <c r="F96" s="54">
        <v>580</v>
      </c>
      <c r="G96" s="53">
        <f>Table2[[#This Row],[Time Elapsed]]+Table2[[#This Row],[Time Remaining]]</f>
        <v>608</v>
      </c>
      <c r="H96" s="2" t="s">
        <v>321</v>
      </c>
      <c r="I96" s="2" t="s">
        <v>320</v>
      </c>
      <c r="J96" s="13">
        <v>0</v>
      </c>
      <c r="K96" s="148">
        <v>0</v>
      </c>
      <c r="L96" s="13">
        <f>Table2[[#This Row],[Actual %]]-Table2[[#This Row],[Plan %]]</f>
        <v>0</v>
      </c>
      <c r="M96" s="144" t="s">
        <v>292</v>
      </c>
      <c r="N96" s="12">
        <v>45499</v>
      </c>
      <c r="O96" s="12"/>
      <c r="P96" s="12">
        <v>45499</v>
      </c>
      <c r="Q96" s="12">
        <v>45520</v>
      </c>
      <c r="R96" s="2" t="s">
        <v>370</v>
      </c>
      <c r="S96" s="2" t="s">
        <v>371</v>
      </c>
      <c r="T96" s="149" t="s">
        <v>372</v>
      </c>
      <c r="U96" s="35"/>
      <c r="V96" s="93"/>
      <c r="W96" s="94">
        <f>Table2[[#This Row],[Construction Contract Amount]]+Table2[[#This Row],[Cumulative Variations]]</f>
        <v>0</v>
      </c>
      <c r="X96" s="35"/>
      <c r="Y96" s="93"/>
      <c r="Z96" s="94">
        <f>Table2[[#This Row],[Final Contract Value]]+Table2[[#This Row],[Supervision Contract amount]]+Table2[[#This Row],[Authority Cost]]</f>
        <v>0</v>
      </c>
      <c r="AA96" s="35"/>
      <c r="AB96" s="35"/>
      <c r="AC96" s="91" t="str">
        <f t="shared" si="3"/>
        <v>https://drive.google.com/thumbnail?id=1aotzsm6c1YRrRltmEBM3La85GahLY-Sa&amp;sz=w1000</v>
      </c>
      <c r="AD96" s="82" t="s">
        <v>413</v>
      </c>
      <c r="AE96" s="74" t="str">
        <f t="shared" si="4"/>
        <v>https://drive.google.com/thumbnail?id=16ZFwzklgzbqlTBk2PblSupsG8QWIVKhr&amp;sz=w1000</v>
      </c>
      <c r="AF96" s="82" t="s">
        <v>414</v>
      </c>
      <c r="AG96" s="73" t="str">
        <f t="shared" si="5"/>
        <v>https://drive.google.com/thumbnail?id=14_e23Fks39g6eB6scWs8oJVkvBf-w1QV&amp;sz=w1000</v>
      </c>
      <c r="AH96" s="82" t="s">
        <v>415</v>
      </c>
    </row>
    <row r="97" spans="1:34" ht="22.15" customHeight="1">
      <c r="A97" s="12">
        <v>45516</v>
      </c>
      <c r="B97" s="17" t="s">
        <v>118</v>
      </c>
      <c r="C97" s="2" t="s">
        <v>121</v>
      </c>
      <c r="D97" s="16" t="str" cm="1">
        <f t="array" ref="D97">_xlfn.XLOOKUP(1, (Table1[Project Name]=Table2[[#This Row],[Project ID]])*(Table1[Plot]=Table2[[#This Row],[Plot]]), Table1[Project ID])</f>
        <v>MJ-14</v>
      </c>
      <c r="E97" s="53">
        <v>28</v>
      </c>
      <c r="F97" s="54">
        <v>580</v>
      </c>
      <c r="G97" s="53">
        <f>Table2[[#This Row],[Time Elapsed]]+Table2[[#This Row],[Time Remaining]]</f>
        <v>608</v>
      </c>
      <c r="H97" s="2" t="s">
        <v>321</v>
      </c>
      <c r="I97" s="2" t="s">
        <v>320</v>
      </c>
      <c r="J97" s="13">
        <v>0</v>
      </c>
      <c r="K97" s="148">
        <v>0</v>
      </c>
      <c r="L97" s="13">
        <f>Table2[[#This Row],[Actual %]]-Table2[[#This Row],[Plan %]]</f>
        <v>0</v>
      </c>
      <c r="M97" s="144" t="s">
        <v>340</v>
      </c>
      <c r="N97" s="12">
        <v>45503</v>
      </c>
      <c r="O97" s="12"/>
      <c r="P97" s="12">
        <v>45503</v>
      </c>
      <c r="Q97" s="12">
        <v>45520</v>
      </c>
      <c r="R97" s="2" t="s">
        <v>370</v>
      </c>
      <c r="S97" s="2" t="s">
        <v>371</v>
      </c>
      <c r="T97" s="149" t="s">
        <v>372</v>
      </c>
      <c r="U97" s="35"/>
      <c r="V97" s="93"/>
      <c r="W97" s="94">
        <f>Table2[[#This Row],[Construction Contract Amount]]+Table2[[#This Row],[Cumulative Variations]]</f>
        <v>0</v>
      </c>
      <c r="X97" s="35"/>
      <c r="Y97" s="93"/>
      <c r="Z97" s="94">
        <f>Table2[[#This Row],[Final Contract Value]]+Table2[[#This Row],[Supervision Contract amount]]+Table2[[#This Row],[Authority Cost]]</f>
        <v>0</v>
      </c>
      <c r="AA97" s="35"/>
      <c r="AB97" s="35"/>
      <c r="AC97" s="91" t="str">
        <f t="shared" si="3"/>
        <v>https://drive.google.com/thumbnail?id=1aotzsm6c1YRrRltmEBM3La85GahLY-Sa&amp;sz=w1000</v>
      </c>
      <c r="AD97" s="82" t="s">
        <v>413</v>
      </c>
      <c r="AE97" s="74" t="str">
        <f t="shared" si="4"/>
        <v>https://drive.google.com/thumbnail?id=16ZFwzklgzbqlTBk2PblSupsG8QWIVKhr&amp;sz=w1000</v>
      </c>
      <c r="AF97" s="82" t="s">
        <v>414</v>
      </c>
      <c r="AG97" s="73" t="str">
        <f t="shared" si="5"/>
        <v>https://drive.google.com/thumbnail?id=14_e23Fks39g6eB6scWs8oJVkvBf-w1QV&amp;sz=w1000</v>
      </c>
      <c r="AH97" s="82" t="s">
        <v>415</v>
      </c>
    </row>
    <row r="98" spans="1:34" ht="22.15" customHeight="1">
      <c r="A98" s="12">
        <v>45516</v>
      </c>
      <c r="B98" s="17" t="s">
        <v>118</v>
      </c>
      <c r="C98" s="2" t="s">
        <v>121</v>
      </c>
      <c r="D98" s="16" t="str" cm="1">
        <f t="array" ref="D98">_xlfn.XLOOKUP(1, (Table1[Project Name]=Table2[[#This Row],[Project ID]])*(Table1[Plot]=Table2[[#This Row],[Plot]]), Table1[Project ID])</f>
        <v>MJ-14</v>
      </c>
      <c r="E98" s="53">
        <v>28</v>
      </c>
      <c r="F98" s="54">
        <v>580</v>
      </c>
      <c r="G98" s="53">
        <f>Table2[[#This Row],[Time Elapsed]]+Table2[[#This Row],[Time Remaining]]</f>
        <v>608</v>
      </c>
      <c r="H98" s="2" t="s">
        <v>321</v>
      </c>
      <c r="I98" s="2" t="s">
        <v>320</v>
      </c>
      <c r="J98" s="13">
        <v>0</v>
      </c>
      <c r="K98" s="148">
        <v>0</v>
      </c>
      <c r="L98" s="13">
        <f>Table2[[#This Row],[Actual %]]-Table2[[#This Row],[Plan %]]</f>
        <v>0</v>
      </c>
      <c r="M98" s="144" t="s">
        <v>293</v>
      </c>
      <c r="N98" s="12">
        <v>45507</v>
      </c>
      <c r="O98" s="12"/>
      <c r="P98" s="12">
        <v>45513</v>
      </c>
      <c r="Q98" s="12">
        <v>45520</v>
      </c>
      <c r="R98" s="2" t="s">
        <v>370</v>
      </c>
      <c r="S98" s="2" t="s">
        <v>371</v>
      </c>
      <c r="T98" s="149" t="s">
        <v>372</v>
      </c>
      <c r="U98" s="35"/>
      <c r="V98" s="93"/>
      <c r="W98" s="94">
        <f>Table2[[#This Row],[Construction Contract Amount]]+Table2[[#This Row],[Cumulative Variations]]</f>
        <v>0</v>
      </c>
      <c r="X98" s="35"/>
      <c r="Y98" s="93"/>
      <c r="Z98" s="94">
        <f>Table2[[#This Row],[Final Contract Value]]+Table2[[#This Row],[Supervision Contract amount]]+Table2[[#This Row],[Authority Cost]]</f>
        <v>0</v>
      </c>
      <c r="AA98" s="35"/>
      <c r="AB98" s="35"/>
      <c r="AC98" s="91" t="str">
        <f t="shared" si="3"/>
        <v>https://drive.google.com/thumbnail?id=1aotzsm6c1YRrRltmEBM3La85GahLY-Sa&amp;sz=w1000</v>
      </c>
      <c r="AD98" s="82" t="s">
        <v>413</v>
      </c>
      <c r="AE98" s="74" t="str">
        <f t="shared" si="4"/>
        <v>https://drive.google.com/thumbnail?id=16ZFwzklgzbqlTBk2PblSupsG8QWIVKhr&amp;sz=w1000</v>
      </c>
      <c r="AF98" s="82" t="s">
        <v>414</v>
      </c>
      <c r="AG98" s="73" t="str">
        <f t="shared" si="5"/>
        <v>https://drive.google.com/thumbnail?id=14_e23Fks39g6eB6scWs8oJVkvBf-w1QV&amp;sz=w1000</v>
      </c>
      <c r="AH98" s="82" t="s">
        <v>415</v>
      </c>
    </row>
    <row r="99" spans="1:34" ht="22.15" customHeight="1">
      <c r="A99" s="12">
        <v>45516</v>
      </c>
      <c r="B99" s="17" t="s">
        <v>118</v>
      </c>
      <c r="C99" s="2" t="s">
        <v>121</v>
      </c>
      <c r="D99" s="16" t="str" cm="1">
        <f t="array" ref="D99">_xlfn.XLOOKUP(1, (Table1[Project Name]=Table2[[#This Row],[Project ID]])*(Table1[Plot]=Table2[[#This Row],[Plot]]), Table1[Project ID])</f>
        <v>MJ-14</v>
      </c>
      <c r="E99" s="53">
        <v>28</v>
      </c>
      <c r="F99" s="54">
        <v>580</v>
      </c>
      <c r="G99" s="53">
        <f>Table2[[#This Row],[Time Elapsed]]+Table2[[#This Row],[Time Remaining]]</f>
        <v>608</v>
      </c>
      <c r="H99" s="2" t="s">
        <v>321</v>
      </c>
      <c r="I99" s="2" t="s">
        <v>320</v>
      </c>
      <c r="J99" s="13">
        <v>0</v>
      </c>
      <c r="K99" s="148">
        <v>0</v>
      </c>
      <c r="L99" s="13">
        <f>Table2[[#This Row],[Actual %]]-Table2[[#This Row],[Plan %]]</f>
        <v>0</v>
      </c>
      <c r="M99" s="144" t="s">
        <v>294</v>
      </c>
      <c r="N99" s="12">
        <v>45507</v>
      </c>
      <c r="O99" s="12"/>
      <c r="P99" s="12">
        <v>45513</v>
      </c>
      <c r="Q99" s="12">
        <v>45520</v>
      </c>
      <c r="R99" s="2" t="s">
        <v>370</v>
      </c>
      <c r="S99" s="2" t="s">
        <v>371</v>
      </c>
      <c r="T99" s="149" t="s">
        <v>372</v>
      </c>
      <c r="U99" s="35"/>
      <c r="V99" s="93"/>
      <c r="W99" s="36">
        <f>Table2[[#This Row],[Construction Contract Amount]]+Table2[[#This Row],[Cumulative Variations]]</f>
        <v>0</v>
      </c>
      <c r="X99" s="35"/>
      <c r="Y99" s="93"/>
      <c r="Z99" s="36">
        <f>Table2[[#This Row],[Final Contract Value]]+Table2[[#This Row],[Supervision Contract amount]]+Table2[[#This Row],[Authority Cost]]</f>
        <v>0</v>
      </c>
      <c r="AA99" s="35"/>
      <c r="AB99" s="35"/>
      <c r="AC99" s="91" t="str">
        <f t="shared" si="3"/>
        <v>https://drive.google.com/thumbnail?id=1aotzsm6c1YRrRltmEBM3La85GahLY-Sa&amp;sz=w1000</v>
      </c>
      <c r="AD99" s="82" t="s">
        <v>413</v>
      </c>
      <c r="AE99" s="74" t="str">
        <f t="shared" si="4"/>
        <v>https://drive.google.com/thumbnail?id=16ZFwzklgzbqlTBk2PblSupsG8QWIVKhr&amp;sz=w1000</v>
      </c>
      <c r="AF99" s="82" t="s">
        <v>414</v>
      </c>
      <c r="AG99" s="73" t="str">
        <f t="shared" si="5"/>
        <v>https://drive.google.com/thumbnail?id=14_e23Fks39g6eB6scWs8oJVkvBf-w1QV&amp;sz=w1000</v>
      </c>
      <c r="AH99" s="82" t="s">
        <v>415</v>
      </c>
    </row>
    <row r="100" spans="1:34" ht="22.15" customHeight="1">
      <c r="A100" s="12">
        <v>45516</v>
      </c>
      <c r="B100" s="17" t="s">
        <v>118</v>
      </c>
      <c r="C100" s="2" t="s">
        <v>121</v>
      </c>
      <c r="D100" s="16" t="str" cm="1">
        <f t="array" ref="D100">_xlfn.XLOOKUP(1, (Table1[Project Name]=Table2[[#This Row],[Project ID]])*(Table1[Plot]=Table2[[#This Row],[Plot]]), Table1[Project ID])</f>
        <v>MJ-14</v>
      </c>
      <c r="E100" s="53">
        <v>28</v>
      </c>
      <c r="F100" s="54">
        <v>580</v>
      </c>
      <c r="G100" s="53">
        <f>Table2[[#This Row],[Time Elapsed]]+Table2[[#This Row],[Time Remaining]]</f>
        <v>608</v>
      </c>
      <c r="H100" s="2" t="s">
        <v>321</v>
      </c>
      <c r="I100" s="2" t="s">
        <v>320</v>
      </c>
      <c r="J100" s="13">
        <v>0</v>
      </c>
      <c r="K100" s="148">
        <v>0</v>
      </c>
      <c r="L100" s="13">
        <f>Table2[[#This Row],[Actual %]]-Table2[[#This Row],[Plan %]]</f>
        <v>0</v>
      </c>
      <c r="M100" s="144" t="s">
        <v>341</v>
      </c>
      <c r="N100" s="12">
        <v>45511</v>
      </c>
      <c r="O100" s="12"/>
      <c r="P100" s="12">
        <v>45511</v>
      </c>
      <c r="Q100" s="12">
        <v>45520</v>
      </c>
      <c r="R100" s="2" t="s">
        <v>370</v>
      </c>
      <c r="S100" s="2" t="s">
        <v>371</v>
      </c>
      <c r="T100" s="149" t="s">
        <v>372</v>
      </c>
      <c r="U100" s="35"/>
      <c r="V100" s="93"/>
      <c r="W100" s="36">
        <f>Table2[[#This Row],[Construction Contract Amount]]+Table2[[#This Row],[Cumulative Variations]]</f>
        <v>0</v>
      </c>
      <c r="X100" s="35"/>
      <c r="Y100" s="93"/>
      <c r="Z100" s="36">
        <f>Table2[[#This Row],[Final Contract Value]]+Table2[[#This Row],[Supervision Contract amount]]+Table2[[#This Row],[Authority Cost]]</f>
        <v>0</v>
      </c>
      <c r="AA100" s="35"/>
      <c r="AB100" s="35"/>
      <c r="AC100" s="91" t="str">
        <f t="shared" si="3"/>
        <v>https://drive.google.com/thumbnail?id=1aotzsm6c1YRrRltmEBM3La85GahLY-Sa&amp;sz=w1000</v>
      </c>
      <c r="AD100" s="82" t="s">
        <v>413</v>
      </c>
      <c r="AE100" s="74" t="str">
        <f t="shared" si="4"/>
        <v>https://drive.google.com/thumbnail?id=16ZFwzklgzbqlTBk2PblSupsG8QWIVKhr&amp;sz=w1000</v>
      </c>
      <c r="AF100" s="82" t="s">
        <v>414</v>
      </c>
      <c r="AG100" s="73" t="str">
        <f t="shared" si="5"/>
        <v>https://drive.google.com/thumbnail?id=14_e23Fks39g6eB6scWs8oJVkvBf-w1QV&amp;sz=w1000</v>
      </c>
      <c r="AH100" s="82" t="s">
        <v>415</v>
      </c>
    </row>
    <row r="101" spans="1:34" ht="22.15" customHeight="1">
      <c r="A101" s="12">
        <v>45516</v>
      </c>
      <c r="B101" s="17" t="s">
        <v>118</v>
      </c>
      <c r="C101" s="2" t="s">
        <v>121</v>
      </c>
      <c r="D101" s="16" t="str" cm="1">
        <f t="array" ref="D101">_xlfn.XLOOKUP(1, (Table1[Project Name]=Table2[[#This Row],[Project ID]])*(Table1[Plot]=Table2[[#This Row],[Plot]]), Table1[Project ID])</f>
        <v>MJ-14</v>
      </c>
      <c r="E101" s="53">
        <v>28</v>
      </c>
      <c r="F101" s="54">
        <v>580</v>
      </c>
      <c r="G101" s="53">
        <f>Table2[[#This Row],[Time Elapsed]]+Table2[[#This Row],[Time Remaining]]</f>
        <v>608</v>
      </c>
      <c r="H101" s="2" t="s">
        <v>321</v>
      </c>
      <c r="I101" s="2" t="s">
        <v>320</v>
      </c>
      <c r="J101" s="13">
        <v>0</v>
      </c>
      <c r="K101" s="148">
        <v>0</v>
      </c>
      <c r="L101" s="13">
        <f>Table2[[#This Row],[Actual %]]-Table2[[#This Row],[Plan %]]</f>
        <v>0</v>
      </c>
      <c r="M101" s="144" t="s">
        <v>342</v>
      </c>
      <c r="N101" s="12">
        <v>45532</v>
      </c>
      <c r="O101" s="12"/>
      <c r="P101" s="12">
        <v>45532</v>
      </c>
      <c r="Q101" s="12">
        <v>45520</v>
      </c>
      <c r="R101" s="2" t="s">
        <v>370</v>
      </c>
      <c r="S101" s="2" t="s">
        <v>371</v>
      </c>
      <c r="T101" s="149" t="s">
        <v>372</v>
      </c>
      <c r="U101" s="35"/>
      <c r="V101" s="93"/>
      <c r="W101" s="36">
        <f>Table2[[#This Row],[Construction Contract Amount]]+Table2[[#This Row],[Cumulative Variations]]</f>
        <v>0</v>
      </c>
      <c r="X101" s="35"/>
      <c r="Y101" s="93"/>
      <c r="Z101" s="36">
        <f>Table2[[#This Row],[Final Contract Value]]+Table2[[#This Row],[Supervision Contract amount]]+Table2[[#This Row],[Authority Cost]]</f>
        <v>0</v>
      </c>
      <c r="AA101" s="35"/>
      <c r="AB101" s="35"/>
      <c r="AC101" s="91" t="str">
        <f t="shared" si="3"/>
        <v>https://drive.google.com/thumbnail?id=1aotzsm6c1YRrRltmEBM3La85GahLY-Sa&amp;sz=w1000</v>
      </c>
      <c r="AD101" s="82" t="s">
        <v>413</v>
      </c>
      <c r="AE101" s="74" t="str">
        <f t="shared" si="4"/>
        <v>https://drive.google.com/thumbnail?id=16ZFwzklgzbqlTBk2PblSupsG8QWIVKhr&amp;sz=w1000</v>
      </c>
      <c r="AF101" s="82" t="s">
        <v>414</v>
      </c>
      <c r="AG101" s="73" t="str">
        <f t="shared" si="5"/>
        <v>https://drive.google.com/thumbnail?id=14_e23Fks39g6eB6scWs8oJVkvBf-w1QV&amp;sz=w1000</v>
      </c>
      <c r="AH101" s="82" t="s">
        <v>415</v>
      </c>
    </row>
    <row r="102" spans="1:34" ht="22.15" customHeight="1">
      <c r="A102" s="12">
        <v>45516</v>
      </c>
      <c r="B102" s="17" t="s">
        <v>118</v>
      </c>
      <c r="C102" s="2" t="s">
        <v>121</v>
      </c>
      <c r="D102" s="16" t="str" cm="1">
        <f t="array" ref="D102">_xlfn.XLOOKUP(1, (Table1[Project Name]=Table2[[#This Row],[Project ID]])*(Table1[Plot]=Table2[[#This Row],[Plot]]), Table1[Project ID])</f>
        <v>MJ-14</v>
      </c>
      <c r="E102" s="53">
        <v>28</v>
      </c>
      <c r="F102" s="54">
        <v>580</v>
      </c>
      <c r="G102" s="53">
        <f>Table2[[#This Row],[Time Elapsed]]+Table2[[#This Row],[Time Remaining]]</f>
        <v>608</v>
      </c>
      <c r="H102" s="2" t="s">
        <v>321</v>
      </c>
      <c r="I102" s="2" t="s">
        <v>320</v>
      </c>
      <c r="J102" s="13">
        <v>0</v>
      </c>
      <c r="K102" s="148">
        <v>0</v>
      </c>
      <c r="L102" s="13">
        <f>Table2[[#This Row],[Actual %]]-Table2[[#This Row],[Plan %]]</f>
        <v>0</v>
      </c>
      <c r="M102" s="144" t="s">
        <v>339</v>
      </c>
      <c r="N102" s="12">
        <v>46096</v>
      </c>
      <c r="O102" s="12"/>
      <c r="P102" s="12">
        <v>46096</v>
      </c>
      <c r="Q102" s="12">
        <v>45520</v>
      </c>
      <c r="R102" s="2" t="s">
        <v>370</v>
      </c>
      <c r="S102" s="2" t="s">
        <v>371</v>
      </c>
      <c r="T102" s="149" t="s">
        <v>372</v>
      </c>
      <c r="U102" s="35"/>
      <c r="V102" s="93"/>
      <c r="W102" s="36">
        <f>Table2[[#This Row],[Construction Contract Amount]]+Table2[[#This Row],[Cumulative Variations]]</f>
        <v>0</v>
      </c>
      <c r="X102" s="35"/>
      <c r="Y102" s="93"/>
      <c r="Z102" s="36">
        <f>Table2[[#This Row],[Final Contract Value]]+Table2[[#This Row],[Supervision Contract amount]]+Table2[[#This Row],[Authority Cost]]</f>
        <v>0</v>
      </c>
      <c r="AA102" s="35"/>
      <c r="AB102" s="35"/>
      <c r="AC102" s="91" t="str">
        <f t="shared" si="3"/>
        <v>https://drive.google.com/thumbnail?id=1aotzsm6c1YRrRltmEBM3La85GahLY-Sa&amp;sz=w1000</v>
      </c>
      <c r="AD102" s="82" t="s">
        <v>413</v>
      </c>
      <c r="AE102" s="74" t="str">
        <f t="shared" si="4"/>
        <v>https://drive.google.com/thumbnail?id=16ZFwzklgzbqlTBk2PblSupsG8QWIVKhr&amp;sz=w1000</v>
      </c>
      <c r="AF102" s="82" t="s">
        <v>414</v>
      </c>
      <c r="AG102" s="73" t="str">
        <f t="shared" si="5"/>
        <v>https://drive.google.com/thumbnail?id=14_e23Fks39g6eB6scWs8oJVkvBf-w1QV&amp;sz=w1000</v>
      </c>
      <c r="AH102" s="82" t="s">
        <v>415</v>
      </c>
    </row>
    <row r="103" spans="1:34" ht="22.15" customHeight="1">
      <c r="A103" s="25">
        <v>45516</v>
      </c>
      <c r="B103" s="24" t="s">
        <v>114</v>
      </c>
      <c r="C103" s="2" t="s">
        <v>116</v>
      </c>
      <c r="D103" s="16" t="str" cm="1">
        <f t="array" ref="D103">_xlfn.XLOOKUP(1, (Table1[Project Name]=Table2[[#This Row],[Project ID]])*(Table1[Plot]=Table2[[#This Row],[Plot]]), Table1[Project ID])</f>
        <v>MJ-13</v>
      </c>
      <c r="E103" s="55">
        <v>28</v>
      </c>
      <c r="F103" s="56">
        <v>580</v>
      </c>
      <c r="G103" s="55">
        <f>Table2[[#This Row],[Time Elapsed]]+Table2[[#This Row],[Time Remaining]]</f>
        <v>608</v>
      </c>
      <c r="H103" s="2" t="s">
        <v>322</v>
      </c>
      <c r="I103" s="2" t="s">
        <v>320</v>
      </c>
      <c r="J103" s="13">
        <v>0</v>
      </c>
      <c r="K103" s="148">
        <v>0</v>
      </c>
      <c r="L103" s="13">
        <f>Table2[[#This Row],[Actual %]]-Table2[[#This Row],[Plan %]]</f>
        <v>0</v>
      </c>
      <c r="M103" s="144" t="s">
        <v>285</v>
      </c>
      <c r="N103" s="12">
        <v>45489</v>
      </c>
      <c r="O103" s="12">
        <v>45489</v>
      </c>
      <c r="P103" s="12"/>
      <c r="Q103" s="12">
        <v>45520</v>
      </c>
      <c r="R103" s="2" t="s">
        <v>373</v>
      </c>
      <c r="S103" s="2" t="s">
        <v>371</v>
      </c>
      <c r="T103" s="149" t="s">
        <v>374</v>
      </c>
      <c r="U103" s="35"/>
      <c r="V103" s="93"/>
      <c r="W103" s="36">
        <f>Table2[[#This Row],[Construction Contract Amount]]+Table2[[#This Row],[Cumulative Variations]]</f>
        <v>0</v>
      </c>
      <c r="X103" s="35"/>
      <c r="Y103" s="93"/>
      <c r="Z103" s="36">
        <f>Table2[[#This Row],[Final Contract Value]]+Table2[[#This Row],[Supervision Contract amount]]+Table2[[#This Row],[Authority Cost]]</f>
        <v>0</v>
      </c>
      <c r="AA103" s="35"/>
      <c r="AB103" s="35"/>
      <c r="AC103" s="91" t="str">
        <f t="shared" si="3"/>
        <v>https://drive.google.com/thumbnail?id=1erAewuQjYKuSzO2J7M_BGEAM7u-DEnI2&amp;sz=w1000</v>
      </c>
      <c r="AD103" s="83" t="s">
        <v>416</v>
      </c>
      <c r="AE103" s="74" t="str">
        <f t="shared" si="4"/>
        <v>https://drive.google.com/thumbnail?id=1c3FBPHHZ7t7n-uvjJkQ1bEwKAXm0RkFQ&amp;sz=w1000</v>
      </c>
      <c r="AF103" s="83" t="s">
        <v>417</v>
      </c>
      <c r="AG103" s="73" t="str">
        <f t="shared" si="5"/>
        <v>https://drive.google.com/thumbnail?id=1iggJgkxEIi33_uzKlp_ENRo47YLn90I8&amp;sz=w1000</v>
      </c>
      <c r="AH103" s="83" t="s">
        <v>418</v>
      </c>
    </row>
    <row r="104" spans="1:34" ht="22.15" customHeight="1">
      <c r="A104" s="25">
        <v>45516</v>
      </c>
      <c r="B104" s="24" t="s">
        <v>114</v>
      </c>
      <c r="C104" s="2" t="s">
        <v>116</v>
      </c>
      <c r="D104" s="16" t="str" cm="1">
        <f t="array" ref="D104">_xlfn.XLOOKUP(1, (Table1[Project Name]=Table2[[#This Row],[Project ID]])*(Table1[Plot]=Table2[[#This Row],[Plot]]), Table1[Project ID])</f>
        <v>MJ-13</v>
      </c>
      <c r="E104" s="55">
        <v>28</v>
      </c>
      <c r="F104" s="56">
        <v>580</v>
      </c>
      <c r="G104" s="55">
        <f>Table2[[#This Row],[Time Elapsed]]+Table2[[#This Row],[Time Remaining]]</f>
        <v>608</v>
      </c>
      <c r="H104" s="2" t="s">
        <v>322</v>
      </c>
      <c r="I104" s="2" t="s">
        <v>320</v>
      </c>
      <c r="J104" s="13">
        <v>0</v>
      </c>
      <c r="K104" s="148">
        <v>0</v>
      </c>
      <c r="L104" s="13">
        <f>Table2[[#This Row],[Actual %]]-Table2[[#This Row],[Plan %]]</f>
        <v>0</v>
      </c>
      <c r="M104" s="144" t="s">
        <v>287</v>
      </c>
      <c r="N104" s="12">
        <v>45477</v>
      </c>
      <c r="O104" s="12"/>
      <c r="P104" s="12">
        <v>45496</v>
      </c>
      <c r="Q104" s="12">
        <v>45520</v>
      </c>
      <c r="R104" s="2" t="s">
        <v>373</v>
      </c>
      <c r="S104" s="2" t="s">
        <v>371</v>
      </c>
      <c r="T104" s="149" t="s">
        <v>374</v>
      </c>
      <c r="U104" s="35"/>
      <c r="V104" s="93"/>
      <c r="W104" s="36">
        <f>Table2[[#This Row],[Construction Contract Amount]]+Table2[[#This Row],[Cumulative Variations]]</f>
        <v>0</v>
      </c>
      <c r="X104" s="35"/>
      <c r="Y104" s="93"/>
      <c r="Z104" s="36">
        <f>Table2[[#This Row],[Final Contract Value]]+Table2[[#This Row],[Supervision Contract amount]]+Table2[[#This Row],[Authority Cost]]</f>
        <v>0</v>
      </c>
      <c r="AA104" s="35"/>
      <c r="AB104" s="35"/>
      <c r="AC104" s="91" t="str">
        <f t="shared" si="3"/>
        <v>https://drive.google.com/thumbnail?id=1erAewuQjYKuSzO2J7M_BGEAM7u-DEnI2&amp;sz=w1000</v>
      </c>
      <c r="AD104" s="83" t="s">
        <v>416</v>
      </c>
      <c r="AE104" s="74" t="str">
        <f t="shared" si="4"/>
        <v>https://drive.google.com/thumbnail?id=1c3FBPHHZ7t7n-uvjJkQ1bEwKAXm0RkFQ&amp;sz=w1000</v>
      </c>
      <c r="AF104" s="83" t="s">
        <v>417</v>
      </c>
      <c r="AG104" s="73" t="str">
        <f t="shared" si="5"/>
        <v>https://drive.google.com/thumbnail?id=1iggJgkxEIi33_uzKlp_ENRo47YLn90I8&amp;sz=w1000</v>
      </c>
      <c r="AH104" s="83" t="s">
        <v>418</v>
      </c>
    </row>
    <row r="105" spans="1:34" ht="22.15" customHeight="1">
      <c r="A105" s="25">
        <v>45516</v>
      </c>
      <c r="B105" s="24" t="s">
        <v>114</v>
      </c>
      <c r="C105" s="2" t="s">
        <v>116</v>
      </c>
      <c r="D105" s="16" t="str" cm="1">
        <f t="array" ref="D105">_xlfn.XLOOKUP(1, (Table1[Project Name]=Table2[[#This Row],[Project ID]])*(Table1[Plot]=Table2[[#This Row],[Plot]]), Table1[Project ID])</f>
        <v>MJ-13</v>
      </c>
      <c r="E105" s="55">
        <v>28</v>
      </c>
      <c r="F105" s="56">
        <v>580</v>
      </c>
      <c r="G105" s="55">
        <f>Table2[[#This Row],[Time Elapsed]]+Table2[[#This Row],[Time Remaining]]</f>
        <v>608</v>
      </c>
      <c r="H105" s="2" t="s">
        <v>322</v>
      </c>
      <c r="I105" s="2" t="s">
        <v>320</v>
      </c>
      <c r="J105" s="13">
        <v>0</v>
      </c>
      <c r="K105" s="148">
        <v>0</v>
      </c>
      <c r="L105" s="13">
        <f>Table2[[#This Row],[Actual %]]-Table2[[#This Row],[Plan %]]</f>
        <v>0</v>
      </c>
      <c r="M105" s="144" t="s">
        <v>292</v>
      </c>
      <c r="N105" s="12">
        <v>45499</v>
      </c>
      <c r="O105" s="12"/>
      <c r="P105" s="12">
        <v>45499</v>
      </c>
      <c r="Q105" s="12">
        <v>45520</v>
      </c>
      <c r="R105" s="2" t="s">
        <v>373</v>
      </c>
      <c r="S105" s="2" t="s">
        <v>371</v>
      </c>
      <c r="T105" s="149" t="s">
        <v>374</v>
      </c>
      <c r="U105" s="35"/>
      <c r="V105" s="93"/>
      <c r="W105" s="36">
        <f>Table2[[#This Row],[Construction Contract Amount]]+Table2[[#This Row],[Cumulative Variations]]</f>
        <v>0</v>
      </c>
      <c r="X105" s="35"/>
      <c r="Y105" s="93"/>
      <c r="Z105" s="36">
        <f>Table2[[#This Row],[Final Contract Value]]+Table2[[#This Row],[Supervision Contract amount]]+Table2[[#This Row],[Authority Cost]]</f>
        <v>0</v>
      </c>
      <c r="AA105" s="35"/>
      <c r="AB105" s="35"/>
      <c r="AC105" s="91" t="str">
        <f t="shared" si="3"/>
        <v>https://drive.google.com/thumbnail?id=1erAewuQjYKuSzO2J7M_BGEAM7u-DEnI2&amp;sz=w1000</v>
      </c>
      <c r="AD105" s="83" t="s">
        <v>416</v>
      </c>
      <c r="AE105" s="74" t="str">
        <f t="shared" si="4"/>
        <v>https://drive.google.com/thumbnail?id=1c3FBPHHZ7t7n-uvjJkQ1bEwKAXm0RkFQ&amp;sz=w1000</v>
      </c>
      <c r="AF105" s="83" t="s">
        <v>417</v>
      </c>
      <c r="AG105" s="73" t="str">
        <f t="shared" si="5"/>
        <v>https://drive.google.com/thumbnail?id=1iggJgkxEIi33_uzKlp_ENRo47YLn90I8&amp;sz=w1000</v>
      </c>
      <c r="AH105" s="83" t="s">
        <v>418</v>
      </c>
    </row>
    <row r="106" spans="1:34" ht="22.15" customHeight="1">
      <c r="A106" s="25">
        <v>45516</v>
      </c>
      <c r="B106" s="24" t="s">
        <v>114</v>
      </c>
      <c r="C106" s="2" t="s">
        <v>116</v>
      </c>
      <c r="D106" s="16" t="str" cm="1">
        <f t="array" ref="D106">_xlfn.XLOOKUP(1, (Table1[Project Name]=Table2[[#This Row],[Project ID]])*(Table1[Plot]=Table2[[#This Row],[Plot]]), Table1[Project ID])</f>
        <v>MJ-13</v>
      </c>
      <c r="E106" s="55">
        <v>28</v>
      </c>
      <c r="F106" s="56">
        <v>580</v>
      </c>
      <c r="G106" s="55">
        <f>Table2[[#This Row],[Time Elapsed]]+Table2[[#This Row],[Time Remaining]]</f>
        <v>608</v>
      </c>
      <c r="H106" s="2" t="s">
        <v>322</v>
      </c>
      <c r="I106" s="2" t="s">
        <v>320</v>
      </c>
      <c r="J106" s="13">
        <v>0</v>
      </c>
      <c r="K106" s="148">
        <v>0</v>
      </c>
      <c r="L106" s="13">
        <f>Table2[[#This Row],[Actual %]]-Table2[[#This Row],[Plan %]]</f>
        <v>0</v>
      </c>
      <c r="M106" s="144" t="s">
        <v>340</v>
      </c>
      <c r="N106" s="12">
        <v>45503</v>
      </c>
      <c r="O106" s="12"/>
      <c r="P106" s="12">
        <v>45503</v>
      </c>
      <c r="Q106" s="12">
        <v>45520</v>
      </c>
      <c r="R106" s="2" t="s">
        <v>373</v>
      </c>
      <c r="S106" s="2" t="s">
        <v>371</v>
      </c>
      <c r="T106" s="149" t="s">
        <v>374</v>
      </c>
      <c r="U106" s="35"/>
      <c r="V106" s="93"/>
      <c r="W106" s="36">
        <f>Table2[[#This Row],[Construction Contract Amount]]+Table2[[#This Row],[Cumulative Variations]]</f>
        <v>0</v>
      </c>
      <c r="X106" s="35"/>
      <c r="Y106" s="93"/>
      <c r="Z106" s="36">
        <f>Table2[[#This Row],[Final Contract Value]]+Table2[[#This Row],[Supervision Contract amount]]+Table2[[#This Row],[Authority Cost]]</f>
        <v>0</v>
      </c>
      <c r="AA106" s="35"/>
      <c r="AB106" s="35"/>
      <c r="AC106" s="91" t="str">
        <f t="shared" si="3"/>
        <v>https://drive.google.com/thumbnail?id=1erAewuQjYKuSzO2J7M_BGEAM7u-DEnI2&amp;sz=w1000</v>
      </c>
      <c r="AD106" s="83" t="s">
        <v>416</v>
      </c>
      <c r="AE106" s="74" t="str">
        <f t="shared" si="4"/>
        <v>https://drive.google.com/thumbnail?id=1c3FBPHHZ7t7n-uvjJkQ1bEwKAXm0RkFQ&amp;sz=w1000</v>
      </c>
      <c r="AF106" s="83" t="s">
        <v>417</v>
      </c>
      <c r="AG106" s="73" t="str">
        <f t="shared" si="5"/>
        <v>https://drive.google.com/thumbnail?id=1iggJgkxEIi33_uzKlp_ENRo47YLn90I8&amp;sz=w1000</v>
      </c>
      <c r="AH106" s="83" t="s">
        <v>418</v>
      </c>
    </row>
    <row r="107" spans="1:34" ht="22.15" customHeight="1">
      <c r="A107" s="25">
        <v>45516</v>
      </c>
      <c r="B107" s="24" t="s">
        <v>114</v>
      </c>
      <c r="C107" s="2" t="s">
        <v>116</v>
      </c>
      <c r="D107" s="16" t="str" cm="1">
        <f t="array" ref="D107">_xlfn.XLOOKUP(1, (Table1[Project Name]=Table2[[#This Row],[Project ID]])*(Table1[Plot]=Table2[[#This Row],[Plot]]), Table1[Project ID])</f>
        <v>MJ-13</v>
      </c>
      <c r="E107" s="55">
        <v>28</v>
      </c>
      <c r="F107" s="56">
        <v>580</v>
      </c>
      <c r="G107" s="55">
        <f>Table2[[#This Row],[Time Elapsed]]+Table2[[#This Row],[Time Remaining]]</f>
        <v>608</v>
      </c>
      <c r="H107" s="2" t="s">
        <v>322</v>
      </c>
      <c r="I107" s="2" t="s">
        <v>320</v>
      </c>
      <c r="J107" s="13">
        <v>0</v>
      </c>
      <c r="K107" s="148">
        <v>0</v>
      </c>
      <c r="L107" s="13">
        <f>Table2[[#This Row],[Actual %]]-Table2[[#This Row],[Plan %]]</f>
        <v>0</v>
      </c>
      <c r="M107" s="144" t="s">
        <v>293</v>
      </c>
      <c r="N107" s="12">
        <v>45507</v>
      </c>
      <c r="O107" s="12"/>
      <c r="P107" s="12">
        <v>45513</v>
      </c>
      <c r="Q107" s="12">
        <v>45520</v>
      </c>
      <c r="R107" s="2" t="s">
        <v>373</v>
      </c>
      <c r="S107" s="2" t="s">
        <v>371</v>
      </c>
      <c r="T107" s="149" t="s">
        <v>374</v>
      </c>
      <c r="U107" s="35"/>
      <c r="V107" s="93"/>
      <c r="W107" s="36">
        <f>Table2[[#This Row],[Construction Contract Amount]]+Table2[[#This Row],[Cumulative Variations]]</f>
        <v>0</v>
      </c>
      <c r="X107" s="35"/>
      <c r="Y107" s="93"/>
      <c r="Z107" s="36">
        <f>Table2[[#This Row],[Final Contract Value]]+Table2[[#This Row],[Supervision Contract amount]]+Table2[[#This Row],[Authority Cost]]</f>
        <v>0</v>
      </c>
      <c r="AA107" s="35"/>
      <c r="AB107" s="35"/>
      <c r="AC107" s="91" t="str">
        <f t="shared" si="3"/>
        <v>https://drive.google.com/thumbnail?id=1erAewuQjYKuSzO2J7M_BGEAM7u-DEnI2&amp;sz=w1000</v>
      </c>
      <c r="AD107" s="83" t="s">
        <v>416</v>
      </c>
      <c r="AE107" s="74" t="str">
        <f t="shared" si="4"/>
        <v>https://drive.google.com/thumbnail?id=1c3FBPHHZ7t7n-uvjJkQ1bEwKAXm0RkFQ&amp;sz=w1000</v>
      </c>
      <c r="AF107" s="83" t="s">
        <v>417</v>
      </c>
      <c r="AG107" s="73" t="str">
        <f t="shared" si="5"/>
        <v>https://drive.google.com/thumbnail?id=1iggJgkxEIi33_uzKlp_ENRo47YLn90I8&amp;sz=w1000</v>
      </c>
      <c r="AH107" s="83" t="s">
        <v>418</v>
      </c>
    </row>
    <row r="108" spans="1:34" ht="22.15" customHeight="1">
      <c r="A108" s="25">
        <v>45516</v>
      </c>
      <c r="B108" s="24" t="s">
        <v>114</v>
      </c>
      <c r="C108" s="2" t="s">
        <v>116</v>
      </c>
      <c r="D108" s="16" t="str" cm="1">
        <f t="array" ref="D108">_xlfn.XLOOKUP(1, (Table1[Project Name]=Table2[[#This Row],[Project ID]])*(Table1[Plot]=Table2[[#This Row],[Plot]]), Table1[Project ID])</f>
        <v>MJ-13</v>
      </c>
      <c r="E108" s="55">
        <v>28</v>
      </c>
      <c r="F108" s="56">
        <v>580</v>
      </c>
      <c r="G108" s="55">
        <f>Table2[[#This Row],[Time Elapsed]]+Table2[[#This Row],[Time Remaining]]</f>
        <v>608</v>
      </c>
      <c r="H108" s="2" t="s">
        <v>322</v>
      </c>
      <c r="I108" s="2" t="s">
        <v>320</v>
      </c>
      <c r="J108" s="13">
        <v>0</v>
      </c>
      <c r="K108" s="148">
        <v>0</v>
      </c>
      <c r="L108" s="13">
        <f>Table2[[#This Row],[Actual %]]-Table2[[#This Row],[Plan %]]</f>
        <v>0</v>
      </c>
      <c r="M108" s="144" t="s">
        <v>294</v>
      </c>
      <c r="N108" s="12">
        <v>45507</v>
      </c>
      <c r="O108" s="12"/>
      <c r="P108" s="12">
        <v>45513</v>
      </c>
      <c r="Q108" s="12">
        <v>45520</v>
      </c>
      <c r="R108" s="2" t="s">
        <v>373</v>
      </c>
      <c r="S108" s="2" t="s">
        <v>371</v>
      </c>
      <c r="T108" s="149" t="s">
        <v>374</v>
      </c>
      <c r="U108" s="35"/>
      <c r="V108" s="93"/>
      <c r="W108" s="36">
        <f>Table2[[#This Row],[Construction Contract Amount]]+Table2[[#This Row],[Cumulative Variations]]</f>
        <v>0</v>
      </c>
      <c r="X108" s="35"/>
      <c r="Y108" s="93"/>
      <c r="Z108" s="36">
        <f>Table2[[#This Row],[Final Contract Value]]+Table2[[#This Row],[Supervision Contract amount]]+Table2[[#This Row],[Authority Cost]]</f>
        <v>0</v>
      </c>
      <c r="AA108" s="35"/>
      <c r="AB108" s="35"/>
      <c r="AC108" s="91" t="str">
        <f t="shared" si="3"/>
        <v>https://drive.google.com/thumbnail?id=1erAewuQjYKuSzO2J7M_BGEAM7u-DEnI2&amp;sz=w1000</v>
      </c>
      <c r="AD108" s="83" t="s">
        <v>416</v>
      </c>
      <c r="AE108" s="74" t="str">
        <f t="shared" si="4"/>
        <v>https://drive.google.com/thumbnail?id=1c3FBPHHZ7t7n-uvjJkQ1bEwKAXm0RkFQ&amp;sz=w1000</v>
      </c>
      <c r="AF108" s="83" t="s">
        <v>417</v>
      </c>
      <c r="AG108" s="73" t="str">
        <f t="shared" si="5"/>
        <v>https://drive.google.com/thumbnail?id=1iggJgkxEIi33_uzKlp_ENRo47YLn90I8&amp;sz=w1000</v>
      </c>
      <c r="AH108" s="83" t="s">
        <v>418</v>
      </c>
    </row>
    <row r="109" spans="1:34" ht="22.15" customHeight="1">
      <c r="A109" s="25">
        <v>45516</v>
      </c>
      <c r="B109" s="24" t="s">
        <v>114</v>
      </c>
      <c r="C109" s="2" t="s">
        <v>116</v>
      </c>
      <c r="D109" s="16" t="str" cm="1">
        <f t="array" ref="D109">_xlfn.XLOOKUP(1, (Table1[Project Name]=Table2[[#This Row],[Project ID]])*(Table1[Plot]=Table2[[#This Row],[Plot]]), Table1[Project ID])</f>
        <v>MJ-13</v>
      </c>
      <c r="E109" s="55">
        <v>28</v>
      </c>
      <c r="F109" s="56">
        <v>580</v>
      </c>
      <c r="G109" s="55">
        <f>Table2[[#This Row],[Time Elapsed]]+Table2[[#This Row],[Time Remaining]]</f>
        <v>608</v>
      </c>
      <c r="H109" s="2" t="s">
        <v>322</v>
      </c>
      <c r="I109" s="2" t="s">
        <v>320</v>
      </c>
      <c r="J109" s="13">
        <v>0</v>
      </c>
      <c r="K109" s="148">
        <v>0</v>
      </c>
      <c r="L109" s="13">
        <f>Table2[[#This Row],[Actual %]]-Table2[[#This Row],[Plan %]]</f>
        <v>0</v>
      </c>
      <c r="M109" s="144" t="s">
        <v>341</v>
      </c>
      <c r="N109" s="12">
        <v>45511</v>
      </c>
      <c r="O109" s="12"/>
      <c r="P109" s="12">
        <v>45511</v>
      </c>
      <c r="Q109" s="12">
        <v>45520</v>
      </c>
      <c r="R109" s="2" t="s">
        <v>373</v>
      </c>
      <c r="S109" s="2" t="s">
        <v>371</v>
      </c>
      <c r="T109" s="149" t="s">
        <v>374</v>
      </c>
      <c r="U109" s="35"/>
      <c r="V109" s="93"/>
      <c r="W109" s="36">
        <f>Table2[[#This Row],[Construction Contract Amount]]+Table2[[#This Row],[Cumulative Variations]]</f>
        <v>0</v>
      </c>
      <c r="X109" s="35"/>
      <c r="Y109" s="93"/>
      <c r="Z109" s="36">
        <f>Table2[[#This Row],[Final Contract Value]]+Table2[[#This Row],[Supervision Contract amount]]+Table2[[#This Row],[Authority Cost]]</f>
        <v>0</v>
      </c>
      <c r="AA109" s="35"/>
      <c r="AB109" s="35"/>
      <c r="AC109" s="91" t="str">
        <f t="shared" si="3"/>
        <v>https://drive.google.com/thumbnail?id=1erAewuQjYKuSzO2J7M_BGEAM7u-DEnI2&amp;sz=w1000</v>
      </c>
      <c r="AD109" s="83" t="s">
        <v>416</v>
      </c>
      <c r="AE109" s="74" t="str">
        <f t="shared" si="4"/>
        <v>https://drive.google.com/thumbnail?id=1c3FBPHHZ7t7n-uvjJkQ1bEwKAXm0RkFQ&amp;sz=w1000</v>
      </c>
      <c r="AF109" s="83" t="s">
        <v>417</v>
      </c>
      <c r="AG109" s="73" t="str">
        <f t="shared" si="5"/>
        <v>https://drive.google.com/thumbnail?id=1iggJgkxEIi33_uzKlp_ENRo47YLn90I8&amp;sz=w1000</v>
      </c>
      <c r="AH109" s="83" t="s">
        <v>418</v>
      </c>
    </row>
    <row r="110" spans="1:34" ht="22.15" customHeight="1">
      <c r="A110" s="25">
        <v>45516</v>
      </c>
      <c r="B110" s="24" t="s">
        <v>114</v>
      </c>
      <c r="C110" s="2" t="s">
        <v>116</v>
      </c>
      <c r="D110" s="16" t="str" cm="1">
        <f t="array" ref="D110">_xlfn.XLOOKUP(1, (Table1[Project Name]=Table2[[#This Row],[Project ID]])*(Table1[Plot]=Table2[[#This Row],[Plot]]), Table1[Project ID])</f>
        <v>MJ-13</v>
      </c>
      <c r="E110" s="55">
        <v>28</v>
      </c>
      <c r="F110" s="56">
        <v>580</v>
      </c>
      <c r="G110" s="55">
        <f>Table2[[#This Row],[Time Elapsed]]+Table2[[#This Row],[Time Remaining]]</f>
        <v>608</v>
      </c>
      <c r="H110" s="2" t="s">
        <v>322</v>
      </c>
      <c r="I110" s="2" t="s">
        <v>320</v>
      </c>
      <c r="J110" s="13">
        <v>0</v>
      </c>
      <c r="K110" s="148">
        <v>0</v>
      </c>
      <c r="L110" s="13">
        <f>Table2[[#This Row],[Actual %]]-Table2[[#This Row],[Plan %]]</f>
        <v>0</v>
      </c>
      <c r="M110" s="144" t="s">
        <v>342</v>
      </c>
      <c r="N110" s="12">
        <v>45532</v>
      </c>
      <c r="O110" s="12"/>
      <c r="P110" s="12">
        <v>45532</v>
      </c>
      <c r="Q110" s="12">
        <v>45520</v>
      </c>
      <c r="R110" s="2" t="s">
        <v>373</v>
      </c>
      <c r="S110" s="2" t="s">
        <v>371</v>
      </c>
      <c r="T110" s="149" t="s">
        <v>374</v>
      </c>
      <c r="U110" s="35"/>
      <c r="V110" s="93"/>
      <c r="W110" s="94">
        <f>Table2[[#This Row],[Construction Contract Amount]]+Table2[[#This Row],[Cumulative Variations]]</f>
        <v>0</v>
      </c>
      <c r="X110" s="35"/>
      <c r="Y110" s="93"/>
      <c r="Z110" s="94">
        <f>Table2[[#This Row],[Final Contract Value]]+Table2[[#This Row],[Supervision Contract amount]]+Table2[[#This Row],[Authority Cost]]</f>
        <v>0</v>
      </c>
      <c r="AA110" s="35"/>
      <c r="AB110" s="35"/>
      <c r="AC110" s="91" t="str">
        <f t="shared" si="3"/>
        <v>https://drive.google.com/thumbnail?id=1erAewuQjYKuSzO2J7M_BGEAM7u-DEnI2&amp;sz=w1000</v>
      </c>
      <c r="AD110" s="83" t="s">
        <v>416</v>
      </c>
      <c r="AE110" s="74" t="str">
        <f t="shared" si="4"/>
        <v>https://drive.google.com/thumbnail?id=1c3FBPHHZ7t7n-uvjJkQ1bEwKAXm0RkFQ&amp;sz=w1000</v>
      </c>
      <c r="AF110" s="83" t="s">
        <v>417</v>
      </c>
      <c r="AG110" s="73" t="str">
        <f t="shared" si="5"/>
        <v>https://drive.google.com/thumbnail?id=1iggJgkxEIi33_uzKlp_ENRo47YLn90I8&amp;sz=w1000</v>
      </c>
      <c r="AH110" s="83" t="s">
        <v>418</v>
      </c>
    </row>
    <row r="111" spans="1:34" ht="22.15" customHeight="1">
      <c r="A111" s="25">
        <v>45516</v>
      </c>
      <c r="B111" s="24" t="s">
        <v>114</v>
      </c>
      <c r="C111" s="2" t="s">
        <v>116</v>
      </c>
      <c r="D111" s="16" t="str" cm="1">
        <f t="array" ref="D111">_xlfn.XLOOKUP(1, (Table1[Project Name]=Table2[[#This Row],[Project ID]])*(Table1[Plot]=Table2[[#This Row],[Plot]]), Table1[Project ID])</f>
        <v>MJ-13</v>
      </c>
      <c r="E111" s="55">
        <v>28</v>
      </c>
      <c r="F111" s="56">
        <v>580</v>
      </c>
      <c r="G111" s="55">
        <f>Table2[[#This Row],[Time Elapsed]]+Table2[[#This Row],[Time Remaining]]</f>
        <v>608</v>
      </c>
      <c r="H111" s="2" t="s">
        <v>322</v>
      </c>
      <c r="I111" s="2" t="s">
        <v>320</v>
      </c>
      <c r="J111" s="13">
        <v>0</v>
      </c>
      <c r="K111" s="148">
        <v>0</v>
      </c>
      <c r="L111" s="13">
        <f>Table2[[#This Row],[Actual %]]-Table2[[#This Row],[Plan %]]</f>
        <v>0</v>
      </c>
      <c r="M111" s="144" t="s">
        <v>339</v>
      </c>
      <c r="N111" s="12">
        <v>46096</v>
      </c>
      <c r="O111" s="12"/>
      <c r="P111" s="12">
        <v>46106</v>
      </c>
      <c r="Q111" s="12">
        <v>45520</v>
      </c>
      <c r="R111" s="2" t="s">
        <v>373</v>
      </c>
      <c r="S111" s="2" t="s">
        <v>371</v>
      </c>
      <c r="T111" s="149" t="s">
        <v>374</v>
      </c>
      <c r="U111" s="35"/>
      <c r="V111" s="93"/>
      <c r="W111" s="94">
        <f>Table2[[#This Row],[Construction Contract Amount]]+Table2[[#This Row],[Cumulative Variations]]</f>
        <v>0</v>
      </c>
      <c r="X111" s="35"/>
      <c r="Y111" s="93"/>
      <c r="Z111" s="94">
        <f>Table2[[#This Row],[Final Contract Value]]+Table2[[#This Row],[Supervision Contract amount]]+Table2[[#This Row],[Authority Cost]]</f>
        <v>0</v>
      </c>
      <c r="AA111" s="35"/>
      <c r="AB111" s="35"/>
      <c r="AC111" s="91" t="str">
        <f t="shared" si="3"/>
        <v>https://drive.google.com/thumbnail?id=1erAewuQjYKuSzO2J7M_BGEAM7u-DEnI2&amp;sz=w1000</v>
      </c>
      <c r="AD111" s="83" t="s">
        <v>416</v>
      </c>
      <c r="AE111" s="74" t="str">
        <f t="shared" si="4"/>
        <v>https://drive.google.com/thumbnail?id=1c3FBPHHZ7t7n-uvjJkQ1bEwKAXm0RkFQ&amp;sz=w1000</v>
      </c>
      <c r="AF111" s="83" t="s">
        <v>417</v>
      </c>
      <c r="AG111" s="73" t="str">
        <f t="shared" si="5"/>
        <v>https://drive.google.com/thumbnail?id=1iggJgkxEIi33_uzKlp_ENRo47YLn90I8&amp;sz=w1000</v>
      </c>
      <c r="AH111" s="83" t="s">
        <v>418</v>
      </c>
    </row>
    <row r="112" spans="1:34" ht="22.15" customHeight="1">
      <c r="A112" s="26">
        <v>45516</v>
      </c>
      <c r="B112" s="17" t="s">
        <v>244</v>
      </c>
      <c r="C112" s="2" t="s">
        <v>78</v>
      </c>
      <c r="D112" s="16" t="str" cm="1">
        <f t="array" ref="D112">_xlfn.XLOOKUP(1, (Table1[Project Name]=Table2[[#This Row],[Project ID]])*(Table1[Plot]=Table2[[#This Row],[Plot]]), Table1[Project ID])</f>
        <v>SC-02</v>
      </c>
      <c r="E112" s="57">
        <v>219</v>
      </c>
      <c r="F112" s="58">
        <v>328</v>
      </c>
      <c r="G112" s="57">
        <f>Table2[[#This Row],[Time Elapsed]]+Table2[[#This Row],[Time Remaining]]</f>
        <v>547</v>
      </c>
      <c r="H112" s="2" t="s">
        <v>323</v>
      </c>
      <c r="I112" s="2" t="s">
        <v>324</v>
      </c>
      <c r="J112" s="13">
        <v>0.1464</v>
      </c>
      <c r="K112" s="148">
        <v>0.2006</v>
      </c>
      <c r="L112" s="13">
        <f>Table2[[#This Row],[Actual %]]-Table2[[#This Row],[Plan %]]</f>
        <v>5.4199999999999998E-2</v>
      </c>
      <c r="M112" s="144" t="s">
        <v>285</v>
      </c>
      <c r="N112" s="12">
        <v>45187</v>
      </c>
      <c r="O112" s="12">
        <v>45195</v>
      </c>
      <c r="P112" s="12"/>
      <c r="Q112" s="12">
        <v>45520</v>
      </c>
      <c r="R112" s="2" t="s">
        <v>375</v>
      </c>
      <c r="S112" s="2" t="s">
        <v>376</v>
      </c>
      <c r="T112" s="149" t="s">
        <v>377</v>
      </c>
      <c r="U112" s="122">
        <v>78077600</v>
      </c>
      <c r="V112" s="93"/>
      <c r="W112" s="94">
        <f>Table2[[#This Row],[Construction Contract Amount]]+Table2[[#This Row],[Cumulative Variations]]</f>
        <v>78077600</v>
      </c>
      <c r="X112" s="123">
        <v>1576709</v>
      </c>
      <c r="Y112" s="93"/>
      <c r="Z112" s="94">
        <f>Table2[[#This Row],[Final Contract Value]]+Table2[[#This Row],[Supervision Contract amount]]+Table2[[#This Row],[Authority Cost]]</f>
        <v>79654309</v>
      </c>
      <c r="AA112" s="35">
        <v>10200000</v>
      </c>
      <c r="AB112" s="123">
        <f t="shared" ref="AB112:AB120" si="6">0.18*1000000</f>
        <v>180000</v>
      </c>
      <c r="AC112" s="91" t="str">
        <f t="shared" si="3"/>
        <v>https://drive.google.com/thumbnail?id=1vEe16r7h-ux1rA7AxiyngNZw8Z8sHH4F&amp;sz=w1000</v>
      </c>
      <c r="AD112" s="84" t="s">
        <v>419</v>
      </c>
      <c r="AE112" s="74" t="str">
        <f t="shared" si="4"/>
        <v>https://drive.google.com/thumbnail?id=1Id-FrFKnEcbWhvWSxpJ-s5C1Sd5GUsBE&amp;sz=w1000</v>
      </c>
      <c r="AF112" s="84" t="s">
        <v>420</v>
      </c>
      <c r="AG112" s="73" t="str">
        <f t="shared" si="5"/>
        <v>https://drive.google.com/thumbnail?id=13aoD-D4xVjW7Mpl0_JTNMreYR8d1A9sn&amp;sz=w1000</v>
      </c>
      <c r="AH112" s="84" t="s">
        <v>421</v>
      </c>
    </row>
    <row r="113" spans="1:34" ht="22.15" customHeight="1">
      <c r="A113" s="26">
        <v>45516</v>
      </c>
      <c r="B113" s="17" t="s">
        <v>244</v>
      </c>
      <c r="C113" s="2" t="s">
        <v>78</v>
      </c>
      <c r="D113" s="16" t="str" cm="1">
        <f t="array" ref="D113">_xlfn.XLOOKUP(1, (Table1[Project Name]=Table2[[#This Row],[Project ID]])*(Table1[Plot]=Table2[[#This Row],[Plot]]), Table1[Project ID])</f>
        <v>SC-02</v>
      </c>
      <c r="E113" s="57">
        <v>219</v>
      </c>
      <c r="F113" s="58">
        <v>328</v>
      </c>
      <c r="G113" s="57">
        <f>Table2[[#This Row],[Time Elapsed]]+Table2[[#This Row],[Time Remaining]]</f>
        <v>547</v>
      </c>
      <c r="H113" s="2" t="s">
        <v>323</v>
      </c>
      <c r="I113" s="2" t="s">
        <v>324</v>
      </c>
      <c r="J113" s="13">
        <v>0.1464</v>
      </c>
      <c r="K113" s="148">
        <v>0.2006</v>
      </c>
      <c r="L113" s="13">
        <f>Table2[[#This Row],[Actual %]]-Table2[[#This Row],[Plan %]]</f>
        <v>5.4199999999999998E-2</v>
      </c>
      <c r="M113" s="144" t="s">
        <v>51</v>
      </c>
      <c r="N113" s="12">
        <v>45220</v>
      </c>
      <c r="O113" s="12">
        <v>45266</v>
      </c>
      <c r="P113" s="12"/>
      <c r="Q113" s="12">
        <v>45520</v>
      </c>
      <c r="R113" s="2" t="s">
        <v>375</v>
      </c>
      <c r="S113" s="2" t="s">
        <v>376</v>
      </c>
      <c r="T113" s="149" t="s">
        <v>377</v>
      </c>
      <c r="U113" s="122">
        <v>78077600</v>
      </c>
      <c r="V113" s="93"/>
      <c r="W113" s="94">
        <f>Table2[[#This Row],[Construction Contract Amount]]+Table2[[#This Row],[Cumulative Variations]]</f>
        <v>78077600</v>
      </c>
      <c r="X113" s="123">
        <v>1576709</v>
      </c>
      <c r="Y113" s="93"/>
      <c r="Z113" s="94">
        <f>Table2[[#This Row],[Final Contract Value]]+Table2[[#This Row],[Supervision Contract amount]]+Table2[[#This Row],[Authority Cost]]</f>
        <v>79654309</v>
      </c>
      <c r="AA113" s="35">
        <v>10200000</v>
      </c>
      <c r="AB113" s="123">
        <f t="shared" si="6"/>
        <v>180000</v>
      </c>
      <c r="AC113" s="91" t="str">
        <f t="shared" si="3"/>
        <v>https://drive.google.com/thumbnail?id=1vEe16r7h-ux1rA7AxiyngNZw8Z8sHH4F&amp;sz=w1000</v>
      </c>
      <c r="AD113" s="84" t="s">
        <v>419</v>
      </c>
      <c r="AE113" s="74" t="str">
        <f t="shared" si="4"/>
        <v>https://drive.google.com/thumbnail?id=1Id-FrFKnEcbWhvWSxpJ-s5C1Sd5GUsBE&amp;sz=w1000</v>
      </c>
      <c r="AF113" s="84" t="s">
        <v>420</v>
      </c>
      <c r="AG113" s="73" t="str">
        <f t="shared" si="5"/>
        <v>https://drive.google.com/thumbnail?id=13aoD-D4xVjW7Mpl0_JTNMreYR8d1A9sn&amp;sz=w1000</v>
      </c>
      <c r="AH113" s="84" t="s">
        <v>421</v>
      </c>
    </row>
    <row r="114" spans="1:34" ht="22.15" customHeight="1">
      <c r="A114" s="26">
        <v>45516</v>
      </c>
      <c r="B114" s="17" t="s">
        <v>244</v>
      </c>
      <c r="C114" s="2" t="s">
        <v>78</v>
      </c>
      <c r="D114" s="16" t="str" cm="1">
        <f t="array" ref="D114">_xlfn.XLOOKUP(1, (Table1[Project Name]=Table2[[#This Row],[Project ID]])*(Table1[Plot]=Table2[[#This Row],[Plot]]), Table1[Project ID])</f>
        <v>SC-02</v>
      </c>
      <c r="E114" s="57">
        <v>219</v>
      </c>
      <c r="F114" s="58">
        <v>328</v>
      </c>
      <c r="G114" s="57">
        <f>Table2[[#This Row],[Time Elapsed]]+Table2[[#This Row],[Time Remaining]]</f>
        <v>547</v>
      </c>
      <c r="H114" s="2" t="s">
        <v>323</v>
      </c>
      <c r="I114" s="2" t="s">
        <v>324</v>
      </c>
      <c r="J114" s="13">
        <v>0.1464</v>
      </c>
      <c r="K114" s="148">
        <v>0.2006</v>
      </c>
      <c r="L114" s="13">
        <f>Table2[[#This Row],[Actual %]]-Table2[[#This Row],[Plan %]]</f>
        <v>5.4199999999999998E-2</v>
      </c>
      <c r="M114" s="144" t="s">
        <v>287</v>
      </c>
      <c r="N114" s="12">
        <v>45429</v>
      </c>
      <c r="O114" s="12">
        <v>45435</v>
      </c>
      <c r="P114" s="12"/>
      <c r="Q114" s="12">
        <v>45520</v>
      </c>
      <c r="R114" s="2" t="s">
        <v>375</v>
      </c>
      <c r="S114" s="2" t="s">
        <v>376</v>
      </c>
      <c r="T114" s="149" t="s">
        <v>377</v>
      </c>
      <c r="U114" s="122">
        <v>78077600</v>
      </c>
      <c r="V114" s="93"/>
      <c r="W114" s="94">
        <f>Table2[[#This Row],[Construction Contract Amount]]+Table2[[#This Row],[Cumulative Variations]]</f>
        <v>78077600</v>
      </c>
      <c r="X114" s="123">
        <v>1576709</v>
      </c>
      <c r="Y114" s="93"/>
      <c r="Z114" s="94">
        <f>Table2[[#This Row],[Final Contract Value]]+Table2[[#This Row],[Supervision Contract amount]]+Table2[[#This Row],[Authority Cost]]</f>
        <v>79654309</v>
      </c>
      <c r="AA114" s="35">
        <v>10200000</v>
      </c>
      <c r="AB114" s="123">
        <f t="shared" si="6"/>
        <v>180000</v>
      </c>
      <c r="AC114" s="91" t="str">
        <f t="shared" si="3"/>
        <v>https://drive.google.com/thumbnail?id=1vEe16r7h-ux1rA7AxiyngNZw8Z8sHH4F&amp;sz=w1000</v>
      </c>
      <c r="AD114" s="84" t="s">
        <v>419</v>
      </c>
      <c r="AE114" s="74" t="str">
        <f t="shared" si="4"/>
        <v>https://drive.google.com/thumbnail?id=1Id-FrFKnEcbWhvWSxpJ-s5C1Sd5GUsBE&amp;sz=w1000</v>
      </c>
      <c r="AF114" s="84" t="s">
        <v>420</v>
      </c>
      <c r="AG114" s="73" t="str">
        <f t="shared" si="5"/>
        <v>https://drive.google.com/thumbnail?id=13aoD-D4xVjW7Mpl0_JTNMreYR8d1A9sn&amp;sz=w1000</v>
      </c>
      <c r="AH114" s="84" t="s">
        <v>421</v>
      </c>
    </row>
    <row r="115" spans="1:34" ht="22.15" customHeight="1">
      <c r="A115" s="26">
        <v>45516</v>
      </c>
      <c r="B115" s="17" t="s">
        <v>244</v>
      </c>
      <c r="C115" s="2" t="s">
        <v>78</v>
      </c>
      <c r="D115" s="16" t="str" cm="1">
        <f t="array" ref="D115">_xlfn.XLOOKUP(1, (Table1[Project Name]=Table2[[#This Row],[Project ID]])*(Table1[Plot]=Table2[[#This Row],[Plot]]), Table1[Project ID])</f>
        <v>SC-02</v>
      </c>
      <c r="E115" s="57">
        <v>219</v>
      </c>
      <c r="F115" s="58">
        <v>328</v>
      </c>
      <c r="G115" s="57">
        <f>Table2[[#This Row],[Time Elapsed]]+Table2[[#This Row],[Time Remaining]]</f>
        <v>547</v>
      </c>
      <c r="H115" s="2" t="s">
        <v>323</v>
      </c>
      <c r="I115" s="2" t="s">
        <v>324</v>
      </c>
      <c r="J115" s="13">
        <v>0.1464</v>
      </c>
      <c r="K115" s="148">
        <v>0.2006</v>
      </c>
      <c r="L115" s="13">
        <f>Table2[[#This Row],[Actual %]]-Table2[[#This Row],[Plan %]]</f>
        <v>5.4199999999999998E-2</v>
      </c>
      <c r="M115" s="144" t="s">
        <v>300</v>
      </c>
      <c r="N115" s="12">
        <v>45433</v>
      </c>
      <c r="O115" s="12">
        <v>45498</v>
      </c>
      <c r="P115" s="12"/>
      <c r="Q115" s="12">
        <v>45520</v>
      </c>
      <c r="R115" s="2" t="s">
        <v>375</v>
      </c>
      <c r="S115" s="2" t="s">
        <v>376</v>
      </c>
      <c r="T115" s="149" t="s">
        <v>377</v>
      </c>
      <c r="U115" s="122">
        <v>78077600</v>
      </c>
      <c r="V115" s="93"/>
      <c r="W115" s="94">
        <f>Table2[[#This Row],[Construction Contract Amount]]+Table2[[#This Row],[Cumulative Variations]]</f>
        <v>78077600</v>
      </c>
      <c r="X115" s="123">
        <v>1576709</v>
      </c>
      <c r="Y115" s="93"/>
      <c r="Z115" s="94">
        <f>Table2[[#This Row],[Final Contract Value]]+Table2[[#This Row],[Supervision Contract amount]]+Table2[[#This Row],[Authority Cost]]</f>
        <v>79654309</v>
      </c>
      <c r="AA115" s="35">
        <v>10200000</v>
      </c>
      <c r="AB115" s="123">
        <f t="shared" si="6"/>
        <v>180000</v>
      </c>
      <c r="AC115" s="91" t="str">
        <f t="shared" si="3"/>
        <v>https://drive.google.com/thumbnail?id=1vEe16r7h-ux1rA7AxiyngNZw8Z8sHH4F&amp;sz=w1000</v>
      </c>
      <c r="AD115" s="84" t="s">
        <v>419</v>
      </c>
      <c r="AE115" s="74" t="str">
        <f t="shared" si="4"/>
        <v>https://drive.google.com/thumbnail?id=1Id-FrFKnEcbWhvWSxpJ-s5C1Sd5GUsBE&amp;sz=w1000</v>
      </c>
      <c r="AF115" s="84" t="s">
        <v>420</v>
      </c>
      <c r="AG115" s="73" t="str">
        <f t="shared" si="5"/>
        <v>https://drive.google.com/thumbnail?id=13aoD-D4xVjW7Mpl0_JTNMreYR8d1A9sn&amp;sz=w1000</v>
      </c>
      <c r="AH115" s="84" t="s">
        <v>421</v>
      </c>
    </row>
    <row r="116" spans="1:34" ht="22.15" customHeight="1">
      <c r="A116" s="26">
        <v>45516</v>
      </c>
      <c r="B116" s="17" t="s">
        <v>244</v>
      </c>
      <c r="C116" s="2" t="s">
        <v>78</v>
      </c>
      <c r="D116" s="16" t="str" cm="1">
        <f t="array" ref="D116">_xlfn.XLOOKUP(1, (Table1[Project Name]=Table2[[#This Row],[Project ID]])*(Table1[Plot]=Table2[[#This Row],[Plot]]), Table1[Project ID])</f>
        <v>SC-02</v>
      </c>
      <c r="E116" s="57">
        <v>219</v>
      </c>
      <c r="F116" s="58">
        <v>328</v>
      </c>
      <c r="G116" s="57">
        <f>Table2[[#This Row],[Time Elapsed]]+Table2[[#This Row],[Time Remaining]]</f>
        <v>547</v>
      </c>
      <c r="H116" s="2" t="s">
        <v>323</v>
      </c>
      <c r="I116" s="2" t="s">
        <v>324</v>
      </c>
      <c r="J116" s="13">
        <v>0.1464</v>
      </c>
      <c r="K116" s="148">
        <v>0.2006</v>
      </c>
      <c r="L116" s="13">
        <f>Table2[[#This Row],[Actual %]]-Table2[[#This Row],[Plan %]]</f>
        <v>5.4199999999999998E-2</v>
      </c>
      <c r="M116" s="144" t="s">
        <v>301</v>
      </c>
      <c r="N116" s="12">
        <v>45596</v>
      </c>
      <c r="O116" s="12"/>
      <c r="P116" s="12">
        <v>45666</v>
      </c>
      <c r="Q116" s="12">
        <v>45520</v>
      </c>
      <c r="R116" s="2" t="s">
        <v>375</v>
      </c>
      <c r="S116" s="2" t="s">
        <v>376</v>
      </c>
      <c r="T116" s="149" t="s">
        <v>377</v>
      </c>
      <c r="U116" s="122">
        <v>78077600</v>
      </c>
      <c r="V116" s="93"/>
      <c r="W116" s="94">
        <f>Table2[[#This Row],[Construction Contract Amount]]+Table2[[#This Row],[Cumulative Variations]]</f>
        <v>78077600</v>
      </c>
      <c r="X116" s="123">
        <v>1576709</v>
      </c>
      <c r="Y116" s="93"/>
      <c r="Z116" s="94">
        <f>Table2[[#This Row],[Final Contract Value]]+Table2[[#This Row],[Supervision Contract amount]]+Table2[[#This Row],[Authority Cost]]</f>
        <v>79654309</v>
      </c>
      <c r="AA116" s="35">
        <v>10200000</v>
      </c>
      <c r="AB116" s="123">
        <f t="shared" si="6"/>
        <v>180000</v>
      </c>
      <c r="AC116" s="91" t="str">
        <f t="shared" si="3"/>
        <v>https://drive.google.com/thumbnail?id=1vEe16r7h-ux1rA7AxiyngNZw8Z8sHH4F&amp;sz=w1000</v>
      </c>
      <c r="AD116" s="84" t="s">
        <v>419</v>
      </c>
      <c r="AE116" s="74" t="str">
        <f t="shared" si="4"/>
        <v>https://drive.google.com/thumbnail?id=1Id-FrFKnEcbWhvWSxpJ-s5C1Sd5GUsBE&amp;sz=w1000</v>
      </c>
      <c r="AF116" s="84" t="s">
        <v>420</v>
      </c>
      <c r="AG116" s="73" t="str">
        <f t="shared" si="5"/>
        <v>https://drive.google.com/thumbnail?id=13aoD-D4xVjW7Mpl0_JTNMreYR8d1A9sn&amp;sz=w1000</v>
      </c>
      <c r="AH116" s="84" t="s">
        <v>421</v>
      </c>
    </row>
    <row r="117" spans="1:34" ht="22.15" customHeight="1">
      <c r="A117" s="26">
        <v>45516</v>
      </c>
      <c r="B117" s="17" t="s">
        <v>244</v>
      </c>
      <c r="C117" s="2" t="s">
        <v>78</v>
      </c>
      <c r="D117" s="16" t="str" cm="1">
        <f t="array" ref="D117">_xlfn.XLOOKUP(1, (Table1[Project Name]=Table2[[#This Row],[Project ID]])*(Table1[Plot]=Table2[[#This Row],[Plot]]), Table1[Project ID])</f>
        <v>SC-02</v>
      </c>
      <c r="E117" s="57">
        <v>219</v>
      </c>
      <c r="F117" s="58">
        <v>328</v>
      </c>
      <c r="G117" s="57">
        <f>Table2[[#This Row],[Time Elapsed]]+Table2[[#This Row],[Time Remaining]]</f>
        <v>547</v>
      </c>
      <c r="H117" s="2" t="s">
        <v>323</v>
      </c>
      <c r="I117" s="2" t="s">
        <v>324</v>
      </c>
      <c r="J117" s="13">
        <v>0.1464</v>
      </c>
      <c r="K117" s="148">
        <v>0.2006</v>
      </c>
      <c r="L117" s="13">
        <f>Table2[[#This Row],[Actual %]]-Table2[[#This Row],[Plan %]]</f>
        <v>5.4199999999999998E-2</v>
      </c>
      <c r="M117" s="144" t="s">
        <v>280</v>
      </c>
      <c r="N117" s="12">
        <v>45682</v>
      </c>
      <c r="O117" s="12"/>
      <c r="P117" s="12">
        <v>45789</v>
      </c>
      <c r="Q117" s="12">
        <v>45520</v>
      </c>
      <c r="R117" s="2" t="s">
        <v>375</v>
      </c>
      <c r="S117" s="2" t="s">
        <v>376</v>
      </c>
      <c r="T117" s="149" t="s">
        <v>377</v>
      </c>
      <c r="U117" s="122">
        <v>78077600</v>
      </c>
      <c r="V117" s="93"/>
      <c r="W117" s="94">
        <f>Table2[[#This Row],[Construction Contract Amount]]+Table2[[#This Row],[Cumulative Variations]]</f>
        <v>78077600</v>
      </c>
      <c r="X117" s="123">
        <v>1576709</v>
      </c>
      <c r="Y117" s="93"/>
      <c r="Z117" s="94">
        <f>Table2[[#This Row],[Final Contract Value]]+Table2[[#This Row],[Supervision Contract amount]]+Table2[[#This Row],[Authority Cost]]</f>
        <v>79654309</v>
      </c>
      <c r="AA117" s="35">
        <v>10200000</v>
      </c>
      <c r="AB117" s="123">
        <f t="shared" si="6"/>
        <v>180000</v>
      </c>
      <c r="AC117" s="91" t="str">
        <f t="shared" si="3"/>
        <v>https://drive.google.com/thumbnail?id=1vEe16r7h-ux1rA7AxiyngNZw8Z8sHH4F&amp;sz=w1000</v>
      </c>
      <c r="AD117" s="84" t="s">
        <v>419</v>
      </c>
      <c r="AE117" s="74" t="str">
        <f t="shared" si="4"/>
        <v>https://drive.google.com/thumbnail?id=1Id-FrFKnEcbWhvWSxpJ-s5C1Sd5GUsBE&amp;sz=w1000</v>
      </c>
      <c r="AF117" s="84" t="s">
        <v>420</v>
      </c>
      <c r="AG117" s="73" t="str">
        <f t="shared" si="5"/>
        <v>https://drive.google.com/thumbnail?id=13aoD-D4xVjW7Mpl0_JTNMreYR8d1A9sn&amp;sz=w1000</v>
      </c>
      <c r="AH117" s="84" t="s">
        <v>421</v>
      </c>
    </row>
    <row r="118" spans="1:34" ht="22.15" customHeight="1">
      <c r="A118" s="26">
        <v>45516</v>
      </c>
      <c r="B118" s="17" t="s">
        <v>244</v>
      </c>
      <c r="C118" s="2" t="s">
        <v>78</v>
      </c>
      <c r="D118" s="16" t="str" cm="1">
        <f t="array" ref="D118">_xlfn.XLOOKUP(1, (Table1[Project Name]=Table2[[#This Row],[Project ID]])*(Table1[Plot]=Table2[[#This Row],[Plot]]), Table1[Project ID])</f>
        <v>SC-02</v>
      </c>
      <c r="E118" s="57">
        <v>219</v>
      </c>
      <c r="F118" s="58">
        <v>328</v>
      </c>
      <c r="G118" s="57">
        <f>Table2[[#This Row],[Time Elapsed]]+Table2[[#This Row],[Time Remaining]]</f>
        <v>547</v>
      </c>
      <c r="H118" s="2" t="s">
        <v>323</v>
      </c>
      <c r="I118" s="2" t="s">
        <v>324</v>
      </c>
      <c r="J118" s="13">
        <v>0.1464</v>
      </c>
      <c r="K118" s="148">
        <v>0.2006</v>
      </c>
      <c r="L118" s="13">
        <f>Table2[[#This Row],[Actual %]]-Table2[[#This Row],[Plan %]]</f>
        <v>5.4199999999999998E-2</v>
      </c>
      <c r="M118" s="144" t="s">
        <v>343</v>
      </c>
      <c r="N118" s="12">
        <v>45701</v>
      </c>
      <c r="O118" s="12"/>
      <c r="P118" s="12">
        <v>45799</v>
      </c>
      <c r="Q118" s="12">
        <v>45520</v>
      </c>
      <c r="R118" s="2" t="s">
        <v>375</v>
      </c>
      <c r="S118" s="2" t="s">
        <v>376</v>
      </c>
      <c r="T118" s="149" t="s">
        <v>377</v>
      </c>
      <c r="U118" s="122">
        <v>78077600</v>
      </c>
      <c r="V118" s="93"/>
      <c r="W118" s="94">
        <f>Table2[[#This Row],[Construction Contract Amount]]+Table2[[#This Row],[Cumulative Variations]]</f>
        <v>78077600</v>
      </c>
      <c r="X118" s="123">
        <v>1576709</v>
      </c>
      <c r="Y118" s="93"/>
      <c r="Z118" s="94">
        <f>Table2[[#This Row],[Final Contract Value]]+Table2[[#This Row],[Supervision Contract amount]]+Table2[[#This Row],[Authority Cost]]</f>
        <v>79654309</v>
      </c>
      <c r="AA118" s="35">
        <v>10200000</v>
      </c>
      <c r="AB118" s="123">
        <f t="shared" si="6"/>
        <v>180000</v>
      </c>
      <c r="AC118" s="91" t="str">
        <f t="shared" si="3"/>
        <v>https://drive.google.com/thumbnail?id=1vEe16r7h-ux1rA7AxiyngNZw8Z8sHH4F&amp;sz=w1000</v>
      </c>
      <c r="AD118" s="84" t="s">
        <v>419</v>
      </c>
      <c r="AE118" s="74" t="str">
        <f t="shared" si="4"/>
        <v>https://drive.google.com/thumbnail?id=1Id-FrFKnEcbWhvWSxpJ-s5C1Sd5GUsBE&amp;sz=w1000</v>
      </c>
      <c r="AF118" s="84" t="s">
        <v>420</v>
      </c>
      <c r="AG118" s="73" t="str">
        <f t="shared" si="5"/>
        <v>https://drive.google.com/thumbnail?id=13aoD-D4xVjW7Mpl0_JTNMreYR8d1A9sn&amp;sz=w1000</v>
      </c>
      <c r="AH118" s="84" t="s">
        <v>421</v>
      </c>
    </row>
    <row r="119" spans="1:34" ht="22.15" customHeight="1">
      <c r="A119" s="26">
        <v>45516</v>
      </c>
      <c r="B119" s="17" t="s">
        <v>244</v>
      </c>
      <c r="C119" s="2" t="s">
        <v>78</v>
      </c>
      <c r="D119" s="16" t="str" cm="1">
        <f t="array" ref="D119">_xlfn.XLOOKUP(1, (Table1[Project Name]=Table2[[#This Row],[Project ID]])*(Table1[Plot]=Table2[[#This Row],[Plot]]), Table1[Project ID])</f>
        <v>SC-02</v>
      </c>
      <c r="E119" s="57">
        <v>219</v>
      </c>
      <c r="F119" s="58">
        <v>328</v>
      </c>
      <c r="G119" s="57">
        <f>Table2[[#This Row],[Time Elapsed]]+Table2[[#This Row],[Time Remaining]]</f>
        <v>547</v>
      </c>
      <c r="H119" s="2" t="s">
        <v>323</v>
      </c>
      <c r="I119" s="2" t="s">
        <v>324</v>
      </c>
      <c r="J119" s="13">
        <v>0.1464</v>
      </c>
      <c r="K119" s="148">
        <v>0.2006</v>
      </c>
      <c r="L119" s="13">
        <f>Table2[[#This Row],[Actual %]]-Table2[[#This Row],[Plan %]]</f>
        <v>5.4199999999999998E-2</v>
      </c>
      <c r="M119" s="144" t="s">
        <v>344</v>
      </c>
      <c r="N119" s="12">
        <v>45720</v>
      </c>
      <c r="O119" s="12"/>
      <c r="P119" s="12">
        <v>45820</v>
      </c>
      <c r="Q119" s="12">
        <v>45520</v>
      </c>
      <c r="R119" s="2" t="s">
        <v>375</v>
      </c>
      <c r="S119" s="2" t="s">
        <v>376</v>
      </c>
      <c r="T119" s="149" t="s">
        <v>377</v>
      </c>
      <c r="U119" s="122">
        <v>78077600</v>
      </c>
      <c r="V119" s="93"/>
      <c r="W119" s="94">
        <f>Table2[[#This Row],[Construction Contract Amount]]+Table2[[#This Row],[Cumulative Variations]]</f>
        <v>78077600</v>
      </c>
      <c r="X119" s="123">
        <v>1576709</v>
      </c>
      <c r="Y119" s="93"/>
      <c r="Z119" s="94">
        <f>Table2[[#This Row],[Final Contract Value]]+Table2[[#This Row],[Supervision Contract amount]]+Table2[[#This Row],[Authority Cost]]</f>
        <v>79654309</v>
      </c>
      <c r="AA119" s="35">
        <v>10200000</v>
      </c>
      <c r="AB119" s="123">
        <f t="shared" si="6"/>
        <v>180000</v>
      </c>
      <c r="AC119" s="91" t="str">
        <f t="shared" si="3"/>
        <v>https://drive.google.com/thumbnail?id=1vEe16r7h-ux1rA7AxiyngNZw8Z8sHH4F&amp;sz=w1000</v>
      </c>
      <c r="AD119" s="84" t="s">
        <v>419</v>
      </c>
      <c r="AE119" s="74" t="str">
        <f t="shared" si="4"/>
        <v>https://drive.google.com/thumbnail?id=1Id-FrFKnEcbWhvWSxpJ-s5C1Sd5GUsBE&amp;sz=w1000</v>
      </c>
      <c r="AF119" s="84" t="s">
        <v>420</v>
      </c>
      <c r="AG119" s="73" t="str">
        <f t="shared" si="5"/>
        <v>https://drive.google.com/thumbnail?id=13aoD-D4xVjW7Mpl0_JTNMreYR8d1A9sn&amp;sz=w1000</v>
      </c>
      <c r="AH119" s="84" t="s">
        <v>421</v>
      </c>
    </row>
    <row r="120" spans="1:34" ht="22.15" customHeight="1">
      <c r="A120" s="26">
        <v>45516</v>
      </c>
      <c r="B120" s="17" t="s">
        <v>244</v>
      </c>
      <c r="C120" s="2" t="s">
        <v>78</v>
      </c>
      <c r="D120" s="16" t="str" cm="1">
        <f t="array" ref="D120">_xlfn.XLOOKUP(1, (Table1[Project Name]=Table2[[#This Row],[Project ID]])*(Table1[Plot]=Table2[[#This Row],[Plot]]), Table1[Project ID])</f>
        <v>SC-02</v>
      </c>
      <c r="E120" s="57">
        <v>219</v>
      </c>
      <c r="F120" s="58">
        <v>328</v>
      </c>
      <c r="G120" s="57">
        <f>Table2[[#This Row],[Time Elapsed]]+Table2[[#This Row],[Time Remaining]]</f>
        <v>547</v>
      </c>
      <c r="H120" s="2" t="s">
        <v>323</v>
      </c>
      <c r="I120" s="2" t="s">
        <v>324</v>
      </c>
      <c r="J120" s="13">
        <v>0.1464</v>
      </c>
      <c r="K120" s="148">
        <v>0.2006</v>
      </c>
      <c r="L120" s="13">
        <f>Table2[[#This Row],[Actual %]]-Table2[[#This Row],[Plan %]]</f>
        <v>5.4199999999999998E-2</v>
      </c>
      <c r="M120" s="144" t="s">
        <v>302</v>
      </c>
      <c r="N120" s="12">
        <v>45730</v>
      </c>
      <c r="O120" s="12"/>
      <c r="P120" s="12">
        <v>45833</v>
      </c>
      <c r="Q120" s="12">
        <v>45520</v>
      </c>
      <c r="R120" s="2" t="s">
        <v>375</v>
      </c>
      <c r="S120" s="2" t="s">
        <v>376</v>
      </c>
      <c r="T120" s="149" t="s">
        <v>377</v>
      </c>
      <c r="U120" s="122">
        <v>78077600</v>
      </c>
      <c r="V120" s="93"/>
      <c r="W120" s="94">
        <f>Table2[[#This Row],[Construction Contract Amount]]+Table2[[#This Row],[Cumulative Variations]]</f>
        <v>78077600</v>
      </c>
      <c r="X120" s="123">
        <v>1576709</v>
      </c>
      <c r="Y120" s="93"/>
      <c r="Z120" s="94">
        <f>Table2[[#This Row],[Final Contract Value]]+Table2[[#This Row],[Supervision Contract amount]]+Table2[[#This Row],[Authority Cost]]</f>
        <v>79654309</v>
      </c>
      <c r="AA120" s="35">
        <v>10200000</v>
      </c>
      <c r="AB120" s="123">
        <f t="shared" si="6"/>
        <v>180000</v>
      </c>
      <c r="AC120" s="91" t="str">
        <f t="shared" si="3"/>
        <v>https://drive.google.com/thumbnail?id=1vEe16r7h-ux1rA7AxiyngNZw8Z8sHH4F&amp;sz=w1000</v>
      </c>
      <c r="AD120" s="84" t="s">
        <v>419</v>
      </c>
      <c r="AE120" s="74" t="str">
        <f t="shared" si="4"/>
        <v>https://drive.google.com/thumbnail?id=1Id-FrFKnEcbWhvWSxpJ-s5C1Sd5GUsBE&amp;sz=w1000</v>
      </c>
      <c r="AF120" s="84" t="s">
        <v>420</v>
      </c>
      <c r="AG120" s="73" t="str">
        <f t="shared" si="5"/>
        <v>https://drive.google.com/thumbnail?id=13aoD-D4xVjW7Mpl0_JTNMreYR8d1A9sn&amp;sz=w1000</v>
      </c>
      <c r="AH120" s="84" t="s">
        <v>421</v>
      </c>
    </row>
    <row r="121" spans="1:34" ht="22.15" customHeight="1">
      <c r="A121" s="27">
        <v>45516</v>
      </c>
      <c r="B121" s="24" t="s">
        <v>237</v>
      </c>
      <c r="C121" s="2" t="s">
        <v>239</v>
      </c>
      <c r="D121" s="16" t="str" cm="1">
        <f t="array" ref="D121">_xlfn.XLOOKUP(1, (Table1[Project Name]=Table2[[#This Row],[Project ID]])*(Table1[Plot]=Table2[[#This Row],[Plot]]), Table1[Project ID])</f>
        <v>SC-01</v>
      </c>
      <c r="E121" s="59">
        <v>159</v>
      </c>
      <c r="F121" s="60">
        <v>390</v>
      </c>
      <c r="G121" s="59">
        <f>Table2[[#This Row],[Time Elapsed]]+Table2[[#This Row],[Time Remaining]]</f>
        <v>549</v>
      </c>
      <c r="H121" s="2" t="s">
        <v>325</v>
      </c>
      <c r="I121" s="2" t="s">
        <v>295</v>
      </c>
      <c r="J121" s="13">
        <v>3.1099999999999999E-2</v>
      </c>
      <c r="K121" s="148">
        <v>9.5699999999999993E-2</v>
      </c>
      <c r="L121" s="13">
        <f>Table2[[#This Row],[Actual %]]-Table2[[#This Row],[Plan %]]</f>
        <v>6.4599999999999991E-2</v>
      </c>
      <c r="M121" s="144" t="s">
        <v>285</v>
      </c>
      <c r="N121" s="12">
        <v>45356</v>
      </c>
      <c r="O121" s="12">
        <v>45356</v>
      </c>
      <c r="P121" s="12"/>
      <c r="Q121" s="12">
        <v>45520</v>
      </c>
      <c r="R121" s="2" t="s">
        <v>378</v>
      </c>
      <c r="S121" s="2" t="s">
        <v>379</v>
      </c>
      <c r="T121" s="149" t="s">
        <v>380</v>
      </c>
      <c r="U121" s="35"/>
      <c r="V121" s="93"/>
      <c r="W121" s="94">
        <f>Table2[[#This Row],[Construction Contract Amount]]+Table2[[#This Row],[Cumulative Variations]]</f>
        <v>0</v>
      </c>
      <c r="X121" s="35"/>
      <c r="Y121" s="93"/>
      <c r="Z121" s="94">
        <f>Table2[[#This Row],[Final Contract Value]]+Table2[[#This Row],[Supervision Contract amount]]+Table2[[#This Row],[Authority Cost]]</f>
        <v>0</v>
      </c>
      <c r="AA121" s="35"/>
      <c r="AB121" s="35"/>
      <c r="AC121" s="91" t="str">
        <f t="shared" si="3"/>
        <v>https://drive.google.com/thumbnail?id=1auczJq74YC7zQtmuh6xlGQH7tRkhMdYG&amp;sz=w1000</v>
      </c>
      <c r="AD121" s="85" t="s">
        <v>422</v>
      </c>
      <c r="AE121" s="74" t="str">
        <f t="shared" si="4"/>
        <v>https://drive.google.com/thumbnail?id=1hhxNGrt1RWUdQCNORiATApfV6dbwQHYv&amp;sz=w1000</v>
      </c>
      <c r="AF121" s="85" t="s">
        <v>423</v>
      </c>
      <c r="AG121" s="73" t="str">
        <f t="shared" si="5"/>
        <v>https://drive.google.com/thumbnail?id=1C5uHqCyjwEZRMq4L3oZrkNQH8lBZAZfP&amp;sz=w1000</v>
      </c>
      <c r="AH121" s="85" t="s">
        <v>424</v>
      </c>
    </row>
    <row r="122" spans="1:34" ht="22.15" customHeight="1">
      <c r="A122" s="27">
        <v>45516</v>
      </c>
      <c r="B122" s="24" t="s">
        <v>237</v>
      </c>
      <c r="C122" s="2" t="s">
        <v>239</v>
      </c>
      <c r="D122" s="16" t="str" cm="1">
        <f t="array" ref="D122">_xlfn.XLOOKUP(1, (Table1[Project Name]=Table2[[#This Row],[Project ID]])*(Table1[Plot]=Table2[[#This Row],[Plot]]), Table1[Project ID])</f>
        <v>SC-01</v>
      </c>
      <c r="E122" s="59">
        <v>159</v>
      </c>
      <c r="F122" s="60">
        <v>390</v>
      </c>
      <c r="G122" s="59">
        <f>Table2[[#This Row],[Time Elapsed]]+Table2[[#This Row],[Time Remaining]]</f>
        <v>549</v>
      </c>
      <c r="H122" s="2" t="s">
        <v>325</v>
      </c>
      <c r="I122" s="2" t="s">
        <v>295</v>
      </c>
      <c r="J122" s="13">
        <v>3.1099999999999999E-2</v>
      </c>
      <c r="K122" s="148">
        <v>9.5699999999999993E-2</v>
      </c>
      <c r="L122" s="13">
        <f>Table2[[#This Row],[Actual %]]-Table2[[#This Row],[Plan %]]</f>
        <v>6.4599999999999991E-2</v>
      </c>
      <c r="M122" s="144" t="s">
        <v>51</v>
      </c>
      <c r="N122" s="12">
        <v>45391</v>
      </c>
      <c r="O122" s="12">
        <v>45430</v>
      </c>
      <c r="P122" s="12"/>
      <c r="Q122" s="12">
        <v>45520</v>
      </c>
      <c r="R122" s="2" t="s">
        <v>378</v>
      </c>
      <c r="S122" s="2" t="s">
        <v>379</v>
      </c>
      <c r="T122" s="149" t="s">
        <v>380</v>
      </c>
      <c r="U122" s="35"/>
      <c r="V122" s="93"/>
      <c r="W122" s="94">
        <f>Table2[[#This Row],[Construction Contract Amount]]+Table2[[#This Row],[Cumulative Variations]]</f>
        <v>0</v>
      </c>
      <c r="X122" s="35"/>
      <c r="Y122" s="93"/>
      <c r="Z122" s="94">
        <f>Table2[[#This Row],[Final Contract Value]]+Table2[[#This Row],[Supervision Contract amount]]+Table2[[#This Row],[Authority Cost]]</f>
        <v>0</v>
      </c>
      <c r="AA122" s="35"/>
      <c r="AB122" s="35"/>
      <c r="AC122" s="91" t="str">
        <f t="shared" si="3"/>
        <v>https://drive.google.com/thumbnail?id=1auczJq74YC7zQtmuh6xlGQH7tRkhMdYG&amp;sz=w1000</v>
      </c>
      <c r="AD122" s="85" t="s">
        <v>422</v>
      </c>
      <c r="AE122" s="74" t="str">
        <f t="shared" si="4"/>
        <v>https://drive.google.com/thumbnail?id=1hhxNGrt1RWUdQCNORiATApfV6dbwQHYv&amp;sz=w1000</v>
      </c>
      <c r="AF122" s="85" t="s">
        <v>423</v>
      </c>
      <c r="AG122" s="73" t="str">
        <f t="shared" si="5"/>
        <v>https://drive.google.com/thumbnail?id=1C5uHqCyjwEZRMq4L3oZrkNQH8lBZAZfP&amp;sz=w1000</v>
      </c>
      <c r="AH122" s="85" t="s">
        <v>424</v>
      </c>
    </row>
    <row r="123" spans="1:34" ht="22.15" customHeight="1">
      <c r="A123" s="27">
        <v>45516</v>
      </c>
      <c r="B123" s="24" t="s">
        <v>237</v>
      </c>
      <c r="C123" s="2" t="s">
        <v>239</v>
      </c>
      <c r="D123" s="16" t="str" cm="1">
        <f t="array" ref="D123">_xlfn.XLOOKUP(1, (Table1[Project Name]=Table2[[#This Row],[Project ID]])*(Table1[Plot]=Table2[[#This Row],[Plot]]), Table1[Project ID])</f>
        <v>SC-01</v>
      </c>
      <c r="E123" s="59">
        <v>159</v>
      </c>
      <c r="F123" s="60">
        <v>390</v>
      </c>
      <c r="G123" s="59">
        <f>Table2[[#This Row],[Time Elapsed]]+Table2[[#This Row],[Time Remaining]]</f>
        <v>549</v>
      </c>
      <c r="H123" s="2" t="s">
        <v>325</v>
      </c>
      <c r="I123" s="2" t="s">
        <v>295</v>
      </c>
      <c r="J123" s="13">
        <v>3.1099999999999999E-2</v>
      </c>
      <c r="K123" s="148">
        <v>9.5699999999999993E-2</v>
      </c>
      <c r="L123" s="13">
        <f>Table2[[#This Row],[Actual %]]-Table2[[#This Row],[Plan %]]</f>
        <v>6.4599999999999991E-2</v>
      </c>
      <c r="M123" s="144" t="s">
        <v>287</v>
      </c>
      <c r="N123" s="12">
        <v>45302</v>
      </c>
      <c r="O123" s="12">
        <v>45510</v>
      </c>
      <c r="P123" s="12"/>
      <c r="Q123" s="12">
        <v>45520</v>
      </c>
      <c r="R123" s="2" t="s">
        <v>378</v>
      </c>
      <c r="S123" s="2" t="s">
        <v>379</v>
      </c>
      <c r="T123" s="149" t="s">
        <v>380</v>
      </c>
      <c r="U123" s="35"/>
      <c r="V123" s="93"/>
      <c r="W123" s="94">
        <f>Table2[[#This Row],[Construction Contract Amount]]+Table2[[#This Row],[Cumulative Variations]]</f>
        <v>0</v>
      </c>
      <c r="X123" s="35"/>
      <c r="Y123" s="93"/>
      <c r="Z123" s="94">
        <f>Table2[[#This Row],[Final Contract Value]]+Table2[[#This Row],[Supervision Contract amount]]+Table2[[#This Row],[Authority Cost]]</f>
        <v>0</v>
      </c>
      <c r="AA123" s="35"/>
      <c r="AB123" s="35"/>
      <c r="AC123" s="91" t="str">
        <f t="shared" si="3"/>
        <v>https://drive.google.com/thumbnail?id=1auczJq74YC7zQtmuh6xlGQH7tRkhMdYG&amp;sz=w1000</v>
      </c>
      <c r="AD123" s="85" t="s">
        <v>422</v>
      </c>
      <c r="AE123" s="74" t="str">
        <f t="shared" si="4"/>
        <v>https://drive.google.com/thumbnail?id=1hhxNGrt1RWUdQCNORiATApfV6dbwQHYv&amp;sz=w1000</v>
      </c>
      <c r="AF123" s="85" t="s">
        <v>423</v>
      </c>
      <c r="AG123" s="73" t="str">
        <f t="shared" si="5"/>
        <v>https://drive.google.com/thumbnail?id=1C5uHqCyjwEZRMq4L3oZrkNQH8lBZAZfP&amp;sz=w1000</v>
      </c>
      <c r="AH123" s="85" t="s">
        <v>424</v>
      </c>
    </row>
    <row r="124" spans="1:34" ht="22.15" customHeight="1">
      <c r="A124" s="27">
        <v>45516</v>
      </c>
      <c r="B124" s="24" t="s">
        <v>237</v>
      </c>
      <c r="C124" s="2" t="s">
        <v>239</v>
      </c>
      <c r="D124" s="16" t="str" cm="1">
        <f t="array" ref="D124">_xlfn.XLOOKUP(1, (Table1[Project Name]=Table2[[#This Row],[Project ID]])*(Table1[Plot]=Table2[[#This Row],[Plot]]), Table1[Project ID])</f>
        <v>SC-01</v>
      </c>
      <c r="E124" s="59">
        <v>159</v>
      </c>
      <c r="F124" s="60">
        <v>390</v>
      </c>
      <c r="G124" s="59">
        <f>Table2[[#This Row],[Time Elapsed]]+Table2[[#This Row],[Time Remaining]]</f>
        <v>549</v>
      </c>
      <c r="H124" s="2" t="s">
        <v>325</v>
      </c>
      <c r="I124" s="2" t="s">
        <v>295</v>
      </c>
      <c r="J124" s="13">
        <v>3.1099999999999999E-2</v>
      </c>
      <c r="K124" s="148">
        <v>9.5699999999999993E-2</v>
      </c>
      <c r="L124" s="13">
        <f>Table2[[#This Row],[Actual %]]-Table2[[#This Row],[Plan %]]</f>
        <v>6.4599999999999991E-2</v>
      </c>
      <c r="M124" s="144" t="s">
        <v>300</v>
      </c>
      <c r="N124" s="12">
        <v>45602</v>
      </c>
      <c r="O124" s="12"/>
      <c r="P124" s="12">
        <v>45570</v>
      </c>
      <c r="Q124" s="12">
        <v>45520</v>
      </c>
      <c r="R124" s="2" t="s">
        <v>378</v>
      </c>
      <c r="S124" s="2" t="s">
        <v>379</v>
      </c>
      <c r="T124" s="149" t="s">
        <v>380</v>
      </c>
      <c r="U124" s="35"/>
      <c r="V124" s="93"/>
      <c r="W124" s="94">
        <f>Table2[[#This Row],[Construction Contract Amount]]+Table2[[#This Row],[Cumulative Variations]]</f>
        <v>0</v>
      </c>
      <c r="X124" s="35"/>
      <c r="Y124" s="93"/>
      <c r="Z124" s="94">
        <f>Table2[[#This Row],[Final Contract Value]]+Table2[[#This Row],[Supervision Contract amount]]+Table2[[#This Row],[Authority Cost]]</f>
        <v>0</v>
      </c>
      <c r="AA124" s="35"/>
      <c r="AB124" s="35"/>
      <c r="AC124" s="91" t="str">
        <f t="shared" si="3"/>
        <v>https://drive.google.com/thumbnail?id=1auczJq74YC7zQtmuh6xlGQH7tRkhMdYG&amp;sz=w1000</v>
      </c>
      <c r="AD124" s="85" t="s">
        <v>422</v>
      </c>
      <c r="AE124" s="74" t="str">
        <f t="shared" si="4"/>
        <v>https://drive.google.com/thumbnail?id=1hhxNGrt1RWUdQCNORiATApfV6dbwQHYv&amp;sz=w1000</v>
      </c>
      <c r="AF124" s="85" t="s">
        <v>423</v>
      </c>
      <c r="AG124" s="73" t="str">
        <f t="shared" si="5"/>
        <v>https://drive.google.com/thumbnail?id=1C5uHqCyjwEZRMq4L3oZrkNQH8lBZAZfP&amp;sz=w1000</v>
      </c>
      <c r="AH124" s="85" t="s">
        <v>424</v>
      </c>
    </row>
    <row r="125" spans="1:34" ht="22.15" customHeight="1">
      <c r="A125" s="27">
        <v>45516</v>
      </c>
      <c r="B125" s="24" t="s">
        <v>237</v>
      </c>
      <c r="C125" s="2" t="s">
        <v>239</v>
      </c>
      <c r="D125" s="16" t="str" cm="1">
        <f t="array" ref="D125">_xlfn.XLOOKUP(1, (Table1[Project Name]=Table2[[#This Row],[Project ID]])*(Table1[Plot]=Table2[[#This Row],[Plot]]), Table1[Project ID])</f>
        <v>SC-01</v>
      </c>
      <c r="E125" s="59">
        <v>159</v>
      </c>
      <c r="F125" s="60">
        <v>390</v>
      </c>
      <c r="G125" s="59">
        <f>Table2[[#This Row],[Time Elapsed]]+Table2[[#This Row],[Time Remaining]]</f>
        <v>549</v>
      </c>
      <c r="H125" s="2" t="s">
        <v>325</v>
      </c>
      <c r="I125" s="2" t="s">
        <v>295</v>
      </c>
      <c r="J125" s="13">
        <v>3.1099999999999999E-2</v>
      </c>
      <c r="K125" s="148">
        <v>9.5699999999999993E-2</v>
      </c>
      <c r="L125" s="13">
        <f>Table2[[#This Row],[Actual %]]-Table2[[#This Row],[Plan %]]</f>
        <v>6.4599999999999991E-2</v>
      </c>
      <c r="M125" s="144" t="s">
        <v>301</v>
      </c>
      <c r="N125" s="12">
        <v>45995</v>
      </c>
      <c r="O125" s="12"/>
      <c r="P125" s="12">
        <v>45728</v>
      </c>
      <c r="Q125" s="12">
        <v>45520</v>
      </c>
      <c r="R125" s="2" t="s">
        <v>378</v>
      </c>
      <c r="S125" s="2" t="s">
        <v>379</v>
      </c>
      <c r="T125" s="149" t="s">
        <v>380</v>
      </c>
      <c r="U125" s="35"/>
      <c r="V125" s="93"/>
      <c r="W125" s="94">
        <f>Table2[[#This Row],[Construction Contract Amount]]+Table2[[#This Row],[Cumulative Variations]]</f>
        <v>0</v>
      </c>
      <c r="X125" s="35"/>
      <c r="Y125" s="93"/>
      <c r="Z125" s="94">
        <f>Table2[[#This Row],[Final Contract Value]]+Table2[[#This Row],[Supervision Contract amount]]+Table2[[#This Row],[Authority Cost]]</f>
        <v>0</v>
      </c>
      <c r="AA125" s="35"/>
      <c r="AB125" s="35"/>
      <c r="AC125" s="91" t="str">
        <f t="shared" si="3"/>
        <v>https://drive.google.com/thumbnail?id=1auczJq74YC7zQtmuh6xlGQH7tRkhMdYG&amp;sz=w1000</v>
      </c>
      <c r="AD125" s="85" t="s">
        <v>422</v>
      </c>
      <c r="AE125" s="74" t="str">
        <f t="shared" si="4"/>
        <v>https://drive.google.com/thumbnail?id=1hhxNGrt1RWUdQCNORiATApfV6dbwQHYv&amp;sz=w1000</v>
      </c>
      <c r="AF125" s="85" t="s">
        <v>423</v>
      </c>
      <c r="AG125" s="73" t="str">
        <f t="shared" si="5"/>
        <v>https://drive.google.com/thumbnail?id=1C5uHqCyjwEZRMq4L3oZrkNQH8lBZAZfP&amp;sz=w1000</v>
      </c>
      <c r="AH125" s="85" t="s">
        <v>424</v>
      </c>
    </row>
    <row r="126" spans="1:34" ht="22.15" customHeight="1">
      <c r="A126" s="27">
        <v>45516</v>
      </c>
      <c r="B126" s="24" t="s">
        <v>237</v>
      </c>
      <c r="C126" s="2" t="s">
        <v>239</v>
      </c>
      <c r="D126" s="16" t="str" cm="1">
        <f t="array" ref="D126">_xlfn.XLOOKUP(1, (Table1[Project Name]=Table2[[#This Row],[Project ID]])*(Table1[Plot]=Table2[[#This Row],[Plot]]), Table1[Project ID])</f>
        <v>SC-01</v>
      </c>
      <c r="E126" s="59">
        <v>159</v>
      </c>
      <c r="F126" s="60">
        <v>390</v>
      </c>
      <c r="G126" s="59">
        <f>Table2[[#This Row],[Time Elapsed]]+Table2[[#This Row],[Time Remaining]]</f>
        <v>549</v>
      </c>
      <c r="H126" s="2" t="s">
        <v>325</v>
      </c>
      <c r="I126" s="2" t="s">
        <v>295</v>
      </c>
      <c r="J126" s="13">
        <v>3.1099999999999999E-2</v>
      </c>
      <c r="K126" s="148">
        <v>9.5699999999999993E-2</v>
      </c>
      <c r="L126" s="13">
        <f>Table2[[#This Row],[Actual %]]-Table2[[#This Row],[Plan %]]</f>
        <v>6.4599999999999991E-2</v>
      </c>
      <c r="M126" s="144" t="s">
        <v>280</v>
      </c>
      <c r="N126" s="12">
        <v>45857</v>
      </c>
      <c r="O126" s="12"/>
      <c r="P126" s="12">
        <v>45821</v>
      </c>
      <c r="Q126" s="12">
        <v>45520</v>
      </c>
      <c r="R126" s="2" t="s">
        <v>378</v>
      </c>
      <c r="S126" s="2" t="s">
        <v>379</v>
      </c>
      <c r="T126" s="149" t="s">
        <v>380</v>
      </c>
      <c r="U126" s="35"/>
      <c r="V126" s="93"/>
      <c r="W126" s="94">
        <f>Table2[[#This Row],[Construction Contract Amount]]+Table2[[#This Row],[Cumulative Variations]]</f>
        <v>0</v>
      </c>
      <c r="X126" s="35"/>
      <c r="Y126" s="93"/>
      <c r="Z126" s="94">
        <f>Table2[[#This Row],[Final Contract Value]]+Table2[[#This Row],[Supervision Contract amount]]+Table2[[#This Row],[Authority Cost]]</f>
        <v>0</v>
      </c>
      <c r="AA126" s="35"/>
      <c r="AB126" s="35"/>
      <c r="AC126" s="91" t="str">
        <f t="shared" si="3"/>
        <v>https://drive.google.com/thumbnail?id=1auczJq74YC7zQtmuh6xlGQH7tRkhMdYG&amp;sz=w1000</v>
      </c>
      <c r="AD126" s="85" t="s">
        <v>422</v>
      </c>
      <c r="AE126" s="74" t="str">
        <f t="shared" si="4"/>
        <v>https://drive.google.com/thumbnail?id=1hhxNGrt1RWUdQCNORiATApfV6dbwQHYv&amp;sz=w1000</v>
      </c>
      <c r="AF126" s="85" t="s">
        <v>423</v>
      </c>
      <c r="AG126" s="73" t="str">
        <f t="shared" si="5"/>
        <v>https://drive.google.com/thumbnail?id=1C5uHqCyjwEZRMq4L3oZrkNQH8lBZAZfP&amp;sz=w1000</v>
      </c>
      <c r="AH126" s="85" t="s">
        <v>424</v>
      </c>
    </row>
    <row r="127" spans="1:34" ht="22.15" customHeight="1">
      <c r="A127" s="27">
        <v>45516</v>
      </c>
      <c r="B127" s="24" t="s">
        <v>237</v>
      </c>
      <c r="C127" s="2" t="s">
        <v>239</v>
      </c>
      <c r="D127" s="16" t="str" cm="1">
        <f t="array" ref="D127">_xlfn.XLOOKUP(1, (Table1[Project Name]=Table2[[#This Row],[Project ID]])*(Table1[Plot]=Table2[[#This Row],[Plot]]), Table1[Project ID])</f>
        <v>SC-01</v>
      </c>
      <c r="E127" s="59">
        <v>159</v>
      </c>
      <c r="F127" s="60">
        <v>390</v>
      </c>
      <c r="G127" s="59">
        <f>Table2[[#This Row],[Time Elapsed]]+Table2[[#This Row],[Time Remaining]]</f>
        <v>549</v>
      </c>
      <c r="H127" s="2" t="s">
        <v>325</v>
      </c>
      <c r="I127" s="2" t="s">
        <v>295</v>
      </c>
      <c r="J127" s="13">
        <v>3.1099999999999999E-2</v>
      </c>
      <c r="K127" s="148">
        <v>9.5699999999999993E-2</v>
      </c>
      <c r="L127" s="13">
        <f>Table2[[#This Row],[Actual %]]-Table2[[#This Row],[Plan %]]</f>
        <v>6.4599999999999991E-2</v>
      </c>
      <c r="M127" s="144" t="s">
        <v>343</v>
      </c>
      <c r="N127" s="12">
        <v>45874</v>
      </c>
      <c r="O127" s="12"/>
      <c r="P127" s="12">
        <v>45841</v>
      </c>
      <c r="Q127" s="12">
        <v>45520</v>
      </c>
      <c r="R127" s="2" t="s">
        <v>378</v>
      </c>
      <c r="S127" s="2" t="s">
        <v>379</v>
      </c>
      <c r="T127" s="149" t="s">
        <v>380</v>
      </c>
      <c r="U127" s="35"/>
      <c r="V127" s="93"/>
      <c r="W127" s="94">
        <f>Table2[[#This Row],[Construction Contract Amount]]+Table2[[#This Row],[Cumulative Variations]]</f>
        <v>0</v>
      </c>
      <c r="X127" s="35"/>
      <c r="Y127" s="93"/>
      <c r="Z127" s="94">
        <f>Table2[[#This Row],[Final Contract Value]]+Table2[[#This Row],[Supervision Contract amount]]+Table2[[#This Row],[Authority Cost]]</f>
        <v>0</v>
      </c>
      <c r="AA127" s="35"/>
      <c r="AB127" s="35"/>
      <c r="AC127" s="91" t="str">
        <f t="shared" si="3"/>
        <v>https://drive.google.com/thumbnail?id=1auczJq74YC7zQtmuh6xlGQH7tRkhMdYG&amp;sz=w1000</v>
      </c>
      <c r="AD127" s="85" t="s">
        <v>422</v>
      </c>
      <c r="AE127" s="74" t="str">
        <f t="shared" si="4"/>
        <v>https://drive.google.com/thumbnail?id=1hhxNGrt1RWUdQCNORiATApfV6dbwQHYv&amp;sz=w1000</v>
      </c>
      <c r="AF127" s="85" t="s">
        <v>423</v>
      </c>
      <c r="AG127" s="73" t="str">
        <f t="shared" si="5"/>
        <v>https://drive.google.com/thumbnail?id=1C5uHqCyjwEZRMq4L3oZrkNQH8lBZAZfP&amp;sz=w1000</v>
      </c>
      <c r="AH127" s="85" t="s">
        <v>424</v>
      </c>
    </row>
    <row r="128" spans="1:34" ht="22.15" customHeight="1">
      <c r="A128" s="27">
        <v>45516</v>
      </c>
      <c r="B128" s="24" t="s">
        <v>237</v>
      </c>
      <c r="C128" s="2" t="s">
        <v>239</v>
      </c>
      <c r="D128" s="16" t="str" cm="1">
        <f t="array" ref="D128">_xlfn.XLOOKUP(1, (Table1[Project Name]=Table2[[#This Row],[Project ID]])*(Table1[Plot]=Table2[[#This Row],[Plot]]), Table1[Project ID])</f>
        <v>SC-01</v>
      </c>
      <c r="E128" s="59">
        <v>159</v>
      </c>
      <c r="F128" s="60">
        <v>390</v>
      </c>
      <c r="G128" s="59">
        <f>Table2[[#This Row],[Time Elapsed]]+Table2[[#This Row],[Time Remaining]]</f>
        <v>549</v>
      </c>
      <c r="H128" s="2" t="s">
        <v>325</v>
      </c>
      <c r="I128" s="2" t="s">
        <v>295</v>
      </c>
      <c r="J128" s="13">
        <v>3.1099999999999999E-2</v>
      </c>
      <c r="K128" s="148">
        <v>9.5699999999999993E-2</v>
      </c>
      <c r="L128" s="13">
        <f>Table2[[#This Row],[Actual %]]-Table2[[#This Row],[Plan %]]</f>
        <v>6.4599999999999991E-2</v>
      </c>
      <c r="M128" s="144" t="s">
        <v>344</v>
      </c>
      <c r="N128" s="12">
        <v>45891</v>
      </c>
      <c r="O128" s="12"/>
      <c r="P128" s="12">
        <v>45860</v>
      </c>
      <c r="Q128" s="12">
        <v>45520</v>
      </c>
      <c r="R128" s="2" t="s">
        <v>378</v>
      </c>
      <c r="S128" s="2" t="s">
        <v>379</v>
      </c>
      <c r="T128" s="149" t="s">
        <v>380</v>
      </c>
      <c r="U128" s="35"/>
      <c r="V128" s="93"/>
      <c r="W128" s="94">
        <f>Table2[[#This Row],[Construction Contract Amount]]+Table2[[#This Row],[Cumulative Variations]]</f>
        <v>0</v>
      </c>
      <c r="X128" s="35"/>
      <c r="Y128" s="93"/>
      <c r="Z128" s="94">
        <f>Table2[[#This Row],[Final Contract Value]]+Table2[[#This Row],[Supervision Contract amount]]+Table2[[#This Row],[Authority Cost]]</f>
        <v>0</v>
      </c>
      <c r="AA128" s="35"/>
      <c r="AB128" s="35"/>
      <c r="AC128" s="91" t="str">
        <f t="shared" si="3"/>
        <v>https://drive.google.com/thumbnail?id=1auczJq74YC7zQtmuh6xlGQH7tRkhMdYG&amp;sz=w1000</v>
      </c>
      <c r="AD128" s="85" t="s">
        <v>422</v>
      </c>
      <c r="AE128" s="74" t="str">
        <f t="shared" si="4"/>
        <v>https://drive.google.com/thumbnail?id=1hhxNGrt1RWUdQCNORiATApfV6dbwQHYv&amp;sz=w1000</v>
      </c>
      <c r="AF128" s="85" t="s">
        <v>423</v>
      </c>
      <c r="AG128" s="73" t="str">
        <f t="shared" si="5"/>
        <v>https://drive.google.com/thumbnail?id=1C5uHqCyjwEZRMq4L3oZrkNQH8lBZAZfP&amp;sz=w1000</v>
      </c>
      <c r="AH128" s="85" t="s">
        <v>424</v>
      </c>
    </row>
    <row r="129" spans="1:34" ht="22.15" customHeight="1">
      <c r="A129" s="27">
        <v>45516</v>
      </c>
      <c r="B129" s="24" t="s">
        <v>237</v>
      </c>
      <c r="C129" s="2" t="s">
        <v>239</v>
      </c>
      <c r="D129" s="16" t="str" cm="1">
        <f t="array" ref="D129">_xlfn.XLOOKUP(1, (Table1[Project Name]=Table2[[#This Row],[Project ID]])*(Table1[Plot]=Table2[[#This Row],[Plot]]), Table1[Project ID])</f>
        <v>SC-01</v>
      </c>
      <c r="E129" s="59">
        <v>159</v>
      </c>
      <c r="F129" s="60">
        <v>390</v>
      </c>
      <c r="G129" s="59">
        <f>Table2[[#This Row],[Time Elapsed]]+Table2[[#This Row],[Time Remaining]]</f>
        <v>549</v>
      </c>
      <c r="H129" s="2" t="s">
        <v>325</v>
      </c>
      <c r="I129" s="2" t="s">
        <v>295</v>
      </c>
      <c r="J129" s="13">
        <v>3.1099999999999999E-2</v>
      </c>
      <c r="K129" s="148">
        <v>9.5699999999999993E-2</v>
      </c>
      <c r="L129" s="13">
        <f>Table2[[#This Row],[Actual %]]-Table2[[#This Row],[Plan %]]</f>
        <v>6.4599999999999991E-2</v>
      </c>
      <c r="M129" s="144" t="s">
        <v>302</v>
      </c>
      <c r="N129" s="12">
        <v>45904</v>
      </c>
      <c r="O129" s="12"/>
      <c r="P129" s="12">
        <v>45904</v>
      </c>
      <c r="Q129" s="12">
        <v>45520</v>
      </c>
      <c r="R129" s="2" t="s">
        <v>378</v>
      </c>
      <c r="S129" s="2" t="s">
        <v>379</v>
      </c>
      <c r="T129" s="149" t="s">
        <v>380</v>
      </c>
      <c r="U129" s="35"/>
      <c r="V129" s="93"/>
      <c r="W129" s="94">
        <f>Table2[[#This Row],[Construction Contract Amount]]+Table2[[#This Row],[Cumulative Variations]]</f>
        <v>0</v>
      </c>
      <c r="X129" s="35"/>
      <c r="Y129" s="93"/>
      <c r="Z129" s="94">
        <f>Table2[[#This Row],[Final Contract Value]]+Table2[[#This Row],[Supervision Contract amount]]+Table2[[#This Row],[Authority Cost]]</f>
        <v>0</v>
      </c>
      <c r="AA129" s="35"/>
      <c r="AB129" s="35"/>
      <c r="AC129" s="91" t="str">
        <f t="shared" si="3"/>
        <v>https://drive.google.com/thumbnail?id=1auczJq74YC7zQtmuh6xlGQH7tRkhMdYG&amp;sz=w1000</v>
      </c>
      <c r="AD129" s="85" t="s">
        <v>422</v>
      </c>
      <c r="AE129" s="74" t="str">
        <f t="shared" si="4"/>
        <v>https://drive.google.com/thumbnail?id=1hhxNGrt1RWUdQCNORiATApfV6dbwQHYv&amp;sz=w1000</v>
      </c>
      <c r="AF129" s="85" t="s">
        <v>423</v>
      </c>
      <c r="AG129" s="73" t="str">
        <f t="shared" si="5"/>
        <v>https://drive.google.com/thumbnail?id=1C5uHqCyjwEZRMq4L3oZrkNQH8lBZAZfP&amp;sz=w1000</v>
      </c>
      <c r="AH129" s="85" t="s">
        <v>424</v>
      </c>
    </row>
    <row r="130" spans="1:34" ht="22.15" customHeight="1">
      <c r="A130" s="28">
        <v>45516</v>
      </c>
      <c r="B130" s="17" t="s">
        <v>251</v>
      </c>
      <c r="C130" s="2" t="s">
        <v>253</v>
      </c>
      <c r="D130" s="16" t="str" cm="1">
        <f t="array" ref="D130">_xlfn.XLOOKUP(1, (Table1[Project Name]=Table2[[#This Row],[Project ID]])*(Table1[Plot]=Table2[[#This Row],[Plot]]), Table1[Project ID])</f>
        <v>SC-04</v>
      </c>
      <c r="E130" s="61">
        <v>219</v>
      </c>
      <c r="F130" s="62">
        <v>328</v>
      </c>
      <c r="G130" s="61">
        <f>Table2[[#This Row],[Time Elapsed]]+Table2[[#This Row],[Time Remaining]]</f>
        <v>547</v>
      </c>
      <c r="H130" s="2" t="s">
        <v>326</v>
      </c>
      <c r="I130" s="2" t="s">
        <v>295</v>
      </c>
      <c r="J130" s="13">
        <v>0.1464</v>
      </c>
      <c r="K130" s="148">
        <v>0.12429999999999999</v>
      </c>
      <c r="L130" s="13">
        <f>Table2[[#This Row],[Actual %]]-Table2[[#This Row],[Plan %]]</f>
        <v>-2.2100000000000009E-2</v>
      </c>
      <c r="M130" s="144" t="s">
        <v>285</v>
      </c>
      <c r="N130" s="12">
        <v>45187</v>
      </c>
      <c r="O130" s="12">
        <v>45195</v>
      </c>
      <c r="P130" s="12"/>
      <c r="Q130" s="12">
        <v>45520</v>
      </c>
      <c r="R130" s="2" t="s">
        <v>381</v>
      </c>
      <c r="S130" s="2" t="s">
        <v>376</v>
      </c>
      <c r="T130" s="149" t="s">
        <v>382</v>
      </c>
      <c r="U130" s="35"/>
      <c r="V130" s="93"/>
      <c r="W130" s="94">
        <f>Table2[[#This Row],[Construction Contract Amount]]+Table2[[#This Row],[Cumulative Variations]]</f>
        <v>0</v>
      </c>
      <c r="X130" s="35"/>
      <c r="Y130" s="93"/>
      <c r="Z130" s="94">
        <f>Table2[[#This Row],[Final Contract Value]]+Table2[[#This Row],[Supervision Contract amount]]+Table2[[#This Row],[Authority Cost]]</f>
        <v>0</v>
      </c>
      <c r="AA130" s="35"/>
      <c r="AB130" s="35"/>
      <c r="AC130" s="91" t="str">
        <f t="shared" ref="AC130:AC193" si="7">CONCATENATE("https://drive.google.com/thumbnail?id=", MID(AD130, FIND("/d/", AD130) + 3, FIND("/view", AD130) - FIND("/d/", AD130) - 3), "&amp;sz=w1000")</f>
        <v>https://drive.google.com/thumbnail?id=11xxU2ddfwE6cm1UuPtNg46qi4NQOhg8k&amp;sz=w1000</v>
      </c>
      <c r="AD130" s="86" t="s">
        <v>425</v>
      </c>
      <c r="AE130" s="74" t="str">
        <f t="shared" ref="AE130:AE193" si="8">CONCATENATE("https://drive.google.com/thumbnail?id=", MID(AF130, FIND("/d/", AF130) + 3, FIND("/view", AF130) - FIND("/d/", AF130) - 3), "&amp;sz=w1000")</f>
        <v>https://drive.google.com/thumbnail?id=1MXyFNwT7lana1d7a1lX-bhotozLGMclA&amp;sz=w1000</v>
      </c>
      <c r="AF130" s="86" t="s">
        <v>426</v>
      </c>
      <c r="AG130" s="73" t="str">
        <f t="shared" ref="AG130:AG193" si="9">CONCATENATE("https://drive.google.com/thumbnail?id=", MID(AH130, FIND("/d/", AH130) + 3, FIND("/view", AH130) - FIND("/d/", AH130) - 3), "&amp;sz=w1000")</f>
        <v>https://drive.google.com/thumbnail?id=1H0oJ6vgdqHw6dKdkzkTd3-KkxRDPqWbg&amp;sz=w1000</v>
      </c>
      <c r="AH130" s="86" t="s">
        <v>427</v>
      </c>
    </row>
    <row r="131" spans="1:34" ht="22.15" customHeight="1">
      <c r="A131" s="28">
        <v>45516</v>
      </c>
      <c r="B131" s="17" t="s">
        <v>251</v>
      </c>
      <c r="C131" s="2" t="s">
        <v>253</v>
      </c>
      <c r="D131" s="16" t="str" cm="1">
        <f t="array" ref="D131">_xlfn.XLOOKUP(1, (Table1[Project Name]=Table2[[#This Row],[Project ID]])*(Table1[Plot]=Table2[[#This Row],[Plot]]), Table1[Project ID])</f>
        <v>SC-04</v>
      </c>
      <c r="E131" s="61">
        <v>219</v>
      </c>
      <c r="F131" s="62">
        <v>328</v>
      </c>
      <c r="G131" s="61">
        <f>Table2[[#This Row],[Time Elapsed]]+Table2[[#This Row],[Time Remaining]]</f>
        <v>547</v>
      </c>
      <c r="H131" s="2" t="s">
        <v>326</v>
      </c>
      <c r="I131" s="2" t="s">
        <v>295</v>
      </c>
      <c r="J131" s="13">
        <v>0.1464</v>
      </c>
      <c r="K131" s="148">
        <v>0.12429999999999999</v>
      </c>
      <c r="L131" s="13">
        <f>Table2[[#This Row],[Actual %]]-Table2[[#This Row],[Plan %]]</f>
        <v>-2.2100000000000009E-2</v>
      </c>
      <c r="M131" s="144" t="s">
        <v>51</v>
      </c>
      <c r="N131" s="12">
        <v>45220</v>
      </c>
      <c r="O131" s="12">
        <v>45297</v>
      </c>
      <c r="P131" s="12"/>
      <c r="Q131" s="12">
        <v>45520</v>
      </c>
      <c r="R131" s="2" t="s">
        <v>381</v>
      </c>
      <c r="S131" s="2" t="s">
        <v>376</v>
      </c>
      <c r="T131" s="149" t="s">
        <v>382</v>
      </c>
      <c r="U131" s="35"/>
      <c r="V131" s="93"/>
      <c r="W131" s="94">
        <f>Table2[[#This Row],[Construction Contract Amount]]+Table2[[#This Row],[Cumulative Variations]]</f>
        <v>0</v>
      </c>
      <c r="X131" s="35"/>
      <c r="Y131" s="93"/>
      <c r="Z131" s="94">
        <f>Table2[[#This Row],[Final Contract Value]]+Table2[[#This Row],[Supervision Contract amount]]+Table2[[#This Row],[Authority Cost]]</f>
        <v>0</v>
      </c>
      <c r="AA131" s="35"/>
      <c r="AB131" s="35"/>
      <c r="AC131" s="91" t="str">
        <f t="shared" si="7"/>
        <v>https://drive.google.com/thumbnail?id=11xxU2ddfwE6cm1UuPtNg46qi4NQOhg8k&amp;sz=w1000</v>
      </c>
      <c r="AD131" s="86" t="s">
        <v>425</v>
      </c>
      <c r="AE131" s="74" t="str">
        <f t="shared" si="8"/>
        <v>https://drive.google.com/thumbnail?id=1MXyFNwT7lana1d7a1lX-bhotozLGMclA&amp;sz=w1000</v>
      </c>
      <c r="AF131" s="86" t="s">
        <v>426</v>
      </c>
      <c r="AG131" s="73" t="str">
        <f t="shared" si="9"/>
        <v>https://drive.google.com/thumbnail?id=1H0oJ6vgdqHw6dKdkzkTd3-KkxRDPqWbg&amp;sz=w1000</v>
      </c>
      <c r="AH131" s="86" t="s">
        <v>427</v>
      </c>
    </row>
    <row r="132" spans="1:34" ht="22.15" customHeight="1">
      <c r="A132" s="28">
        <v>45516</v>
      </c>
      <c r="B132" s="17" t="s">
        <v>251</v>
      </c>
      <c r="C132" s="2" t="s">
        <v>253</v>
      </c>
      <c r="D132" s="16" t="str" cm="1">
        <f t="array" ref="D132">_xlfn.XLOOKUP(1, (Table1[Project Name]=Table2[[#This Row],[Project ID]])*(Table1[Plot]=Table2[[#This Row],[Plot]]), Table1[Project ID])</f>
        <v>SC-04</v>
      </c>
      <c r="E132" s="61">
        <v>219</v>
      </c>
      <c r="F132" s="62">
        <v>328</v>
      </c>
      <c r="G132" s="61">
        <f>Table2[[#This Row],[Time Elapsed]]+Table2[[#This Row],[Time Remaining]]</f>
        <v>547</v>
      </c>
      <c r="H132" s="2" t="s">
        <v>326</v>
      </c>
      <c r="I132" s="2" t="s">
        <v>295</v>
      </c>
      <c r="J132" s="13">
        <v>0.1464</v>
      </c>
      <c r="K132" s="148">
        <v>0.12429999999999999</v>
      </c>
      <c r="L132" s="13">
        <f>Table2[[#This Row],[Actual %]]-Table2[[#This Row],[Plan %]]</f>
        <v>-2.2100000000000009E-2</v>
      </c>
      <c r="M132" s="144" t="s">
        <v>287</v>
      </c>
      <c r="N132" s="12">
        <v>45429</v>
      </c>
      <c r="O132" s="12">
        <v>45463</v>
      </c>
      <c r="P132" s="12"/>
      <c r="Q132" s="12">
        <v>45520</v>
      </c>
      <c r="R132" s="2" t="s">
        <v>381</v>
      </c>
      <c r="S132" s="2" t="s">
        <v>376</v>
      </c>
      <c r="T132" s="149" t="s">
        <v>382</v>
      </c>
      <c r="U132" s="35"/>
      <c r="V132" s="93"/>
      <c r="W132" s="94">
        <f>Table2[[#This Row],[Construction Contract Amount]]+Table2[[#This Row],[Cumulative Variations]]</f>
        <v>0</v>
      </c>
      <c r="X132" s="35"/>
      <c r="Y132" s="93"/>
      <c r="Z132" s="94">
        <f>Table2[[#This Row],[Final Contract Value]]+Table2[[#This Row],[Supervision Contract amount]]+Table2[[#This Row],[Authority Cost]]</f>
        <v>0</v>
      </c>
      <c r="AA132" s="35"/>
      <c r="AB132" s="35"/>
      <c r="AC132" s="91" t="str">
        <f t="shared" si="7"/>
        <v>https://drive.google.com/thumbnail?id=11xxU2ddfwE6cm1UuPtNg46qi4NQOhg8k&amp;sz=w1000</v>
      </c>
      <c r="AD132" s="86" t="s">
        <v>425</v>
      </c>
      <c r="AE132" s="74" t="str">
        <f t="shared" si="8"/>
        <v>https://drive.google.com/thumbnail?id=1MXyFNwT7lana1d7a1lX-bhotozLGMclA&amp;sz=w1000</v>
      </c>
      <c r="AF132" s="86" t="s">
        <v>426</v>
      </c>
      <c r="AG132" s="73" t="str">
        <f t="shared" si="9"/>
        <v>https://drive.google.com/thumbnail?id=1H0oJ6vgdqHw6dKdkzkTd3-KkxRDPqWbg&amp;sz=w1000</v>
      </c>
      <c r="AH132" s="86" t="s">
        <v>427</v>
      </c>
    </row>
    <row r="133" spans="1:34" ht="22.15" customHeight="1">
      <c r="A133" s="28">
        <v>45516</v>
      </c>
      <c r="B133" s="17" t="s">
        <v>251</v>
      </c>
      <c r="C133" s="2" t="s">
        <v>253</v>
      </c>
      <c r="D133" s="16" t="str" cm="1">
        <f t="array" ref="D133">_xlfn.XLOOKUP(1, (Table1[Project Name]=Table2[[#This Row],[Project ID]])*(Table1[Plot]=Table2[[#This Row],[Plot]]), Table1[Project ID])</f>
        <v>SC-04</v>
      </c>
      <c r="E133" s="61">
        <v>219</v>
      </c>
      <c r="F133" s="62">
        <v>328</v>
      </c>
      <c r="G133" s="61">
        <f>Table2[[#This Row],[Time Elapsed]]+Table2[[#This Row],[Time Remaining]]</f>
        <v>547</v>
      </c>
      <c r="H133" s="2" t="s">
        <v>326</v>
      </c>
      <c r="I133" s="2" t="s">
        <v>295</v>
      </c>
      <c r="J133" s="13">
        <v>0.1464</v>
      </c>
      <c r="K133" s="148">
        <v>0.12429999999999999</v>
      </c>
      <c r="L133" s="13">
        <f>Table2[[#This Row],[Actual %]]-Table2[[#This Row],[Plan %]]</f>
        <v>-2.2100000000000009E-2</v>
      </c>
      <c r="M133" s="144" t="s">
        <v>300</v>
      </c>
      <c r="N133" s="12">
        <v>45433</v>
      </c>
      <c r="O133" s="12">
        <v>45514</v>
      </c>
      <c r="P133" s="12"/>
      <c r="Q133" s="12">
        <v>45520</v>
      </c>
      <c r="R133" s="2" t="s">
        <v>381</v>
      </c>
      <c r="S133" s="2" t="s">
        <v>376</v>
      </c>
      <c r="T133" s="149" t="s">
        <v>382</v>
      </c>
      <c r="U133" s="35"/>
      <c r="V133" s="93"/>
      <c r="W133" s="94">
        <f>Table2[[#This Row],[Construction Contract Amount]]+Table2[[#This Row],[Cumulative Variations]]</f>
        <v>0</v>
      </c>
      <c r="X133" s="35"/>
      <c r="Y133" s="93"/>
      <c r="Z133" s="94">
        <f>Table2[[#This Row],[Final Contract Value]]+Table2[[#This Row],[Supervision Contract amount]]+Table2[[#This Row],[Authority Cost]]</f>
        <v>0</v>
      </c>
      <c r="AA133" s="35"/>
      <c r="AB133" s="35"/>
      <c r="AC133" s="91" t="str">
        <f t="shared" si="7"/>
        <v>https://drive.google.com/thumbnail?id=11xxU2ddfwE6cm1UuPtNg46qi4NQOhg8k&amp;sz=w1000</v>
      </c>
      <c r="AD133" s="86" t="s">
        <v>425</v>
      </c>
      <c r="AE133" s="74" t="str">
        <f t="shared" si="8"/>
        <v>https://drive.google.com/thumbnail?id=1MXyFNwT7lana1d7a1lX-bhotozLGMclA&amp;sz=w1000</v>
      </c>
      <c r="AF133" s="86" t="s">
        <v>426</v>
      </c>
      <c r="AG133" s="73" t="str">
        <f t="shared" si="9"/>
        <v>https://drive.google.com/thumbnail?id=1H0oJ6vgdqHw6dKdkzkTd3-KkxRDPqWbg&amp;sz=w1000</v>
      </c>
      <c r="AH133" s="86" t="s">
        <v>427</v>
      </c>
    </row>
    <row r="134" spans="1:34" ht="22.15" customHeight="1">
      <c r="A134" s="28">
        <v>45516</v>
      </c>
      <c r="B134" s="17" t="s">
        <v>251</v>
      </c>
      <c r="C134" s="2" t="s">
        <v>253</v>
      </c>
      <c r="D134" s="16" t="str" cm="1">
        <f t="array" ref="D134">_xlfn.XLOOKUP(1, (Table1[Project Name]=Table2[[#This Row],[Project ID]])*(Table1[Plot]=Table2[[#This Row],[Plot]]), Table1[Project ID])</f>
        <v>SC-04</v>
      </c>
      <c r="E134" s="61">
        <v>219</v>
      </c>
      <c r="F134" s="62">
        <v>328</v>
      </c>
      <c r="G134" s="61">
        <f>Table2[[#This Row],[Time Elapsed]]+Table2[[#This Row],[Time Remaining]]</f>
        <v>547</v>
      </c>
      <c r="H134" s="2" t="s">
        <v>326</v>
      </c>
      <c r="I134" s="2" t="s">
        <v>295</v>
      </c>
      <c r="J134" s="13">
        <v>0.1464</v>
      </c>
      <c r="K134" s="148">
        <v>0.12429999999999999</v>
      </c>
      <c r="L134" s="13">
        <f>Table2[[#This Row],[Actual %]]-Table2[[#This Row],[Plan %]]</f>
        <v>-2.2100000000000009E-2</v>
      </c>
      <c r="M134" s="144" t="s">
        <v>301</v>
      </c>
      <c r="N134" s="12">
        <v>45596</v>
      </c>
      <c r="O134" s="12"/>
      <c r="P134" s="12">
        <v>45680</v>
      </c>
      <c r="Q134" s="12">
        <v>45520</v>
      </c>
      <c r="R134" s="2" t="s">
        <v>381</v>
      </c>
      <c r="S134" s="2" t="s">
        <v>376</v>
      </c>
      <c r="T134" s="149" t="s">
        <v>382</v>
      </c>
      <c r="U134" s="35"/>
      <c r="V134" s="93"/>
      <c r="W134" s="94">
        <f>Table2[[#This Row],[Construction Contract Amount]]+Table2[[#This Row],[Cumulative Variations]]</f>
        <v>0</v>
      </c>
      <c r="X134" s="35"/>
      <c r="Y134" s="93"/>
      <c r="Z134" s="94">
        <f>Table2[[#This Row],[Final Contract Value]]+Table2[[#This Row],[Supervision Contract amount]]+Table2[[#This Row],[Authority Cost]]</f>
        <v>0</v>
      </c>
      <c r="AA134" s="35"/>
      <c r="AB134" s="35"/>
      <c r="AC134" s="91" t="str">
        <f t="shared" si="7"/>
        <v>https://drive.google.com/thumbnail?id=11xxU2ddfwE6cm1UuPtNg46qi4NQOhg8k&amp;sz=w1000</v>
      </c>
      <c r="AD134" s="86" t="s">
        <v>425</v>
      </c>
      <c r="AE134" s="74" t="str">
        <f t="shared" si="8"/>
        <v>https://drive.google.com/thumbnail?id=1MXyFNwT7lana1d7a1lX-bhotozLGMclA&amp;sz=w1000</v>
      </c>
      <c r="AF134" s="86" t="s">
        <v>426</v>
      </c>
      <c r="AG134" s="73" t="str">
        <f t="shared" si="9"/>
        <v>https://drive.google.com/thumbnail?id=1H0oJ6vgdqHw6dKdkzkTd3-KkxRDPqWbg&amp;sz=w1000</v>
      </c>
      <c r="AH134" s="86" t="s">
        <v>427</v>
      </c>
    </row>
    <row r="135" spans="1:34" ht="22.15" customHeight="1">
      <c r="A135" s="28">
        <v>45516</v>
      </c>
      <c r="B135" s="17" t="s">
        <v>251</v>
      </c>
      <c r="C135" s="2" t="s">
        <v>253</v>
      </c>
      <c r="D135" s="16" t="str" cm="1">
        <f t="array" ref="D135">_xlfn.XLOOKUP(1, (Table1[Project Name]=Table2[[#This Row],[Project ID]])*(Table1[Plot]=Table2[[#This Row],[Plot]]), Table1[Project ID])</f>
        <v>SC-04</v>
      </c>
      <c r="E135" s="61">
        <v>219</v>
      </c>
      <c r="F135" s="62">
        <v>328</v>
      </c>
      <c r="G135" s="61">
        <f>Table2[[#This Row],[Time Elapsed]]+Table2[[#This Row],[Time Remaining]]</f>
        <v>547</v>
      </c>
      <c r="H135" s="2" t="s">
        <v>326</v>
      </c>
      <c r="I135" s="2" t="s">
        <v>295</v>
      </c>
      <c r="J135" s="13">
        <v>0.1464</v>
      </c>
      <c r="K135" s="148">
        <v>0.12429999999999999</v>
      </c>
      <c r="L135" s="13">
        <f>Table2[[#This Row],[Actual %]]-Table2[[#This Row],[Plan %]]</f>
        <v>-2.2100000000000009E-2</v>
      </c>
      <c r="M135" s="144" t="s">
        <v>280</v>
      </c>
      <c r="N135" s="12">
        <v>45682</v>
      </c>
      <c r="O135" s="12"/>
      <c r="P135" s="12">
        <v>45789</v>
      </c>
      <c r="Q135" s="12">
        <v>45520</v>
      </c>
      <c r="R135" s="2" t="s">
        <v>381</v>
      </c>
      <c r="S135" s="2" t="s">
        <v>376</v>
      </c>
      <c r="T135" s="149" t="s">
        <v>382</v>
      </c>
      <c r="U135" s="35"/>
      <c r="V135" s="93"/>
      <c r="W135" s="94">
        <f>Table2[[#This Row],[Construction Contract Amount]]+Table2[[#This Row],[Cumulative Variations]]</f>
        <v>0</v>
      </c>
      <c r="X135" s="35"/>
      <c r="Y135" s="93"/>
      <c r="Z135" s="94">
        <f>Table2[[#This Row],[Final Contract Value]]+Table2[[#This Row],[Supervision Contract amount]]+Table2[[#This Row],[Authority Cost]]</f>
        <v>0</v>
      </c>
      <c r="AA135" s="35"/>
      <c r="AB135" s="35"/>
      <c r="AC135" s="91" t="str">
        <f t="shared" si="7"/>
        <v>https://drive.google.com/thumbnail?id=11xxU2ddfwE6cm1UuPtNg46qi4NQOhg8k&amp;sz=w1000</v>
      </c>
      <c r="AD135" s="86" t="s">
        <v>425</v>
      </c>
      <c r="AE135" s="74" t="str">
        <f t="shared" si="8"/>
        <v>https://drive.google.com/thumbnail?id=1MXyFNwT7lana1d7a1lX-bhotozLGMclA&amp;sz=w1000</v>
      </c>
      <c r="AF135" s="86" t="s">
        <v>426</v>
      </c>
      <c r="AG135" s="73" t="str">
        <f t="shared" si="9"/>
        <v>https://drive.google.com/thumbnail?id=1H0oJ6vgdqHw6dKdkzkTd3-KkxRDPqWbg&amp;sz=w1000</v>
      </c>
      <c r="AH135" s="86" t="s">
        <v>427</v>
      </c>
    </row>
    <row r="136" spans="1:34" ht="22.15" customHeight="1">
      <c r="A136" s="28">
        <v>45516</v>
      </c>
      <c r="B136" s="17" t="s">
        <v>251</v>
      </c>
      <c r="C136" s="2" t="s">
        <v>253</v>
      </c>
      <c r="D136" s="16" t="str" cm="1">
        <f t="array" ref="D136">_xlfn.XLOOKUP(1, (Table1[Project Name]=Table2[[#This Row],[Project ID]])*(Table1[Plot]=Table2[[#This Row],[Plot]]), Table1[Project ID])</f>
        <v>SC-04</v>
      </c>
      <c r="E136" s="61">
        <v>219</v>
      </c>
      <c r="F136" s="62">
        <v>328</v>
      </c>
      <c r="G136" s="61">
        <f>Table2[[#This Row],[Time Elapsed]]+Table2[[#This Row],[Time Remaining]]</f>
        <v>547</v>
      </c>
      <c r="H136" s="2" t="s">
        <v>326</v>
      </c>
      <c r="I136" s="2" t="s">
        <v>295</v>
      </c>
      <c r="J136" s="13">
        <v>0.1464</v>
      </c>
      <c r="K136" s="148">
        <v>0.12429999999999999</v>
      </c>
      <c r="L136" s="13">
        <f>Table2[[#This Row],[Actual %]]-Table2[[#This Row],[Plan %]]</f>
        <v>-2.2100000000000009E-2</v>
      </c>
      <c r="M136" s="144" t="s">
        <v>343</v>
      </c>
      <c r="N136" s="12">
        <v>45701</v>
      </c>
      <c r="O136" s="12"/>
      <c r="P136" s="12">
        <v>45799</v>
      </c>
      <c r="Q136" s="12">
        <v>45520</v>
      </c>
      <c r="R136" s="2" t="s">
        <v>381</v>
      </c>
      <c r="S136" s="2" t="s">
        <v>376</v>
      </c>
      <c r="T136" s="149" t="s">
        <v>382</v>
      </c>
      <c r="U136" s="35"/>
      <c r="V136" s="93"/>
      <c r="W136" s="94">
        <f>Table2[[#This Row],[Construction Contract Amount]]+Table2[[#This Row],[Cumulative Variations]]</f>
        <v>0</v>
      </c>
      <c r="X136" s="35"/>
      <c r="Y136" s="93"/>
      <c r="Z136" s="94">
        <f>Table2[[#This Row],[Final Contract Value]]+Table2[[#This Row],[Supervision Contract amount]]+Table2[[#This Row],[Authority Cost]]</f>
        <v>0</v>
      </c>
      <c r="AA136" s="35"/>
      <c r="AB136" s="35"/>
      <c r="AC136" s="91" t="str">
        <f t="shared" si="7"/>
        <v>https://drive.google.com/thumbnail?id=11xxU2ddfwE6cm1UuPtNg46qi4NQOhg8k&amp;sz=w1000</v>
      </c>
      <c r="AD136" s="86" t="s">
        <v>425</v>
      </c>
      <c r="AE136" s="74" t="str">
        <f t="shared" si="8"/>
        <v>https://drive.google.com/thumbnail?id=1MXyFNwT7lana1d7a1lX-bhotozLGMclA&amp;sz=w1000</v>
      </c>
      <c r="AF136" s="86" t="s">
        <v>426</v>
      </c>
      <c r="AG136" s="73" t="str">
        <f t="shared" si="9"/>
        <v>https://drive.google.com/thumbnail?id=1H0oJ6vgdqHw6dKdkzkTd3-KkxRDPqWbg&amp;sz=w1000</v>
      </c>
      <c r="AH136" s="86" t="s">
        <v>427</v>
      </c>
    </row>
    <row r="137" spans="1:34" ht="22.15" customHeight="1">
      <c r="A137" s="28">
        <v>45516</v>
      </c>
      <c r="B137" s="17" t="s">
        <v>251</v>
      </c>
      <c r="C137" s="2" t="s">
        <v>253</v>
      </c>
      <c r="D137" s="16" t="str" cm="1">
        <f t="array" ref="D137">_xlfn.XLOOKUP(1, (Table1[Project Name]=Table2[[#This Row],[Project ID]])*(Table1[Plot]=Table2[[#This Row],[Plot]]), Table1[Project ID])</f>
        <v>SC-04</v>
      </c>
      <c r="E137" s="61">
        <v>219</v>
      </c>
      <c r="F137" s="62">
        <v>328</v>
      </c>
      <c r="G137" s="61">
        <f>Table2[[#This Row],[Time Elapsed]]+Table2[[#This Row],[Time Remaining]]</f>
        <v>547</v>
      </c>
      <c r="H137" s="2" t="s">
        <v>326</v>
      </c>
      <c r="I137" s="2" t="s">
        <v>295</v>
      </c>
      <c r="J137" s="13">
        <v>0.1464</v>
      </c>
      <c r="K137" s="148">
        <v>0.12429999999999999</v>
      </c>
      <c r="L137" s="13">
        <f>Table2[[#This Row],[Actual %]]-Table2[[#This Row],[Plan %]]</f>
        <v>-2.2100000000000009E-2</v>
      </c>
      <c r="M137" s="144" t="s">
        <v>344</v>
      </c>
      <c r="N137" s="12">
        <v>45740</v>
      </c>
      <c r="O137" s="12"/>
      <c r="P137" s="12">
        <v>45820</v>
      </c>
      <c r="Q137" s="12">
        <v>45520</v>
      </c>
      <c r="R137" s="2" t="s">
        <v>381</v>
      </c>
      <c r="S137" s="2" t="s">
        <v>376</v>
      </c>
      <c r="T137" s="149" t="s">
        <v>382</v>
      </c>
      <c r="U137" s="35"/>
      <c r="V137" s="93"/>
      <c r="W137" s="94">
        <f>Table2[[#This Row],[Construction Contract Amount]]+Table2[[#This Row],[Cumulative Variations]]</f>
        <v>0</v>
      </c>
      <c r="X137" s="35"/>
      <c r="Y137" s="93"/>
      <c r="Z137" s="94">
        <f>Table2[[#This Row],[Final Contract Value]]+Table2[[#This Row],[Supervision Contract amount]]+Table2[[#This Row],[Authority Cost]]</f>
        <v>0</v>
      </c>
      <c r="AA137" s="35"/>
      <c r="AB137" s="35"/>
      <c r="AC137" s="91" t="str">
        <f t="shared" si="7"/>
        <v>https://drive.google.com/thumbnail?id=11xxU2ddfwE6cm1UuPtNg46qi4NQOhg8k&amp;sz=w1000</v>
      </c>
      <c r="AD137" s="86" t="s">
        <v>425</v>
      </c>
      <c r="AE137" s="74" t="str">
        <f t="shared" si="8"/>
        <v>https://drive.google.com/thumbnail?id=1MXyFNwT7lana1d7a1lX-bhotozLGMclA&amp;sz=w1000</v>
      </c>
      <c r="AF137" s="86" t="s">
        <v>426</v>
      </c>
      <c r="AG137" s="73" t="str">
        <f t="shared" si="9"/>
        <v>https://drive.google.com/thumbnail?id=1H0oJ6vgdqHw6dKdkzkTd3-KkxRDPqWbg&amp;sz=w1000</v>
      </c>
      <c r="AH137" s="86" t="s">
        <v>427</v>
      </c>
    </row>
    <row r="138" spans="1:34" ht="22.15" customHeight="1">
      <c r="A138" s="28">
        <v>45516</v>
      </c>
      <c r="B138" s="17" t="s">
        <v>251</v>
      </c>
      <c r="C138" s="2" t="s">
        <v>253</v>
      </c>
      <c r="D138" s="16" t="str" cm="1">
        <f t="array" ref="D138">_xlfn.XLOOKUP(1, (Table1[Project Name]=Table2[[#This Row],[Project ID]])*(Table1[Plot]=Table2[[#This Row],[Plot]]), Table1[Project ID])</f>
        <v>SC-04</v>
      </c>
      <c r="E138" s="61">
        <v>219</v>
      </c>
      <c r="F138" s="62">
        <v>328</v>
      </c>
      <c r="G138" s="61">
        <f>Table2[[#This Row],[Time Elapsed]]+Table2[[#This Row],[Time Remaining]]</f>
        <v>547</v>
      </c>
      <c r="H138" s="2" t="s">
        <v>326</v>
      </c>
      <c r="I138" s="2" t="s">
        <v>295</v>
      </c>
      <c r="J138" s="13">
        <v>0.1464</v>
      </c>
      <c r="K138" s="148">
        <v>0.12429999999999999</v>
      </c>
      <c r="L138" s="13">
        <f>Table2[[#This Row],[Actual %]]-Table2[[#This Row],[Plan %]]</f>
        <v>-2.2100000000000009E-2</v>
      </c>
      <c r="M138" s="144" t="s">
        <v>302</v>
      </c>
      <c r="N138" s="12">
        <v>45733</v>
      </c>
      <c r="O138" s="12"/>
      <c r="P138" s="12">
        <v>45833</v>
      </c>
      <c r="Q138" s="12">
        <v>45520</v>
      </c>
      <c r="R138" s="2" t="s">
        <v>381</v>
      </c>
      <c r="S138" s="2" t="s">
        <v>383</v>
      </c>
      <c r="T138" s="149" t="s">
        <v>382</v>
      </c>
      <c r="U138" s="35"/>
      <c r="V138" s="93"/>
      <c r="W138" s="94">
        <f>Table2[[#This Row],[Construction Contract Amount]]+Table2[[#This Row],[Cumulative Variations]]</f>
        <v>0</v>
      </c>
      <c r="X138" s="35"/>
      <c r="Y138" s="93"/>
      <c r="Z138" s="94">
        <f>Table2[[#This Row],[Final Contract Value]]+Table2[[#This Row],[Supervision Contract amount]]+Table2[[#This Row],[Authority Cost]]</f>
        <v>0</v>
      </c>
      <c r="AA138" s="35"/>
      <c r="AB138" s="35"/>
      <c r="AC138" s="91" t="str">
        <f t="shared" si="7"/>
        <v>https://drive.google.com/thumbnail?id=11xxU2ddfwE6cm1UuPtNg46qi4NQOhg8k&amp;sz=w1000</v>
      </c>
      <c r="AD138" s="86" t="s">
        <v>425</v>
      </c>
      <c r="AE138" s="74" t="str">
        <f t="shared" si="8"/>
        <v>https://drive.google.com/thumbnail?id=1MXyFNwT7lana1d7a1lX-bhotozLGMclA&amp;sz=w1000</v>
      </c>
      <c r="AF138" s="86" t="s">
        <v>426</v>
      </c>
      <c r="AG138" s="73" t="str">
        <f t="shared" si="9"/>
        <v>https://drive.google.com/thumbnail?id=1H0oJ6vgdqHw6dKdkzkTd3-KkxRDPqWbg&amp;sz=w1000</v>
      </c>
      <c r="AH138" s="86" t="s">
        <v>427</v>
      </c>
    </row>
    <row r="139" spans="1:34" ht="22.15" customHeight="1">
      <c r="A139" s="29">
        <v>45516</v>
      </c>
      <c r="B139" s="24" t="s">
        <v>247</v>
      </c>
      <c r="C139" s="2" t="s">
        <v>11</v>
      </c>
      <c r="D139" s="16" t="str" cm="1">
        <f t="array" ref="D139">_xlfn.XLOOKUP(1, (Table1[Project Name]=Table2[[#This Row],[Project ID]])*(Table1[Plot]=Table2[[#This Row],[Plot]]), Table1[Project ID])</f>
        <v>SC-03</v>
      </c>
      <c r="E139" s="63">
        <v>255</v>
      </c>
      <c r="F139" s="64">
        <v>292</v>
      </c>
      <c r="G139" s="63">
        <f>Table2[[#This Row],[Time Elapsed]]+Table2[[#This Row],[Time Remaining]]</f>
        <v>547</v>
      </c>
      <c r="H139" s="2" t="s">
        <v>327</v>
      </c>
      <c r="I139" s="2" t="s">
        <v>295</v>
      </c>
      <c r="J139" s="13">
        <v>5.21E-2</v>
      </c>
      <c r="K139" s="148">
        <v>0.14099999999999999</v>
      </c>
      <c r="L139" s="13">
        <f>Table2[[#This Row],[Actual %]]-Table2[[#This Row],[Plan %]]</f>
        <v>8.8899999999999979E-2</v>
      </c>
      <c r="M139" s="144" t="s">
        <v>285</v>
      </c>
      <c r="N139" s="12">
        <v>45260</v>
      </c>
      <c r="O139" s="12">
        <v>45260</v>
      </c>
      <c r="P139" s="12"/>
      <c r="Q139" s="12">
        <v>45520</v>
      </c>
      <c r="R139" s="2" t="s">
        <v>384</v>
      </c>
      <c r="S139" s="2" t="s">
        <v>376</v>
      </c>
      <c r="T139" s="149" t="s">
        <v>385</v>
      </c>
      <c r="U139" s="35"/>
      <c r="V139" s="93"/>
      <c r="W139" s="94">
        <f>Table2[[#This Row],[Construction Contract Amount]]+Table2[[#This Row],[Cumulative Variations]]</f>
        <v>0</v>
      </c>
      <c r="X139" s="35"/>
      <c r="Y139" s="93"/>
      <c r="Z139" s="94">
        <f>Table2[[#This Row],[Final Contract Value]]+Table2[[#This Row],[Supervision Contract amount]]+Table2[[#This Row],[Authority Cost]]</f>
        <v>0</v>
      </c>
      <c r="AA139" s="35"/>
      <c r="AB139" s="35"/>
      <c r="AC139" s="91" t="str">
        <f t="shared" si="7"/>
        <v>https://drive.google.com/thumbnail?id=1WyM62m91MyOYiYchDit1EWaKO2dnqPzx&amp;sz=w1000</v>
      </c>
      <c r="AD139" s="87" t="s">
        <v>428</v>
      </c>
      <c r="AE139" s="74" t="str">
        <f t="shared" si="8"/>
        <v>https://drive.google.com/thumbnail?id=1hp_omkqqkYn1e8mTswZtyA2acgQaNMuO&amp;sz=w1000</v>
      </c>
      <c r="AF139" s="87" t="s">
        <v>429</v>
      </c>
      <c r="AG139" s="73" t="str">
        <f t="shared" si="9"/>
        <v>https://drive.google.com/thumbnail?id=1S7XMV5_8waurveisDWugvibu1mQY1cgy&amp;sz=w1000</v>
      </c>
      <c r="AH139" s="87" t="s">
        <v>430</v>
      </c>
    </row>
    <row r="140" spans="1:34" ht="22.15" customHeight="1">
      <c r="A140" s="29">
        <v>45516</v>
      </c>
      <c r="B140" s="24" t="s">
        <v>247</v>
      </c>
      <c r="C140" s="2" t="s">
        <v>11</v>
      </c>
      <c r="D140" s="16" t="str" cm="1">
        <f t="array" ref="D140">_xlfn.XLOOKUP(1, (Table1[Project Name]=Table2[[#This Row],[Project ID]])*(Table1[Plot]=Table2[[#This Row],[Plot]]), Table1[Project ID])</f>
        <v>SC-03</v>
      </c>
      <c r="E140" s="63">
        <v>255</v>
      </c>
      <c r="F140" s="64">
        <v>292</v>
      </c>
      <c r="G140" s="63">
        <f>Table2[[#This Row],[Time Elapsed]]+Table2[[#This Row],[Time Remaining]]</f>
        <v>547</v>
      </c>
      <c r="H140" s="2" t="s">
        <v>327</v>
      </c>
      <c r="I140" s="2" t="s">
        <v>295</v>
      </c>
      <c r="J140" s="13">
        <v>5.21E-2</v>
      </c>
      <c r="K140" s="148">
        <v>0.14099999999999999</v>
      </c>
      <c r="L140" s="13">
        <f>Table2[[#This Row],[Actual %]]-Table2[[#This Row],[Plan %]]</f>
        <v>8.8899999999999979E-2</v>
      </c>
      <c r="M140" s="144" t="s">
        <v>51</v>
      </c>
      <c r="N140" s="12">
        <v>45296</v>
      </c>
      <c r="O140" s="12">
        <v>45297</v>
      </c>
      <c r="P140" s="12"/>
      <c r="Q140" s="12">
        <v>45520</v>
      </c>
      <c r="R140" s="2" t="s">
        <v>384</v>
      </c>
      <c r="S140" s="2" t="s">
        <v>376</v>
      </c>
      <c r="T140" s="149" t="s">
        <v>385</v>
      </c>
      <c r="U140" s="35"/>
      <c r="V140" s="93"/>
      <c r="W140" s="94">
        <f>Table2[[#This Row],[Construction Contract Amount]]+Table2[[#This Row],[Cumulative Variations]]</f>
        <v>0</v>
      </c>
      <c r="X140" s="35"/>
      <c r="Y140" s="93"/>
      <c r="Z140" s="94">
        <f>Table2[[#This Row],[Final Contract Value]]+Table2[[#This Row],[Supervision Contract amount]]+Table2[[#This Row],[Authority Cost]]</f>
        <v>0</v>
      </c>
      <c r="AA140" s="35"/>
      <c r="AB140" s="35"/>
      <c r="AC140" s="91" t="str">
        <f t="shared" si="7"/>
        <v>https://drive.google.com/thumbnail?id=1WyM62m91MyOYiYchDit1EWaKO2dnqPzx&amp;sz=w1000</v>
      </c>
      <c r="AD140" s="87" t="s">
        <v>428</v>
      </c>
      <c r="AE140" s="74" t="str">
        <f t="shared" si="8"/>
        <v>https://drive.google.com/thumbnail?id=1hp_omkqqkYn1e8mTswZtyA2acgQaNMuO&amp;sz=w1000</v>
      </c>
      <c r="AF140" s="87" t="s">
        <v>429</v>
      </c>
      <c r="AG140" s="73" t="str">
        <f t="shared" si="9"/>
        <v>https://drive.google.com/thumbnail?id=1S7XMV5_8waurveisDWugvibu1mQY1cgy&amp;sz=w1000</v>
      </c>
      <c r="AH140" s="87" t="s">
        <v>430</v>
      </c>
    </row>
    <row r="141" spans="1:34" ht="22.15" customHeight="1">
      <c r="A141" s="29">
        <v>45516</v>
      </c>
      <c r="B141" s="24" t="s">
        <v>247</v>
      </c>
      <c r="C141" s="2" t="s">
        <v>11</v>
      </c>
      <c r="D141" s="16" t="str" cm="1">
        <f t="array" ref="D141">_xlfn.XLOOKUP(1, (Table1[Project Name]=Table2[[#This Row],[Project ID]])*(Table1[Plot]=Table2[[#This Row],[Plot]]), Table1[Project ID])</f>
        <v>SC-03</v>
      </c>
      <c r="E141" s="63">
        <v>255</v>
      </c>
      <c r="F141" s="64">
        <v>292</v>
      </c>
      <c r="G141" s="63">
        <f>Table2[[#This Row],[Time Elapsed]]+Table2[[#This Row],[Time Remaining]]</f>
        <v>547</v>
      </c>
      <c r="H141" s="2" t="s">
        <v>327</v>
      </c>
      <c r="I141" s="2" t="s">
        <v>295</v>
      </c>
      <c r="J141" s="13">
        <v>5.21E-2</v>
      </c>
      <c r="K141" s="148">
        <v>0.14099999999999999</v>
      </c>
      <c r="L141" s="13">
        <f>Table2[[#This Row],[Actual %]]-Table2[[#This Row],[Plan %]]</f>
        <v>8.8899999999999979E-2</v>
      </c>
      <c r="M141" s="144" t="s">
        <v>287</v>
      </c>
      <c r="N141" s="12">
        <v>45502</v>
      </c>
      <c r="O141" s="12">
        <v>45463</v>
      </c>
      <c r="P141" s="12"/>
      <c r="Q141" s="12">
        <v>45520</v>
      </c>
      <c r="R141" s="2" t="s">
        <v>384</v>
      </c>
      <c r="S141" s="2" t="s">
        <v>376</v>
      </c>
      <c r="T141" s="149" t="s">
        <v>385</v>
      </c>
      <c r="U141" s="35"/>
      <c r="V141" s="93"/>
      <c r="W141" s="94">
        <f>Table2[[#This Row],[Construction Contract Amount]]+Table2[[#This Row],[Cumulative Variations]]</f>
        <v>0</v>
      </c>
      <c r="X141" s="35"/>
      <c r="Y141" s="93"/>
      <c r="Z141" s="35">
        <f>Table2[[#This Row],[Final Contract Value]]+Table2[[#This Row],[Supervision Contract amount]]+Table2[[#This Row],[Authority Cost]]</f>
        <v>0</v>
      </c>
      <c r="AA141" s="35"/>
      <c r="AB141" s="35"/>
      <c r="AC141" s="91" t="str">
        <f t="shared" si="7"/>
        <v>https://drive.google.com/thumbnail?id=1WyM62m91MyOYiYchDit1EWaKO2dnqPzx&amp;sz=w1000</v>
      </c>
      <c r="AD141" s="87" t="s">
        <v>428</v>
      </c>
      <c r="AE141" s="74" t="str">
        <f t="shared" si="8"/>
        <v>https://drive.google.com/thumbnail?id=1hp_omkqqkYn1e8mTswZtyA2acgQaNMuO&amp;sz=w1000</v>
      </c>
      <c r="AF141" s="87" t="s">
        <v>429</v>
      </c>
      <c r="AG141" s="73" t="str">
        <f t="shared" si="9"/>
        <v>https://drive.google.com/thumbnail?id=1S7XMV5_8waurveisDWugvibu1mQY1cgy&amp;sz=w1000</v>
      </c>
      <c r="AH141" s="87" t="s">
        <v>430</v>
      </c>
    </row>
    <row r="142" spans="1:34" ht="22.15" customHeight="1">
      <c r="A142" s="29">
        <v>45516</v>
      </c>
      <c r="B142" s="24" t="s">
        <v>247</v>
      </c>
      <c r="C142" s="2" t="s">
        <v>11</v>
      </c>
      <c r="D142" s="16" t="str" cm="1">
        <f t="array" ref="D142">_xlfn.XLOOKUP(1, (Table1[Project Name]=Table2[[#This Row],[Project ID]])*(Table1[Plot]=Table2[[#This Row],[Plot]]), Table1[Project ID])</f>
        <v>SC-03</v>
      </c>
      <c r="E142" s="63">
        <v>255</v>
      </c>
      <c r="F142" s="64">
        <v>292</v>
      </c>
      <c r="G142" s="63">
        <f>Table2[[#This Row],[Time Elapsed]]+Table2[[#This Row],[Time Remaining]]</f>
        <v>547</v>
      </c>
      <c r="H142" s="2" t="s">
        <v>327</v>
      </c>
      <c r="I142" s="2" t="s">
        <v>295</v>
      </c>
      <c r="J142" s="13">
        <v>5.21E-2</v>
      </c>
      <c r="K142" s="148">
        <v>0.14099999999999999</v>
      </c>
      <c r="L142" s="13">
        <f>Table2[[#This Row],[Actual %]]-Table2[[#This Row],[Plan %]]</f>
        <v>8.8899999999999979E-2</v>
      </c>
      <c r="M142" s="144" t="s">
        <v>300</v>
      </c>
      <c r="N142" s="12">
        <v>45504</v>
      </c>
      <c r="O142" s="12">
        <v>45516</v>
      </c>
      <c r="P142" s="12"/>
      <c r="Q142" s="12">
        <v>45520</v>
      </c>
      <c r="R142" s="2" t="s">
        <v>384</v>
      </c>
      <c r="S142" s="2" t="s">
        <v>376</v>
      </c>
      <c r="T142" s="149" t="s">
        <v>385</v>
      </c>
      <c r="U142" s="35"/>
      <c r="V142" s="93"/>
      <c r="W142" s="94">
        <f>Table2[[#This Row],[Construction Contract Amount]]+Table2[[#This Row],[Cumulative Variations]]</f>
        <v>0</v>
      </c>
      <c r="X142" s="35"/>
      <c r="Y142" s="93"/>
      <c r="Z142" s="35">
        <f>Table2[[#This Row],[Final Contract Value]]+Table2[[#This Row],[Supervision Contract amount]]+Table2[[#This Row],[Authority Cost]]</f>
        <v>0</v>
      </c>
      <c r="AA142" s="35"/>
      <c r="AB142" s="35"/>
      <c r="AC142" s="91" t="str">
        <f t="shared" si="7"/>
        <v>https://drive.google.com/thumbnail?id=1WyM62m91MyOYiYchDit1EWaKO2dnqPzx&amp;sz=w1000</v>
      </c>
      <c r="AD142" s="87" t="s">
        <v>428</v>
      </c>
      <c r="AE142" s="74" t="str">
        <f t="shared" si="8"/>
        <v>https://drive.google.com/thumbnail?id=1hp_omkqqkYn1e8mTswZtyA2acgQaNMuO&amp;sz=w1000</v>
      </c>
      <c r="AF142" s="87" t="s">
        <v>429</v>
      </c>
      <c r="AG142" s="73" t="str">
        <f t="shared" si="9"/>
        <v>https://drive.google.com/thumbnail?id=1S7XMV5_8waurveisDWugvibu1mQY1cgy&amp;sz=w1000</v>
      </c>
      <c r="AH142" s="87" t="s">
        <v>430</v>
      </c>
    </row>
    <row r="143" spans="1:34" ht="22.15" customHeight="1">
      <c r="A143" s="29">
        <v>45516</v>
      </c>
      <c r="B143" s="24" t="s">
        <v>247</v>
      </c>
      <c r="C143" s="2" t="s">
        <v>11</v>
      </c>
      <c r="D143" s="16" t="str" cm="1">
        <f t="array" ref="D143">_xlfn.XLOOKUP(1, (Table1[Project Name]=Table2[[#This Row],[Project ID]])*(Table1[Plot]=Table2[[#This Row],[Plot]]), Table1[Project ID])</f>
        <v>SC-03</v>
      </c>
      <c r="E143" s="63">
        <v>255</v>
      </c>
      <c r="F143" s="64">
        <v>292</v>
      </c>
      <c r="G143" s="63">
        <f>Table2[[#This Row],[Time Elapsed]]+Table2[[#This Row],[Time Remaining]]</f>
        <v>547</v>
      </c>
      <c r="H143" s="2" t="s">
        <v>327</v>
      </c>
      <c r="I143" s="2" t="s">
        <v>295</v>
      </c>
      <c r="J143" s="13">
        <v>5.21E-2</v>
      </c>
      <c r="K143" s="148">
        <v>0.14099999999999999</v>
      </c>
      <c r="L143" s="13">
        <f>Table2[[#This Row],[Actual %]]-Table2[[#This Row],[Plan %]]</f>
        <v>8.8899999999999979E-2</v>
      </c>
      <c r="M143" s="144" t="s">
        <v>301</v>
      </c>
      <c r="N143" s="12">
        <v>45671</v>
      </c>
      <c r="O143" s="12"/>
      <c r="P143" s="12">
        <v>45672</v>
      </c>
      <c r="Q143" s="12">
        <v>45520</v>
      </c>
      <c r="R143" s="2" t="s">
        <v>384</v>
      </c>
      <c r="S143" s="2" t="s">
        <v>376</v>
      </c>
      <c r="T143" s="149" t="s">
        <v>385</v>
      </c>
      <c r="U143" s="35"/>
      <c r="V143" s="93"/>
      <c r="W143" s="94">
        <f>Table2[[#This Row],[Construction Contract Amount]]+Table2[[#This Row],[Cumulative Variations]]</f>
        <v>0</v>
      </c>
      <c r="X143" s="35"/>
      <c r="Y143" s="93"/>
      <c r="Z143" s="35">
        <f>Table2[[#This Row],[Final Contract Value]]+Table2[[#This Row],[Supervision Contract amount]]+Table2[[#This Row],[Authority Cost]]</f>
        <v>0</v>
      </c>
      <c r="AA143" s="35"/>
      <c r="AB143" s="35"/>
      <c r="AC143" s="91" t="str">
        <f t="shared" si="7"/>
        <v>https://drive.google.com/thumbnail?id=1WyM62m91MyOYiYchDit1EWaKO2dnqPzx&amp;sz=w1000</v>
      </c>
      <c r="AD143" s="87" t="s">
        <v>428</v>
      </c>
      <c r="AE143" s="74" t="str">
        <f t="shared" si="8"/>
        <v>https://drive.google.com/thumbnail?id=1hp_omkqqkYn1e8mTswZtyA2acgQaNMuO&amp;sz=w1000</v>
      </c>
      <c r="AF143" s="87" t="s">
        <v>429</v>
      </c>
      <c r="AG143" s="73" t="str">
        <f t="shared" si="9"/>
        <v>https://drive.google.com/thumbnail?id=1S7XMV5_8waurveisDWugvibu1mQY1cgy&amp;sz=w1000</v>
      </c>
      <c r="AH143" s="87" t="s">
        <v>430</v>
      </c>
    </row>
    <row r="144" spans="1:34" ht="22.15" customHeight="1">
      <c r="A144" s="29">
        <v>45516</v>
      </c>
      <c r="B144" s="24" t="s">
        <v>247</v>
      </c>
      <c r="C144" s="2" t="s">
        <v>11</v>
      </c>
      <c r="D144" s="16" t="str" cm="1">
        <f t="array" ref="D144">_xlfn.XLOOKUP(1, (Table1[Project Name]=Table2[[#This Row],[Project ID]])*(Table1[Plot]=Table2[[#This Row],[Plot]]), Table1[Project ID])</f>
        <v>SC-03</v>
      </c>
      <c r="E144" s="63">
        <v>255</v>
      </c>
      <c r="F144" s="64">
        <v>292</v>
      </c>
      <c r="G144" s="63">
        <f>Table2[[#This Row],[Time Elapsed]]+Table2[[#This Row],[Time Remaining]]</f>
        <v>547</v>
      </c>
      <c r="H144" s="2" t="s">
        <v>327</v>
      </c>
      <c r="I144" s="2" t="s">
        <v>295</v>
      </c>
      <c r="J144" s="13">
        <v>5.21E-2</v>
      </c>
      <c r="K144" s="148">
        <v>0.14099999999999999</v>
      </c>
      <c r="L144" s="13">
        <f>Table2[[#This Row],[Actual %]]-Table2[[#This Row],[Plan %]]</f>
        <v>8.8899999999999979E-2</v>
      </c>
      <c r="M144" s="144" t="s">
        <v>280</v>
      </c>
      <c r="N144" s="12">
        <v>45757</v>
      </c>
      <c r="O144" s="12"/>
      <c r="P144" s="12">
        <v>45789</v>
      </c>
      <c r="Q144" s="12">
        <v>45520</v>
      </c>
      <c r="R144" s="2" t="s">
        <v>384</v>
      </c>
      <c r="S144" s="2" t="s">
        <v>376</v>
      </c>
      <c r="T144" s="149" t="s">
        <v>385</v>
      </c>
      <c r="U144" s="35"/>
      <c r="V144" s="93"/>
      <c r="W144" s="94">
        <f>Table2[[#This Row],[Construction Contract Amount]]+Table2[[#This Row],[Cumulative Variations]]</f>
        <v>0</v>
      </c>
      <c r="X144" s="35"/>
      <c r="Y144" s="93"/>
      <c r="Z144" s="35">
        <f>Table2[[#This Row],[Final Contract Value]]+Table2[[#This Row],[Supervision Contract amount]]+Table2[[#This Row],[Authority Cost]]</f>
        <v>0</v>
      </c>
      <c r="AA144" s="35"/>
      <c r="AB144" s="35"/>
      <c r="AC144" s="91" t="str">
        <f t="shared" si="7"/>
        <v>https://drive.google.com/thumbnail?id=1WyM62m91MyOYiYchDit1EWaKO2dnqPzx&amp;sz=w1000</v>
      </c>
      <c r="AD144" s="87" t="s">
        <v>428</v>
      </c>
      <c r="AE144" s="74" t="str">
        <f t="shared" si="8"/>
        <v>https://drive.google.com/thumbnail?id=1hp_omkqqkYn1e8mTswZtyA2acgQaNMuO&amp;sz=w1000</v>
      </c>
      <c r="AF144" s="87" t="s">
        <v>429</v>
      </c>
      <c r="AG144" s="73" t="str">
        <f t="shared" si="9"/>
        <v>https://drive.google.com/thumbnail?id=1S7XMV5_8waurveisDWugvibu1mQY1cgy&amp;sz=w1000</v>
      </c>
      <c r="AH144" s="87" t="s">
        <v>430</v>
      </c>
    </row>
    <row r="145" spans="1:34" ht="22.15" customHeight="1">
      <c r="A145" s="29">
        <v>45516</v>
      </c>
      <c r="B145" s="24" t="s">
        <v>247</v>
      </c>
      <c r="C145" s="2" t="s">
        <v>11</v>
      </c>
      <c r="D145" s="16" t="str" cm="1">
        <f t="array" ref="D145">_xlfn.XLOOKUP(1, (Table1[Project Name]=Table2[[#This Row],[Project ID]])*(Table1[Plot]=Table2[[#This Row],[Plot]]), Table1[Project ID])</f>
        <v>SC-03</v>
      </c>
      <c r="E145" s="63">
        <v>255</v>
      </c>
      <c r="F145" s="64">
        <v>292</v>
      </c>
      <c r="G145" s="63">
        <f>Table2[[#This Row],[Time Elapsed]]+Table2[[#This Row],[Time Remaining]]</f>
        <v>547</v>
      </c>
      <c r="H145" s="2" t="s">
        <v>327</v>
      </c>
      <c r="I145" s="2" t="s">
        <v>295</v>
      </c>
      <c r="J145" s="13">
        <v>5.21E-2</v>
      </c>
      <c r="K145" s="148">
        <v>0.14099999999999999</v>
      </c>
      <c r="L145" s="13">
        <f>Table2[[#This Row],[Actual %]]-Table2[[#This Row],[Plan %]]</f>
        <v>8.8899999999999979E-2</v>
      </c>
      <c r="M145" s="144" t="s">
        <v>343</v>
      </c>
      <c r="N145" s="12">
        <v>45776</v>
      </c>
      <c r="O145" s="12"/>
      <c r="P145" s="12">
        <v>45799</v>
      </c>
      <c r="Q145" s="12">
        <v>45520</v>
      </c>
      <c r="R145" s="2" t="s">
        <v>384</v>
      </c>
      <c r="S145" s="2" t="s">
        <v>376</v>
      </c>
      <c r="T145" s="149" t="s">
        <v>385</v>
      </c>
      <c r="U145" s="35"/>
      <c r="V145" s="93"/>
      <c r="W145" s="94">
        <f>Table2[[#This Row],[Construction Contract Amount]]+Table2[[#This Row],[Cumulative Variations]]</f>
        <v>0</v>
      </c>
      <c r="X145" s="35"/>
      <c r="Y145" s="93"/>
      <c r="Z145" s="35">
        <f>Table2[[#This Row],[Final Contract Value]]+Table2[[#This Row],[Supervision Contract amount]]+Table2[[#This Row],[Authority Cost]]</f>
        <v>0</v>
      </c>
      <c r="AA145" s="35"/>
      <c r="AB145" s="35"/>
      <c r="AC145" s="91" t="str">
        <f t="shared" si="7"/>
        <v>https://drive.google.com/thumbnail?id=1WyM62m91MyOYiYchDit1EWaKO2dnqPzx&amp;sz=w1000</v>
      </c>
      <c r="AD145" s="87" t="s">
        <v>428</v>
      </c>
      <c r="AE145" s="74" t="str">
        <f t="shared" si="8"/>
        <v>https://drive.google.com/thumbnail?id=1hp_omkqqkYn1e8mTswZtyA2acgQaNMuO&amp;sz=w1000</v>
      </c>
      <c r="AF145" s="87" t="s">
        <v>429</v>
      </c>
      <c r="AG145" s="73" t="str">
        <f t="shared" si="9"/>
        <v>https://drive.google.com/thumbnail?id=1S7XMV5_8waurveisDWugvibu1mQY1cgy&amp;sz=w1000</v>
      </c>
      <c r="AH145" s="87" t="s">
        <v>430</v>
      </c>
    </row>
    <row r="146" spans="1:34" ht="22.15" customHeight="1">
      <c r="A146" s="29">
        <v>45516</v>
      </c>
      <c r="B146" s="24" t="s">
        <v>247</v>
      </c>
      <c r="C146" s="2" t="s">
        <v>11</v>
      </c>
      <c r="D146" s="16" t="str" cm="1">
        <f t="array" ref="D146">_xlfn.XLOOKUP(1, (Table1[Project Name]=Table2[[#This Row],[Project ID]])*(Table1[Plot]=Table2[[#This Row],[Plot]]), Table1[Project ID])</f>
        <v>SC-03</v>
      </c>
      <c r="E146" s="63">
        <v>255</v>
      </c>
      <c r="F146" s="64">
        <v>292</v>
      </c>
      <c r="G146" s="63">
        <f>Table2[[#This Row],[Time Elapsed]]+Table2[[#This Row],[Time Remaining]]</f>
        <v>547</v>
      </c>
      <c r="H146" s="2" t="s">
        <v>327</v>
      </c>
      <c r="I146" s="2" t="s">
        <v>295</v>
      </c>
      <c r="J146" s="13">
        <v>5.21E-2</v>
      </c>
      <c r="K146" s="148">
        <v>0.14099999999999999</v>
      </c>
      <c r="L146" s="13">
        <f>Table2[[#This Row],[Actual %]]-Table2[[#This Row],[Plan %]]</f>
        <v>8.8899999999999979E-2</v>
      </c>
      <c r="M146" s="144" t="s">
        <v>344</v>
      </c>
      <c r="N146" s="12">
        <v>45793</v>
      </c>
      <c r="O146" s="12"/>
      <c r="P146" s="12">
        <v>45820</v>
      </c>
      <c r="Q146" s="12">
        <v>45520</v>
      </c>
      <c r="R146" s="2" t="s">
        <v>384</v>
      </c>
      <c r="S146" s="2" t="s">
        <v>376</v>
      </c>
      <c r="T146" s="149" t="s">
        <v>385</v>
      </c>
      <c r="U146" s="35"/>
      <c r="V146" s="93"/>
      <c r="W146" s="94">
        <f>Table2[[#This Row],[Construction Contract Amount]]+Table2[[#This Row],[Cumulative Variations]]</f>
        <v>0</v>
      </c>
      <c r="X146" s="35"/>
      <c r="Y146" s="93"/>
      <c r="Z146" s="35">
        <f>Table2[[#This Row],[Final Contract Value]]+Table2[[#This Row],[Supervision Contract amount]]+Table2[[#This Row],[Authority Cost]]</f>
        <v>0</v>
      </c>
      <c r="AA146" s="35"/>
      <c r="AB146" s="35"/>
      <c r="AC146" s="91" t="str">
        <f t="shared" si="7"/>
        <v>https://drive.google.com/thumbnail?id=1WyM62m91MyOYiYchDit1EWaKO2dnqPzx&amp;sz=w1000</v>
      </c>
      <c r="AD146" s="87" t="s">
        <v>428</v>
      </c>
      <c r="AE146" s="74" t="str">
        <f t="shared" si="8"/>
        <v>https://drive.google.com/thumbnail?id=1hp_omkqqkYn1e8mTswZtyA2acgQaNMuO&amp;sz=w1000</v>
      </c>
      <c r="AF146" s="87" t="s">
        <v>429</v>
      </c>
      <c r="AG146" s="73" t="str">
        <f t="shared" si="9"/>
        <v>https://drive.google.com/thumbnail?id=1S7XMV5_8waurveisDWugvibu1mQY1cgy&amp;sz=w1000</v>
      </c>
      <c r="AH146" s="87" t="s">
        <v>430</v>
      </c>
    </row>
    <row r="147" spans="1:34" ht="22.15" customHeight="1">
      <c r="A147" s="29">
        <v>45516</v>
      </c>
      <c r="B147" s="24" t="s">
        <v>247</v>
      </c>
      <c r="C147" s="2" t="s">
        <v>11</v>
      </c>
      <c r="D147" s="16" t="str" cm="1">
        <f t="array" ref="D147">_xlfn.XLOOKUP(1, (Table1[Project Name]=Table2[[#This Row],[Project ID]])*(Table1[Plot]=Table2[[#This Row],[Plot]]), Table1[Project ID])</f>
        <v>SC-03</v>
      </c>
      <c r="E147" s="63">
        <v>255</v>
      </c>
      <c r="F147" s="64">
        <v>292</v>
      </c>
      <c r="G147" s="63">
        <f>Table2[[#This Row],[Time Elapsed]]+Table2[[#This Row],[Time Remaining]]</f>
        <v>547</v>
      </c>
      <c r="H147" s="2" t="s">
        <v>327</v>
      </c>
      <c r="I147" s="2" t="s">
        <v>295</v>
      </c>
      <c r="J147" s="13">
        <v>5.21E-2</v>
      </c>
      <c r="K147" s="148">
        <v>0.14099999999999999</v>
      </c>
      <c r="L147" s="13">
        <f>Table2[[#This Row],[Actual %]]-Table2[[#This Row],[Plan %]]</f>
        <v>8.8899999999999979E-2</v>
      </c>
      <c r="M147" s="144" t="s">
        <v>302</v>
      </c>
      <c r="N147" s="12">
        <v>45806</v>
      </c>
      <c r="O147" s="12"/>
      <c r="P147" s="12">
        <v>45806</v>
      </c>
      <c r="Q147" s="12">
        <v>45520</v>
      </c>
      <c r="R147" s="2" t="s">
        <v>384</v>
      </c>
      <c r="S147" s="2" t="s">
        <v>376</v>
      </c>
      <c r="T147" s="149" t="s">
        <v>385</v>
      </c>
      <c r="U147" s="35"/>
      <c r="V147" s="93"/>
      <c r="W147" s="94">
        <f>Table2[[#This Row],[Construction Contract Amount]]+Table2[[#This Row],[Cumulative Variations]]</f>
        <v>0</v>
      </c>
      <c r="X147" s="35"/>
      <c r="Y147" s="93"/>
      <c r="Z147" s="35">
        <f>Table2[[#This Row],[Final Contract Value]]+Table2[[#This Row],[Supervision Contract amount]]+Table2[[#This Row],[Authority Cost]]</f>
        <v>0</v>
      </c>
      <c r="AA147" s="35"/>
      <c r="AB147" s="35"/>
      <c r="AC147" s="91" t="str">
        <f t="shared" si="7"/>
        <v>https://drive.google.com/thumbnail?id=1WyM62m91MyOYiYchDit1EWaKO2dnqPzx&amp;sz=w1000</v>
      </c>
      <c r="AD147" s="87" t="s">
        <v>428</v>
      </c>
      <c r="AE147" s="74" t="str">
        <f t="shared" si="8"/>
        <v>https://drive.google.com/thumbnail?id=1hp_omkqqkYn1e8mTswZtyA2acgQaNMuO&amp;sz=w1000</v>
      </c>
      <c r="AF147" s="87" t="s">
        <v>429</v>
      </c>
      <c r="AG147" s="73" t="str">
        <f t="shared" si="9"/>
        <v>https://drive.google.com/thumbnail?id=1S7XMV5_8waurveisDWugvibu1mQY1cgy&amp;sz=w1000</v>
      </c>
      <c r="AH147" s="87" t="s">
        <v>430</v>
      </c>
    </row>
    <row r="148" spans="1:34" ht="22.15" customHeight="1">
      <c r="A148" s="30">
        <v>45516</v>
      </c>
      <c r="B148" s="17" t="s">
        <v>260</v>
      </c>
      <c r="C148" s="2" t="s">
        <v>262</v>
      </c>
      <c r="D148" s="16" t="str" cm="1">
        <f t="array" ref="D148">_xlfn.XLOOKUP(1, (Table1[Project Name]=Table2[[#This Row],[Project ID]])*(Table1[Plot]=Table2[[#This Row],[Plot]]), Table1[Project ID])</f>
        <v>SC-06</v>
      </c>
      <c r="E148" s="65">
        <v>219</v>
      </c>
      <c r="F148" s="66">
        <v>328</v>
      </c>
      <c r="G148" s="65">
        <f>Table2[[#This Row],[Time Elapsed]]+Table2[[#This Row],[Time Remaining]]</f>
        <v>547</v>
      </c>
      <c r="H148" s="2" t="s">
        <v>328</v>
      </c>
      <c r="I148" s="2" t="s">
        <v>295</v>
      </c>
      <c r="J148" s="13">
        <v>0.14829999999999999</v>
      </c>
      <c r="K148" s="148">
        <v>0.15040000000000001</v>
      </c>
      <c r="L148" s="13">
        <f>Table2[[#This Row],[Actual %]]-Table2[[#This Row],[Plan %]]</f>
        <v>2.1000000000000185E-3</v>
      </c>
      <c r="M148" s="144" t="s">
        <v>285</v>
      </c>
      <c r="N148" s="12">
        <v>45187</v>
      </c>
      <c r="O148" s="12">
        <v>45195</v>
      </c>
      <c r="P148" s="12"/>
      <c r="Q148" s="12">
        <v>45520</v>
      </c>
      <c r="R148" s="2" t="s">
        <v>384</v>
      </c>
      <c r="S148" s="2" t="s">
        <v>376</v>
      </c>
      <c r="T148" s="149" t="s">
        <v>386</v>
      </c>
      <c r="U148" s="35"/>
      <c r="V148" s="93"/>
      <c r="W148" s="94">
        <f>Table2[[#This Row],[Construction Contract Amount]]+Table2[[#This Row],[Cumulative Variations]]</f>
        <v>0</v>
      </c>
      <c r="X148" s="35"/>
      <c r="Y148" s="93"/>
      <c r="Z148" s="35">
        <f>Table2[[#This Row],[Final Contract Value]]+Table2[[#This Row],[Supervision Contract amount]]+Table2[[#This Row],[Authority Cost]]</f>
        <v>0</v>
      </c>
      <c r="AA148" s="35"/>
      <c r="AB148" s="35"/>
      <c r="AC148" s="91" t="str">
        <f t="shared" si="7"/>
        <v>https://drive.google.com/thumbnail?id=1txs_xJtZSRV3s1r41GM6nzBz3ZapFemu&amp;sz=w1000</v>
      </c>
      <c r="AD148" s="88" t="s">
        <v>431</v>
      </c>
      <c r="AE148" s="74" t="str">
        <f t="shared" si="8"/>
        <v>https://drive.google.com/thumbnail?id=1sHpvQ8oEquSNbOS5urjlkBz79EG_gVnn&amp;sz=w1000</v>
      </c>
      <c r="AF148" s="88" t="s">
        <v>432</v>
      </c>
      <c r="AG148" s="73" t="str">
        <f t="shared" si="9"/>
        <v>https://drive.google.com/thumbnail?id=1f-lGcQWt6ANBmjBjmKSpaSIRJHeZxffC&amp;sz=w1000</v>
      </c>
      <c r="AH148" s="88" t="s">
        <v>433</v>
      </c>
    </row>
    <row r="149" spans="1:34" ht="22.15" customHeight="1">
      <c r="A149" s="30">
        <v>45516</v>
      </c>
      <c r="B149" s="17" t="s">
        <v>260</v>
      </c>
      <c r="C149" s="2" t="s">
        <v>262</v>
      </c>
      <c r="D149" s="16" t="str" cm="1">
        <f t="array" ref="D149">_xlfn.XLOOKUP(1, (Table1[Project Name]=Table2[[#This Row],[Project ID]])*(Table1[Plot]=Table2[[#This Row],[Plot]]), Table1[Project ID])</f>
        <v>SC-06</v>
      </c>
      <c r="E149" s="65">
        <v>219</v>
      </c>
      <c r="F149" s="66">
        <v>328</v>
      </c>
      <c r="G149" s="65">
        <f>Table2[[#This Row],[Time Elapsed]]+Table2[[#This Row],[Time Remaining]]</f>
        <v>547</v>
      </c>
      <c r="H149" s="2" t="s">
        <v>328</v>
      </c>
      <c r="I149" s="2" t="s">
        <v>295</v>
      </c>
      <c r="J149" s="13">
        <v>0.14829999999999999</v>
      </c>
      <c r="K149" s="148">
        <v>0.15040000000000001</v>
      </c>
      <c r="L149" s="13">
        <f>Table2[[#This Row],[Actual %]]-Table2[[#This Row],[Plan %]]</f>
        <v>2.1000000000000185E-3</v>
      </c>
      <c r="M149" s="144" t="s">
        <v>51</v>
      </c>
      <c r="N149" s="12">
        <v>45220</v>
      </c>
      <c r="O149" s="12">
        <v>45297</v>
      </c>
      <c r="P149" s="12"/>
      <c r="Q149" s="12">
        <v>45520</v>
      </c>
      <c r="R149" s="2" t="s">
        <v>384</v>
      </c>
      <c r="S149" s="2" t="s">
        <v>376</v>
      </c>
      <c r="T149" s="149" t="s">
        <v>386</v>
      </c>
      <c r="U149" s="35"/>
      <c r="V149" s="93"/>
      <c r="W149" s="94">
        <f>Table2[[#This Row],[Construction Contract Amount]]+Table2[[#This Row],[Cumulative Variations]]</f>
        <v>0</v>
      </c>
      <c r="X149" s="35"/>
      <c r="Y149" s="93"/>
      <c r="Z149" s="35">
        <f>Table2[[#This Row],[Final Contract Value]]+Table2[[#This Row],[Supervision Contract amount]]+Table2[[#This Row],[Authority Cost]]</f>
        <v>0</v>
      </c>
      <c r="AA149" s="35"/>
      <c r="AB149" s="35"/>
      <c r="AC149" s="91" t="str">
        <f t="shared" si="7"/>
        <v>https://drive.google.com/thumbnail?id=1txs_xJtZSRV3s1r41GM6nzBz3ZapFemu&amp;sz=w1000</v>
      </c>
      <c r="AD149" s="88" t="s">
        <v>431</v>
      </c>
      <c r="AE149" s="74" t="str">
        <f t="shared" si="8"/>
        <v>https://drive.google.com/thumbnail?id=1sHpvQ8oEquSNbOS5urjlkBz79EG_gVnn&amp;sz=w1000</v>
      </c>
      <c r="AF149" s="88" t="s">
        <v>432</v>
      </c>
      <c r="AG149" s="73" t="str">
        <f t="shared" si="9"/>
        <v>https://drive.google.com/thumbnail?id=1f-lGcQWt6ANBmjBjmKSpaSIRJHeZxffC&amp;sz=w1000</v>
      </c>
      <c r="AH149" s="88" t="s">
        <v>433</v>
      </c>
    </row>
    <row r="150" spans="1:34" ht="22.15" customHeight="1">
      <c r="A150" s="30">
        <v>45516</v>
      </c>
      <c r="B150" s="17" t="s">
        <v>260</v>
      </c>
      <c r="C150" s="2" t="s">
        <v>262</v>
      </c>
      <c r="D150" s="16" t="str" cm="1">
        <f t="array" ref="D150">_xlfn.XLOOKUP(1, (Table1[Project Name]=Table2[[#This Row],[Project ID]])*(Table1[Plot]=Table2[[#This Row],[Plot]]), Table1[Project ID])</f>
        <v>SC-06</v>
      </c>
      <c r="E150" s="65">
        <v>219</v>
      </c>
      <c r="F150" s="66">
        <v>328</v>
      </c>
      <c r="G150" s="65">
        <f>Table2[[#This Row],[Time Elapsed]]+Table2[[#This Row],[Time Remaining]]</f>
        <v>547</v>
      </c>
      <c r="H150" s="2" t="s">
        <v>328</v>
      </c>
      <c r="I150" s="2" t="s">
        <v>295</v>
      </c>
      <c r="J150" s="13">
        <v>0.14829999999999999</v>
      </c>
      <c r="K150" s="148">
        <v>0.15040000000000001</v>
      </c>
      <c r="L150" s="13">
        <f>Table2[[#This Row],[Actual %]]-Table2[[#This Row],[Plan %]]</f>
        <v>2.1000000000000185E-3</v>
      </c>
      <c r="M150" s="144" t="s">
        <v>287</v>
      </c>
      <c r="N150" s="12">
        <v>45429</v>
      </c>
      <c r="O150" s="12">
        <v>45435</v>
      </c>
      <c r="P150" s="12"/>
      <c r="Q150" s="12">
        <v>45520</v>
      </c>
      <c r="R150" s="2" t="s">
        <v>384</v>
      </c>
      <c r="S150" s="2" t="s">
        <v>376</v>
      </c>
      <c r="T150" s="149" t="s">
        <v>386</v>
      </c>
      <c r="U150" s="35"/>
      <c r="V150" s="93"/>
      <c r="W150" s="94">
        <f>Table2[[#This Row],[Construction Contract Amount]]+Table2[[#This Row],[Cumulative Variations]]</f>
        <v>0</v>
      </c>
      <c r="X150" s="35"/>
      <c r="Y150" s="93"/>
      <c r="Z150" s="35">
        <f>Table2[[#This Row],[Final Contract Value]]+Table2[[#This Row],[Supervision Contract amount]]+Table2[[#This Row],[Authority Cost]]</f>
        <v>0</v>
      </c>
      <c r="AA150" s="35"/>
      <c r="AB150" s="35"/>
      <c r="AC150" s="91" t="str">
        <f t="shared" si="7"/>
        <v>https://drive.google.com/thumbnail?id=1txs_xJtZSRV3s1r41GM6nzBz3ZapFemu&amp;sz=w1000</v>
      </c>
      <c r="AD150" s="88" t="s">
        <v>431</v>
      </c>
      <c r="AE150" s="74" t="str">
        <f t="shared" si="8"/>
        <v>https://drive.google.com/thumbnail?id=1sHpvQ8oEquSNbOS5urjlkBz79EG_gVnn&amp;sz=w1000</v>
      </c>
      <c r="AF150" s="88" t="s">
        <v>432</v>
      </c>
      <c r="AG150" s="73" t="str">
        <f t="shared" si="9"/>
        <v>https://drive.google.com/thumbnail?id=1f-lGcQWt6ANBmjBjmKSpaSIRJHeZxffC&amp;sz=w1000</v>
      </c>
      <c r="AH150" s="88" t="s">
        <v>433</v>
      </c>
    </row>
    <row r="151" spans="1:34" ht="22.15" customHeight="1">
      <c r="A151" s="30">
        <v>45516</v>
      </c>
      <c r="B151" s="17" t="s">
        <v>260</v>
      </c>
      <c r="C151" s="2" t="s">
        <v>262</v>
      </c>
      <c r="D151" s="16" t="str" cm="1">
        <f t="array" ref="D151">_xlfn.XLOOKUP(1, (Table1[Project Name]=Table2[[#This Row],[Project ID]])*(Table1[Plot]=Table2[[#This Row],[Plot]]), Table1[Project ID])</f>
        <v>SC-06</v>
      </c>
      <c r="E151" s="65">
        <v>219</v>
      </c>
      <c r="F151" s="66">
        <v>328</v>
      </c>
      <c r="G151" s="65">
        <f>Table2[[#This Row],[Time Elapsed]]+Table2[[#This Row],[Time Remaining]]</f>
        <v>547</v>
      </c>
      <c r="H151" s="2" t="s">
        <v>328</v>
      </c>
      <c r="I151" s="2" t="s">
        <v>295</v>
      </c>
      <c r="J151" s="13">
        <v>0.14829999999999999</v>
      </c>
      <c r="K151" s="148">
        <v>0.15040000000000001</v>
      </c>
      <c r="L151" s="13">
        <f>Table2[[#This Row],[Actual %]]-Table2[[#This Row],[Plan %]]</f>
        <v>2.1000000000000185E-3</v>
      </c>
      <c r="M151" s="144" t="s">
        <v>300</v>
      </c>
      <c r="N151" s="12">
        <v>45433</v>
      </c>
      <c r="O151" s="12">
        <v>45516</v>
      </c>
      <c r="P151" s="12"/>
      <c r="Q151" s="12">
        <v>45520</v>
      </c>
      <c r="R151" s="2" t="s">
        <v>384</v>
      </c>
      <c r="S151" s="2" t="s">
        <v>376</v>
      </c>
      <c r="T151" s="149" t="s">
        <v>386</v>
      </c>
      <c r="U151" s="35"/>
      <c r="V151" s="93"/>
      <c r="W151" s="94">
        <f>Table2[[#This Row],[Construction Contract Amount]]+Table2[[#This Row],[Cumulative Variations]]</f>
        <v>0</v>
      </c>
      <c r="X151" s="35"/>
      <c r="Y151" s="93"/>
      <c r="Z151" s="94">
        <f>Table2[[#This Row],[Final Contract Value]]+Table2[[#This Row],[Supervision Contract amount]]+Table2[[#This Row],[Authority Cost]]</f>
        <v>0</v>
      </c>
      <c r="AA151" s="35"/>
      <c r="AB151" s="35"/>
      <c r="AC151" s="91" t="str">
        <f t="shared" si="7"/>
        <v>https://drive.google.com/thumbnail?id=1txs_xJtZSRV3s1r41GM6nzBz3ZapFemu&amp;sz=w1000</v>
      </c>
      <c r="AD151" s="88" t="s">
        <v>431</v>
      </c>
      <c r="AE151" s="74" t="str">
        <f t="shared" si="8"/>
        <v>https://drive.google.com/thumbnail?id=1sHpvQ8oEquSNbOS5urjlkBz79EG_gVnn&amp;sz=w1000</v>
      </c>
      <c r="AF151" s="88" t="s">
        <v>432</v>
      </c>
      <c r="AG151" s="73" t="str">
        <f t="shared" si="9"/>
        <v>https://drive.google.com/thumbnail?id=1f-lGcQWt6ANBmjBjmKSpaSIRJHeZxffC&amp;sz=w1000</v>
      </c>
      <c r="AH151" s="88" t="s">
        <v>433</v>
      </c>
    </row>
    <row r="152" spans="1:34" ht="22.15" customHeight="1">
      <c r="A152" s="30">
        <v>45516</v>
      </c>
      <c r="B152" s="17" t="s">
        <v>260</v>
      </c>
      <c r="C152" s="2" t="s">
        <v>262</v>
      </c>
      <c r="D152" s="16" t="str" cm="1">
        <f t="array" ref="D152">_xlfn.XLOOKUP(1, (Table1[Project Name]=Table2[[#This Row],[Project ID]])*(Table1[Plot]=Table2[[#This Row],[Plot]]), Table1[Project ID])</f>
        <v>SC-06</v>
      </c>
      <c r="E152" s="65">
        <v>219</v>
      </c>
      <c r="F152" s="66">
        <v>328</v>
      </c>
      <c r="G152" s="65">
        <f>Table2[[#This Row],[Time Elapsed]]+Table2[[#This Row],[Time Remaining]]</f>
        <v>547</v>
      </c>
      <c r="H152" s="2" t="s">
        <v>328</v>
      </c>
      <c r="I152" s="2" t="s">
        <v>295</v>
      </c>
      <c r="J152" s="13">
        <v>0.14829999999999999</v>
      </c>
      <c r="K152" s="148">
        <v>0.15040000000000001</v>
      </c>
      <c r="L152" s="13">
        <f>Table2[[#This Row],[Actual %]]-Table2[[#This Row],[Plan %]]</f>
        <v>2.1000000000000185E-3</v>
      </c>
      <c r="M152" s="144" t="s">
        <v>301</v>
      </c>
      <c r="N152" s="12">
        <v>45596</v>
      </c>
      <c r="O152" s="12"/>
      <c r="P152" s="12">
        <v>45666</v>
      </c>
      <c r="Q152" s="12">
        <v>45520</v>
      </c>
      <c r="R152" s="2" t="s">
        <v>384</v>
      </c>
      <c r="S152" s="2" t="s">
        <v>376</v>
      </c>
      <c r="T152" s="149" t="s">
        <v>386</v>
      </c>
      <c r="U152" s="35"/>
      <c r="V152" s="93"/>
      <c r="W152" s="94">
        <f>Table2[[#This Row],[Construction Contract Amount]]+Table2[[#This Row],[Cumulative Variations]]</f>
        <v>0</v>
      </c>
      <c r="X152" s="35"/>
      <c r="Y152" s="93"/>
      <c r="Z152" s="94">
        <f>Table2[[#This Row],[Final Contract Value]]+Table2[[#This Row],[Supervision Contract amount]]+Table2[[#This Row],[Authority Cost]]</f>
        <v>0</v>
      </c>
      <c r="AA152" s="35"/>
      <c r="AB152" s="35"/>
      <c r="AC152" s="91" t="str">
        <f t="shared" si="7"/>
        <v>https://drive.google.com/thumbnail?id=1txs_xJtZSRV3s1r41GM6nzBz3ZapFemu&amp;sz=w1000</v>
      </c>
      <c r="AD152" s="88" t="s">
        <v>431</v>
      </c>
      <c r="AE152" s="74" t="str">
        <f t="shared" si="8"/>
        <v>https://drive.google.com/thumbnail?id=1sHpvQ8oEquSNbOS5urjlkBz79EG_gVnn&amp;sz=w1000</v>
      </c>
      <c r="AF152" s="88" t="s">
        <v>432</v>
      </c>
      <c r="AG152" s="73" t="str">
        <f t="shared" si="9"/>
        <v>https://drive.google.com/thumbnail?id=1f-lGcQWt6ANBmjBjmKSpaSIRJHeZxffC&amp;sz=w1000</v>
      </c>
      <c r="AH152" s="88" t="s">
        <v>433</v>
      </c>
    </row>
    <row r="153" spans="1:34" ht="22.15" customHeight="1">
      <c r="A153" s="30">
        <v>45516</v>
      </c>
      <c r="B153" s="17" t="s">
        <v>260</v>
      </c>
      <c r="C153" s="2" t="s">
        <v>262</v>
      </c>
      <c r="D153" s="16" t="str" cm="1">
        <f t="array" ref="D153">_xlfn.XLOOKUP(1, (Table1[Project Name]=Table2[[#This Row],[Project ID]])*(Table1[Plot]=Table2[[#This Row],[Plot]]), Table1[Project ID])</f>
        <v>SC-06</v>
      </c>
      <c r="E153" s="65">
        <v>219</v>
      </c>
      <c r="F153" s="66">
        <v>328</v>
      </c>
      <c r="G153" s="65">
        <f>Table2[[#This Row],[Time Elapsed]]+Table2[[#This Row],[Time Remaining]]</f>
        <v>547</v>
      </c>
      <c r="H153" s="2" t="s">
        <v>328</v>
      </c>
      <c r="I153" s="2" t="s">
        <v>295</v>
      </c>
      <c r="J153" s="13">
        <v>0.14829999999999999</v>
      </c>
      <c r="K153" s="148">
        <v>0.15040000000000001</v>
      </c>
      <c r="L153" s="13">
        <f>Table2[[#This Row],[Actual %]]-Table2[[#This Row],[Plan %]]</f>
        <v>2.1000000000000185E-3</v>
      </c>
      <c r="M153" s="144" t="s">
        <v>280</v>
      </c>
      <c r="N153" s="12">
        <v>45682</v>
      </c>
      <c r="O153" s="12"/>
      <c r="P153" s="12">
        <v>45789</v>
      </c>
      <c r="Q153" s="12">
        <v>45520</v>
      </c>
      <c r="R153" s="2" t="s">
        <v>384</v>
      </c>
      <c r="S153" s="2" t="s">
        <v>376</v>
      </c>
      <c r="T153" s="149" t="s">
        <v>386</v>
      </c>
      <c r="U153" s="35"/>
      <c r="V153" s="93"/>
      <c r="W153" s="94">
        <f>Table2[[#This Row],[Construction Contract Amount]]+Table2[[#This Row],[Cumulative Variations]]</f>
        <v>0</v>
      </c>
      <c r="X153" s="35"/>
      <c r="Y153" s="93"/>
      <c r="Z153" s="94">
        <f>Table2[[#This Row],[Final Contract Value]]+Table2[[#This Row],[Supervision Contract amount]]+Table2[[#This Row],[Authority Cost]]</f>
        <v>0</v>
      </c>
      <c r="AA153" s="35"/>
      <c r="AB153" s="35"/>
      <c r="AC153" s="91" t="str">
        <f t="shared" si="7"/>
        <v>https://drive.google.com/thumbnail?id=1txs_xJtZSRV3s1r41GM6nzBz3ZapFemu&amp;sz=w1000</v>
      </c>
      <c r="AD153" s="88" t="s">
        <v>431</v>
      </c>
      <c r="AE153" s="74" t="str">
        <f t="shared" si="8"/>
        <v>https://drive.google.com/thumbnail?id=1sHpvQ8oEquSNbOS5urjlkBz79EG_gVnn&amp;sz=w1000</v>
      </c>
      <c r="AF153" s="88" t="s">
        <v>432</v>
      </c>
      <c r="AG153" s="73" t="str">
        <f t="shared" si="9"/>
        <v>https://drive.google.com/thumbnail?id=1f-lGcQWt6ANBmjBjmKSpaSIRJHeZxffC&amp;sz=w1000</v>
      </c>
      <c r="AH153" s="88" t="s">
        <v>433</v>
      </c>
    </row>
    <row r="154" spans="1:34" ht="22.15" customHeight="1">
      <c r="A154" s="30">
        <v>45516</v>
      </c>
      <c r="B154" s="17" t="s">
        <v>260</v>
      </c>
      <c r="C154" s="2" t="s">
        <v>262</v>
      </c>
      <c r="D154" s="16" t="str" cm="1">
        <f t="array" ref="D154">_xlfn.XLOOKUP(1, (Table1[Project Name]=Table2[[#This Row],[Project ID]])*(Table1[Plot]=Table2[[#This Row],[Plot]]), Table1[Project ID])</f>
        <v>SC-06</v>
      </c>
      <c r="E154" s="65">
        <v>219</v>
      </c>
      <c r="F154" s="66">
        <v>328</v>
      </c>
      <c r="G154" s="65">
        <f>Table2[[#This Row],[Time Elapsed]]+Table2[[#This Row],[Time Remaining]]</f>
        <v>547</v>
      </c>
      <c r="H154" s="2" t="s">
        <v>328</v>
      </c>
      <c r="I154" s="2" t="s">
        <v>295</v>
      </c>
      <c r="J154" s="13">
        <v>0.14829999999999999</v>
      </c>
      <c r="K154" s="148">
        <v>0.15040000000000001</v>
      </c>
      <c r="L154" s="13">
        <f>Table2[[#This Row],[Actual %]]-Table2[[#This Row],[Plan %]]</f>
        <v>2.1000000000000185E-3</v>
      </c>
      <c r="M154" s="144" t="s">
        <v>343</v>
      </c>
      <c r="N154" s="12">
        <v>45701</v>
      </c>
      <c r="O154" s="12"/>
      <c r="P154" s="12">
        <v>45799</v>
      </c>
      <c r="Q154" s="12">
        <v>45520</v>
      </c>
      <c r="R154" s="2" t="s">
        <v>384</v>
      </c>
      <c r="S154" s="2" t="s">
        <v>376</v>
      </c>
      <c r="T154" s="149" t="s">
        <v>386</v>
      </c>
      <c r="U154" s="35"/>
      <c r="V154" s="93"/>
      <c r="W154" s="94">
        <f>Table2[[#This Row],[Construction Contract Amount]]+Table2[[#This Row],[Cumulative Variations]]</f>
        <v>0</v>
      </c>
      <c r="X154" s="35"/>
      <c r="Y154" s="93"/>
      <c r="Z154" s="94">
        <f>Table2[[#This Row],[Final Contract Value]]+Table2[[#This Row],[Supervision Contract amount]]+Table2[[#This Row],[Authority Cost]]</f>
        <v>0</v>
      </c>
      <c r="AA154" s="35"/>
      <c r="AB154" s="35"/>
      <c r="AC154" s="91" t="str">
        <f t="shared" si="7"/>
        <v>https://drive.google.com/thumbnail?id=1txs_xJtZSRV3s1r41GM6nzBz3ZapFemu&amp;sz=w1000</v>
      </c>
      <c r="AD154" s="88" t="s">
        <v>431</v>
      </c>
      <c r="AE154" s="74" t="str">
        <f t="shared" si="8"/>
        <v>https://drive.google.com/thumbnail?id=1sHpvQ8oEquSNbOS5urjlkBz79EG_gVnn&amp;sz=w1000</v>
      </c>
      <c r="AF154" s="88" t="s">
        <v>432</v>
      </c>
      <c r="AG154" s="73" t="str">
        <f t="shared" si="9"/>
        <v>https://drive.google.com/thumbnail?id=1f-lGcQWt6ANBmjBjmKSpaSIRJHeZxffC&amp;sz=w1000</v>
      </c>
      <c r="AH154" s="88" t="s">
        <v>433</v>
      </c>
    </row>
    <row r="155" spans="1:34" ht="22.15" customHeight="1">
      <c r="A155" s="30">
        <v>45516</v>
      </c>
      <c r="B155" s="17" t="s">
        <v>260</v>
      </c>
      <c r="C155" s="2" t="s">
        <v>262</v>
      </c>
      <c r="D155" s="16" t="str" cm="1">
        <f t="array" ref="D155">_xlfn.XLOOKUP(1, (Table1[Project Name]=Table2[[#This Row],[Project ID]])*(Table1[Plot]=Table2[[#This Row],[Plot]]), Table1[Project ID])</f>
        <v>SC-06</v>
      </c>
      <c r="E155" s="65">
        <v>219</v>
      </c>
      <c r="F155" s="66">
        <v>328</v>
      </c>
      <c r="G155" s="65">
        <f>Table2[[#This Row],[Time Elapsed]]+Table2[[#This Row],[Time Remaining]]</f>
        <v>547</v>
      </c>
      <c r="H155" s="2" t="s">
        <v>328</v>
      </c>
      <c r="I155" s="2" t="s">
        <v>295</v>
      </c>
      <c r="J155" s="13">
        <v>0.14829999999999999</v>
      </c>
      <c r="K155" s="148">
        <v>0.15040000000000001</v>
      </c>
      <c r="L155" s="13">
        <f>Table2[[#This Row],[Actual %]]-Table2[[#This Row],[Plan %]]</f>
        <v>2.1000000000000185E-3</v>
      </c>
      <c r="M155" s="144" t="s">
        <v>344</v>
      </c>
      <c r="N155" s="12">
        <v>45720</v>
      </c>
      <c r="O155" s="12"/>
      <c r="P155" s="12">
        <v>45789</v>
      </c>
      <c r="Q155" s="12">
        <v>45520</v>
      </c>
      <c r="R155" s="2" t="s">
        <v>384</v>
      </c>
      <c r="S155" s="2" t="s">
        <v>376</v>
      </c>
      <c r="T155" s="149" t="s">
        <v>386</v>
      </c>
      <c r="U155" s="35"/>
      <c r="V155" s="93"/>
      <c r="W155" s="94">
        <f>Table2[[#This Row],[Construction Contract Amount]]+Table2[[#This Row],[Cumulative Variations]]</f>
        <v>0</v>
      </c>
      <c r="X155" s="35"/>
      <c r="Y155" s="93"/>
      <c r="Z155" s="94">
        <f>Table2[[#This Row],[Final Contract Value]]+Table2[[#This Row],[Supervision Contract amount]]+Table2[[#This Row],[Authority Cost]]</f>
        <v>0</v>
      </c>
      <c r="AA155" s="35"/>
      <c r="AB155" s="35"/>
      <c r="AC155" s="91" t="str">
        <f t="shared" si="7"/>
        <v>https://drive.google.com/thumbnail?id=1txs_xJtZSRV3s1r41GM6nzBz3ZapFemu&amp;sz=w1000</v>
      </c>
      <c r="AD155" s="88" t="s">
        <v>431</v>
      </c>
      <c r="AE155" s="74" t="str">
        <f t="shared" si="8"/>
        <v>https://drive.google.com/thumbnail?id=1sHpvQ8oEquSNbOS5urjlkBz79EG_gVnn&amp;sz=w1000</v>
      </c>
      <c r="AF155" s="88" t="s">
        <v>432</v>
      </c>
      <c r="AG155" s="73" t="str">
        <f t="shared" si="9"/>
        <v>https://drive.google.com/thumbnail?id=1f-lGcQWt6ANBmjBjmKSpaSIRJHeZxffC&amp;sz=w1000</v>
      </c>
      <c r="AH155" s="88" t="s">
        <v>433</v>
      </c>
    </row>
    <row r="156" spans="1:34" ht="22.15" customHeight="1">
      <c r="A156" s="30">
        <v>45516</v>
      </c>
      <c r="B156" s="17" t="s">
        <v>260</v>
      </c>
      <c r="C156" s="2" t="s">
        <v>262</v>
      </c>
      <c r="D156" s="16" t="str" cm="1">
        <f t="array" ref="D156">_xlfn.XLOOKUP(1, (Table1[Project Name]=Table2[[#This Row],[Project ID]])*(Table1[Plot]=Table2[[#This Row],[Plot]]), Table1[Project ID])</f>
        <v>SC-06</v>
      </c>
      <c r="E156" s="65">
        <v>219</v>
      </c>
      <c r="F156" s="66">
        <v>328</v>
      </c>
      <c r="G156" s="65">
        <f>Table2[[#This Row],[Time Elapsed]]+Table2[[#This Row],[Time Remaining]]</f>
        <v>547</v>
      </c>
      <c r="H156" s="2" t="s">
        <v>328</v>
      </c>
      <c r="I156" s="2" t="s">
        <v>295</v>
      </c>
      <c r="J156" s="13">
        <v>0.14829999999999999</v>
      </c>
      <c r="K156" s="148">
        <v>0.15040000000000001</v>
      </c>
      <c r="L156" s="13">
        <f>Table2[[#This Row],[Actual %]]-Table2[[#This Row],[Plan %]]</f>
        <v>2.1000000000000185E-3</v>
      </c>
      <c r="M156" s="144" t="s">
        <v>302</v>
      </c>
      <c r="N156" s="12">
        <v>45733</v>
      </c>
      <c r="O156" s="12"/>
      <c r="P156" s="12">
        <v>45833</v>
      </c>
      <c r="Q156" s="12">
        <v>45520</v>
      </c>
      <c r="R156" s="2" t="s">
        <v>384</v>
      </c>
      <c r="S156" s="2" t="s">
        <v>376</v>
      </c>
      <c r="T156" s="149" t="s">
        <v>386</v>
      </c>
      <c r="U156" s="35"/>
      <c r="V156" s="93"/>
      <c r="W156" s="94">
        <f>Table2[[#This Row],[Construction Contract Amount]]+Table2[[#This Row],[Cumulative Variations]]</f>
        <v>0</v>
      </c>
      <c r="X156" s="35"/>
      <c r="Y156" s="93"/>
      <c r="Z156" s="94">
        <f>Table2[[#This Row],[Final Contract Value]]+Table2[[#This Row],[Supervision Contract amount]]+Table2[[#This Row],[Authority Cost]]</f>
        <v>0</v>
      </c>
      <c r="AA156" s="35"/>
      <c r="AB156" s="35"/>
      <c r="AC156" s="91" t="str">
        <f t="shared" si="7"/>
        <v>https://drive.google.com/thumbnail?id=1txs_xJtZSRV3s1r41GM6nzBz3ZapFemu&amp;sz=w1000</v>
      </c>
      <c r="AD156" s="88" t="s">
        <v>431</v>
      </c>
      <c r="AE156" s="74" t="str">
        <f t="shared" si="8"/>
        <v>https://drive.google.com/thumbnail?id=1sHpvQ8oEquSNbOS5urjlkBz79EG_gVnn&amp;sz=w1000</v>
      </c>
      <c r="AF156" s="88" t="s">
        <v>432</v>
      </c>
      <c r="AG156" s="73" t="str">
        <f t="shared" si="9"/>
        <v>https://drive.google.com/thumbnail?id=1f-lGcQWt6ANBmjBjmKSpaSIRJHeZxffC&amp;sz=w1000</v>
      </c>
      <c r="AH156" s="88" t="s">
        <v>433</v>
      </c>
    </row>
    <row r="157" spans="1:34" ht="22.15" customHeight="1">
      <c r="A157" s="31">
        <v>45516</v>
      </c>
      <c r="B157" s="24" t="s">
        <v>264</v>
      </c>
      <c r="C157" s="2" t="s">
        <v>266</v>
      </c>
      <c r="D157" s="16" t="str" cm="1">
        <f t="array" ref="D157">_xlfn.XLOOKUP(1, (Table1[Project Name]=Table2[[#This Row],[Project ID]])*(Table1[Plot]=Table2[[#This Row],[Plot]]), Table1[Project ID])</f>
        <v>SC-07</v>
      </c>
      <c r="E157" s="67">
        <v>219</v>
      </c>
      <c r="F157" s="68">
        <v>328</v>
      </c>
      <c r="G157" s="67">
        <f>Table2[[#This Row],[Time Elapsed]]+Table2[[#This Row],[Time Remaining]]</f>
        <v>547</v>
      </c>
      <c r="H157" s="2" t="s">
        <v>329</v>
      </c>
      <c r="I157" s="2" t="s">
        <v>295</v>
      </c>
      <c r="J157" s="13">
        <v>0.14829999999999999</v>
      </c>
      <c r="K157" s="148">
        <v>0.19350000000000001</v>
      </c>
      <c r="L157" s="13">
        <f>Table2[[#This Row],[Actual %]]-Table2[[#This Row],[Plan %]]</f>
        <v>4.5200000000000018E-2</v>
      </c>
      <c r="M157" s="144" t="s">
        <v>285</v>
      </c>
      <c r="N157" s="12">
        <v>45187</v>
      </c>
      <c r="O157" s="12">
        <v>45195</v>
      </c>
      <c r="P157" s="12"/>
      <c r="Q157" s="12">
        <v>45520</v>
      </c>
      <c r="R157" s="2" t="s">
        <v>381</v>
      </c>
      <c r="S157" s="2" t="s">
        <v>376</v>
      </c>
      <c r="T157" s="149" t="s">
        <v>387</v>
      </c>
      <c r="U157" s="35"/>
      <c r="V157" s="93"/>
      <c r="W157" s="94">
        <f>Table2[[#This Row],[Construction Contract Amount]]+Table2[[#This Row],[Cumulative Variations]]</f>
        <v>0</v>
      </c>
      <c r="X157" s="35"/>
      <c r="Y157" s="93"/>
      <c r="Z157" s="94">
        <f>Table2[[#This Row],[Final Contract Value]]+Table2[[#This Row],[Supervision Contract amount]]+Table2[[#This Row],[Authority Cost]]</f>
        <v>0</v>
      </c>
      <c r="AA157" s="35"/>
      <c r="AB157" s="35"/>
      <c r="AC157" s="91" t="str">
        <f t="shared" si="7"/>
        <v>https://drive.google.com/thumbnail?id=14L_MyL0E1NhkfD2UE0lu92Vn4JYniGzV&amp;sz=w1000</v>
      </c>
      <c r="AD157" s="89" t="s">
        <v>434</v>
      </c>
      <c r="AE157" s="74" t="str">
        <f t="shared" si="8"/>
        <v>https://drive.google.com/thumbnail?id=1ev6SB5Xmz8kTZkmVUzuxOMvRBzuRZDZn&amp;sz=w1000</v>
      </c>
      <c r="AF157" s="89" t="s">
        <v>435</v>
      </c>
      <c r="AG157" s="73" t="str">
        <f t="shared" si="9"/>
        <v>https://drive.google.com/thumbnail?id=16qjAofdO5jTUaZwIB_r0x5yIDWAJWjtC&amp;sz=w1000</v>
      </c>
      <c r="AH157" s="89" t="s">
        <v>436</v>
      </c>
    </row>
    <row r="158" spans="1:34" ht="22.15" customHeight="1">
      <c r="A158" s="31">
        <v>45516</v>
      </c>
      <c r="B158" s="24" t="s">
        <v>264</v>
      </c>
      <c r="C158" s="2" t="s">
        <v>266</v>
      </c>
      <c r="D158" s="16" t="str" cm="1">
        <f t="array" ref="D158">_xlfn.XLOOKUP(1, (Table1[Project Name]=Table2[[#This Row],[Project ID]])*(Table1[Plot]=Table2[[#This Row],[Plot]]), Table1[Project ID])</f>
        <v>SC-07</v>
      </c>
      <c r="E158" s="67">
        <v>219</v>
      </c>
      <c r="F158" s="68">
        <v>328</v>
      </c>
      <c r="G158" s="67">
        <f>Table2[[#This Row],[Time Elapsed]]+Table2[[#This Row],[Time Remaining]]</f>
        <v>547</v>
      </c>
      <c r="H158" s="2" t="s">
        <v>329</v>
      </c>
      <c r="I158" s="2" t="s">
        <v>295</v>
      </c>
      <c r="J158" s="13">
        <v>0.14829999999999999</v>
      </c>
      <c r="K158" s="148">
        <v>0.19350000000000001</v>
      </c>
      <c r="L158" s="13">
        <f>Table2[[#This Row],[Actual %]]-Table2[[#This Row],[Plan %]]</f>
        <v>4.5200000000000018E-2</v>
      </c>
      <c r="M158" s="144" t="s">
        <v>51</v>
      </c>
      <c r="N158" s="12">
        <v>45220</v>
      </c>
      <c r="O158" s="12">
        <v>45304</v>
      </c>
      <c r="P158" s="12"/>
      <c r="Q158" s="12">
        <v>45520</v>
      </c>
      <c r="R158" s="2" t="s">
        <v>381</v>
      </c>
      <c r="S158" s="2" t="s">
        <v>376</v>
      </c>
      <c r="T158" s="149" t="s">
        <v>387</v>
      </c>
      <c r="U158" s="35"/>
      <c r="V158" s="93"/>
      <c r="W158" s="94">
        <f>Table2[[#This Row],[Construction Contract Amount]]+Table2[[#This Row],[Cumulative Variations]]</f>
        <v>0</v>
      </c>
      <c r="X158" s="35"/>
      <c r="Y158" s="93"/>
      <c r="Z158" s="94">
        <f>Table2[[#This Row],[Final Contract Value]]+Table2[[#This Row],[Supervision Contract amount]]+Table2[[#This Row],[Authority Cost]]</f>
        <v>0</v>
      </c>
      <c r="AA158" s="35"/>
      <c r="AB158" s="35"/>
      <c r="AC158" s="91" t="str">
        <f t="shared" si="7"/>
        <v>https://drive.google.com/thumbnail?id=14L_MyL0E1NhkfD2UE0lu92Vn4JYniGzV&amp;sz=w1000</v>
      </c>
      <c r="AD158" s="89" t="s">
        <v>434</v>
      </c>
      <c r="AE158" s="74" t="str">
        <f t="shared" si="8"/>
        <v>https://drive.google.com/thumbnail?id=1ev6SB5Xmz8kTZkmVUzuxOMvRBzuRZDZn&amp;sz=w1000</v>
      </c>
      <c r="AF158" s="89" t="s">
        <v>435</v>
      </c>
      <c r="AG158" s="73" t="str">
        <f t="shared" si="9"/>
        <v>https://drive.google.com/thumbnail?id=16qjAofdO5jTUaZwIB_r0x5yIDWAJWjtC&amp;sz=w1000</v>
      </c>
      <c r="AH158" s="89" t="s">
        <v>436</v>
      </c>
    </row>
    <row r="159" spans="1:34" ht="22.15" customHeight="1">
      <c r="A159" s="31">
        <v>45516</v>
      </c>
      <c r="B159" s="24" t="s">
        <v>264</v>
      </c>
      <c r="C159" s="2" t="s">
        <v>266</v>
      </c>
      <c r="D159" s="16" t="str" cm="1">
        <f t="array" ref="D159">_xlfn.XLOOKUP(1, (Table1[Project Name]=Table2[[#This Row],[Project ID]])*(Table1[Plot]=Table2[[#This Row],[Plot]]), Table1[Project ID])</f>
        <v>SC-07</v>
      </c>
      <c r="E159" s="67">
        <v>219</v>
      </c>
      <c r="F159" s="68">
        <v>328</v>
      </c>
      <c r="G159" s="67">
        <f>Table2[[#This Row],[Time Elapsed]]+Table2[[#This Row],[Time Remaining]]</f>
        <v>547</v>
      </c>
      <c r="H159" s="2" t="s">
        <v>329</v>
      </c>
      <c r="I159" s="2" t="s">
        <v>295</v>
      </c>
      <c r="J159" s="13">
        <v>0.14829999999999999</v>
      </c>
      <c r="K159" s="148">
        <v>0.19350000000000001</v>
      </c>
      <c r="L159" s="13">
        <f>Table2[[#This Row],[Actual %]]-Table2[[#This Row],[Plan %]]</f>
        <v>4.5200000000000018E-2</v>
      </c>
      <c r="M159" s="144" t="s">
        <v>287</v>
      </c>
      <c r="N159" s="12">
        <v>45429</v>
      </c>
      <c r="O159" s="12">
        <v>45439</v>
      </c>
      <c r="P159" s="12"/>
      <c r="Q159" s="12">
        <v>45520</v>
      </c>
      <c r="R159" s="2" t="s">
        <v>381</v>
      </c>
      <c r="S159" s="2" t="s">
        <v>376</v>
      </c>
      <c r="T159" s="149" t="s">
        <v>387</v>
      </c>
      <c r="U159" s="35"/>
      <c r="V159" s="36"/>
      <c r="W159" s="36">
        <f>Table2[[#This Row],[Construction Contract Amount]]+Table2[[#This Row],[Cumulative Variations]]</f>
        <v>0</v>
      </c>
      <c r="X159" s="36"/>
      <c r="Y159" s="36"/>
      <c r="Z159" s="36">
        <f>Table2[[#This Row],[Final Contract Value]]+Table2[[#This Row],[Supervision Contract amount]]+Table2[[#This Row],[Authority Cost]]</f>
        <v>0</v>
      </c>
      <c r="AA159" s="36"/>
      <c r="AB159" s="36"/>
      <c r="AC159" s="91" t="str">
        <f t="shared" si="7"/>
        <v>https://drive.google.com/thumbnail?id=14L_MyL0E1NhkfD2UE0lu92Vn4JYniGzV&amp;sz=w1000</v>
      </c>
      <c r="AD159" s="89" t="s">
        <v>434</v>
      </c>
      <c r="AE159" s="74" t="str">
        <f t="shared" si="8"/>
        <v>https://drive.google.com/thumbnail?id=1ev6SB5Xmz8kTZkmVUzuxOMvRBzuRZDZn&amp;sz=w1000</v>
      </c>
      <c r="AF159" s="89" t="s">
        <v>435</v>
      </c>
      <c r="AG159" s="73" t="str">
        <f t="shared" si="9"/>
        <v>https://drive.google.com/thumbnail?id=16qjAofdO5jTUaZwIB_r0x5yIDWAJWjtC&amp;sz=w1000</v>
      </c>
      <c r="AH159" s="89" t="s">
        <v>436</v>
      </c>
    </row>
    <row r="160" spans="1:34" ht="22.15" customHeight="1">
      <c r="A160" s="31">
        <v>45516</v>
      </c>
      <c r="B160" s="24" t="s">
        <v>264</v>
      </c>
      <c r="C160" s="2" t="s">
        <v>266</v>
      </c>
      <c r="D160" s="16" t="str" cm="1">
        <f t="array" ref="D160">_xlfn.XLOOKUP(1, (Table1[Project Name]=Table2[[#This Row],[Project ID]])*(Table1[Plot]=Table2[[#This Row],[Plot]]), Table1[Project ID])</f>
        <v>SC-07</v>
      </c>
      <c r="E160" s="67">
        <v>219</v>
      </c>
      <c r="F160" s="68">
        <v>328</v>
      </c>
      <c r="G160" s="67">
        <f>Table2[[#This Row],[Time Elapsed]]+Table2[[#This Row],[Time Remaining]]</f>
        <v>547</v>
      </c>
      <c r="H160" s="2" t="s">
        <v>329</v>
      </c>
      <c r="I160" s="2" t="s">
        <v>295</v>
      </c>
      <c r="J160" s="13">
        <v>0.14829999999999999</v>
      </c>
      <c r="K160" s="148">
        <v>0.19350000000000001</v>
      </c>
      <c r="L160" s="13">
        <f>Table2[[#This Row],[Actual %]]-Table2[[#This Row],[Plan %]]</f>
        <v>4.5200000000000018E-2</v>
      </c>
      <c r="M160" s="144" t="s">
        <v>300</v>
      </c>
      <c r="N160" s="12">
        <v>45433</v>
      </c>
      <c r="O160" s="12">
        <v>45516</v>
      </c>
      <c r="P160" s="12"/>
      <c r="Q160" s="12">
        <v>45520</v>
      </c>
      <c r="R160" s="2" t="s">
        <v>381</v>
      </c>
      <c r="S160" s="2" t="s">
        <v>376</v>
      </c>
      <c r="T160" s="149" t="s">
        <v>387</v>
      </c>
      <c r="U160" s="35"/>
      <c r="V160" s="36"/>
      <c r="W160" s="36">
        <f>Table2[[#This Row],[Construction Contract Amount]]+Table2[[#This Row],[Cumulative Variations]]</f>
        <v>0</v>
      </c>
      <c r="X160" s="36"/>
      <c r="Y160" s="36"/>
      <c r="Z160" s="36">
        <f>Table2[[#This Row],[Final Contract Value]]+Table2[[#This Row],[Supervision Contract amount]]+Table2[[#This Row],[Authority Cost]]</f>
        <v>0</v>
      </c>
      <c r="AA160" s="36"/>
      <c r="AB160" s="36"/>
      <c r="AC160" s="91" t="str">
        <f t="shared" si="7"/>
        <v>https://drive.google.com/thumbnail?id=14L_MyL0E1NhkfD2UE0lu92Vn4JYniGzV&amp;sz=w1000</v>
      </c>
      <c r="AD160" s="89" t="s">
        <v>434</v>
      </c>
      <c r="AE160" s="74" t="str">
        <f t="shared" si="8"/>
        <v>https://drive.google.com/thumbnail?id=1ev6SB5Xmz8kTZkmVUzuxOMvRBzuRZDZn&amp;sz=w1000</v>
      </c>
      <c r="AF160" s="89" t="s">
        <v>435</v>
      </c>
      <c r="AG160" s="73" t="str">
        <f t="shared" si="9"/>
        <v>https://drive.google.com/thumbnail?id=16qjAofdO5jTUaZwIB_r0x5yIDWAJWjtC&amp;sz=w1000</v>
      </c>
      <c r="AH160" s="89" t="s">
        <v>436</v>
      </c>
    </row>
    <row r="161" spans="1:34" ht="22.15" customHeight="1">
      <c r="A161" s="31">
        <v>45516</v>
      </c>
      <c r="B161" s="24" t="s">
        <v>264</v>
      </c>
      <c r="C161" s="2" t="s">
        <v>266</v>
      </c>
      <c r="D161" s="16" t="str" cm="1">
        <f t="array" ref="D161">_xlfn.XLOOKUP(1, (Table1[Project Name]=Table2[[#This Row],[Project ID]])*(Table1[Plot]=Table2[[#This Row],[Plot]]), Table1[Project ID])</f>
        <v>SC-07</v>
      </c>
      <c r="E161" s="67">
        <v>219</v>
      </c>
      <c r="F161" s="68">
        <v>328</v>
      </c>
      <c r="G161" s="67">
        <f>Table2[[#This Row],[Time Elapsed]]+Table2[[#This Row],[Time Remaining]]</f>
        <v>547</v>
      </c>
      <c r="H161" s="2" t="s">
        <v>329</v>
      </c>
      <c r="I161" s="2" t="s">
        <v>295</v>
      </c>
      <c r="J161" s="13">
        <v>0.14829999999999999</v>
      </c>
      <c r="K161" s="148">
        <v>0.19350000000000001</v>
      </c>
      <c r="L161" s="13">
        <f>Table2[[#This Row],[Actual %]]-Table2[[#This Row],[Plan %]]</f>
        <v>4.5200000000000018E-2</v>
      </c>
      <c r="M161" s="144" t="s">
        <v>301</v>
      </c>
      <c r="N161" s="12">
        <v>45596</v>
      </c>
      <c r="O161" s="12"/>
      <c r="P161" s="12">
        <v>45671</v>
      </c>
      <c r="Q161" s="12">
        <v>45520</v>
      </c>
      <c r="R161" s="2" t="s">
        <v>381</v>
      </c>
      <c r="S161" s="2" t="s">
        <v>376</v>
      </c>
      <c r="T161" s="149" t="s">
        <v>387</v>
      </c>
      <c r="U161" s="35"/>
      <c r="V161" s="36"/>
      <c r="W161" s="36">
        <f>Table2[[#This Row],[Construction Contract Amount]]+Table2[[#This Row],[Cumulative Variations]]</f>
        <v>0</v>
      </c>
      <c r="X161" s="36"/>
      <c r="Y161" s="36"/>
      <c r="Z161" s="36">
        <f>Table2[[#This Row],[Final Contract Value]]+Table2[[#This Row],[Supervision Contract amount]]+Table2[[#This Row],[Authority Cost]]</f>
        <v>0</v>
      </c>
      <c r="AA161" s="36"/>
      <c r="AB161" s="36"/>
      <c r="AC161" s="91" t="str">
        <f t="shared" si="7"/>
        <v>https://drive.google.com/thumbnail?id=14L_MyL0E1NhkfD2UE0lu92Vn4JYniGzV&amp;sz=w1000</v>
      </c>
      <c r="AD161" s="89" t="s">
        <v>434</v>
      </c>
      <c r="AE161" s="74" t="str">
        <f t="shared" si="8"/>
        <v>https://drive.google.com/thumbnail?id=1ev6SB5Xmz8kTZkmVUzuxOMvRBzuRZDZn&amp;sz=w1000</v>
      </c>
      <c r="AF161" s="89" t="s">
        <v>435</v>
      </c>
      <c r="AG161" s="73" t="str">
        <f t="shared" si="9"/>
        <v>https://drive.google.com/thumbnail?id=16qjAofdO5jTUaZwIB_r0x5yIDWAJWjtC&amp;sz=w1000</v>
      </c>
      <c r="AH161" s="89" t="s">
        <v>436</v>
      </c>
    </row>
    <row r="162" spans="1:34" ht="22.15" customHeight="1">
      <c r="A162" s="31">
        <v>45516</v>
      </c>
      <c r="B162" s="24" t="s">
        <v>264</v>
      </c>
      <c r="C162" s="2" t="s">
        <v>266</v>
      </c>
      <c r="D162" s="16" t="str" cm="1">
        <f t="array" ref="D162">_xlfn.XLOOKUP(1, (Table1[Project Name]=Table2[[#This Row],[Project ID]])*(Table1[Plot]=Table2[[#This Row],[Plot]]), Table1[Project ID])</f>
        <v>SC-07</v>
      </c>
      <c r="E162" s="67">
        <v>219</v>
      </c>
      <c r="F162" s="68">
        <v>328</v>
      </c>
      <c r="G162" s="67">
        <f>Table2[[#This Row],[Time Elapsed]]+Table2[[#This Row],[Time Remaining]]</f>
        <v>547</v>
      </c>
      <c r="H162" s="2" t="s">
        <v>329</v>
      </c>
      <c r="I162" s="2" t="s">
        <v>295</v>
      </c>
      <c r="J162" s="13">
        <v>0.14829999999999999</v>
      </c>
      <c r="K162" s="148">
        <v>0.19350000000000001</v>
      </c>
      <c r="L162" s="13">
        <f>Table2[[#This Row],[Actual %]]-Table2[[#This Row],[Plan %]]</f>
        <v>4.5200000000000018E-2</v>
      </c>
      <c r="M162" s="144" t="s">
        <v>280</v>
      </c>
      <c r="N162" s="12">
        <v>45682</v>
      </c>
      <c r="O162" s="12"/>
      <c r="P162" s="12">
        <v>45789</v>
      </c>
      <c r="Q162" s="12">
        <v>45520</v>
      </c>
      <c r="R162" s="2" t="s">
        <v>381</v>
      </c>
      <c r="S162" s="2" t="s">
        <v>376</v>
      </c>
      <c r="T162" s="149" t="s">
        <v>387</v>
      </c>
      <c r="U162" s="35"/>
      <c r="V162" s="36"/>
      <c r="W162" s="36">
        <f>Table2[[#This Row],[Construction Contract Amount]]+Table2[[#This Row],[Cumulative Variations]]</f>
        <v>0</v>
      </c>
      <c r="X162" s="36"/>
      <c r="Y162" s="36"/>
      <c r="Z162" s="36">
        <f>Table2[[#This Row],[Final Contract Value]]+Table2[[#This Row],[Supervision Contract amount]]+Table2[[#This Row],[Authority Cost]]</f>
        <v>0</v>
      </c>
      <c r="AA162" s="36"/>
      <c r="AB162" s="36"/>
      <c r="AC162" s="91" t="str">
        <f t="shared" si="7"/>
        <v>https://drive.google.com/thumbnail?id=14L_MyL0E1NhkfD2UE0lu92Vn4JYniGzV&amp;sz=w1000</v>
      </c>
      <c r="AD162" s="89" t="s">
        <v>434</v>
      </c>
      <c r="AE162" s="74" t="str">
        <f t="shared" si="8"/>
        <v>https://drive.google.com/thumbnail?id=1ev6SB5Xmz8kTZkmVUzuxOMvRBzuRZDZn&amp;sz=w1000</v>
      </c>
      <c r="AF162" s="89" t="s">
        <v>435</v>
      </c>
      <c r="AG162" s="73" t="str">
        <f t="shared" si="9"/>
        <v>https://drive.google.com/thumbnail?id=16qjAofdO5jTUaZwIB_r0x5yIDWAJWjtC&amp;sz=w1000</v>
      </c>
      <c r="AH162" s="89" t="s">
        <v>436</v>
      </c>
    </row>
    <row r="163" spans="1:34" ht="22.15" customHeight="1">
      <c r="A163" s="31">
        <v>45516</v>
      </c>
      <c r="B163" s="24" t="s">
        <v>264</v>
      </c>
      <c r="C163" s="2" t="s">
        <v>266</v>
      </c>
      <c r="D163" s="16" t="str" cm="1">
        <f t="array" ref="D163">_xlfn.XLOOKUP(1, (Table1[Project Name]=Table2[[#This Row],[Project ID]])*(Table1[Plot]=Table2[[#This Row],[Plot]]), Table1[Project ID])</f>
        <v>SC-07</v>
      </c>
      <c r="E163" s="67">
        <v>219</v>
      </c>
      <c r="F163" s="68">
        <v>328</v>
      </c>
      <c r="G163" s="67">
        <f>Table2[[#This Row],[Time Elapsed]]+Table2[[#This Row],[Time Remaining]]</f>
        <v>547</v>
      </c>
      <c r="H163" s="2" t="s">
        <v>329</v>
      </c>
      <c r="I163" s="2" t="s">
        <v>295</v>
      </c>
      <c r="J163" s="13">
        <v>0.14829999999999999</v>
      </c>
      <c r="K163" s="148">
        <v>0.19350000000000001</v>
      </c>
      <c r="L163" s="13">
        <f>Table2[[#This Row],[Actual %]]-Table2[[#This Row],[Plan %]]</f>
        <v>4.5200000000000018E-2</v>
      </c>
      <c r="M163" s="144" t="s">
        <v>343</v>
      </c>
      <c r="N163" s="12">
        <v>45701</v>
      </c>
      <c r="O163" s="12"/>
      <c r="P163" s="12">
        <v>45799</v>
      </c>
      <c r="Q163" s="12">
        <v>45520</v>
      </c>
      <c r="R163" s="2" t="s">
        <v>381</v>
      </c>
      <c r="S163" s="2" t="s">
        <v>376</v>
      </c>
      <c r="T163" s="149" t="s">
        <v>387</v>
      </c>
      <c r="U163" s="35"/>
      <c r="V163" s="36"/>
      <c r="W163" s="36">
        <f>Table2[[#This Row],[Construction Contract Amount]]+Table2[[#This Row],[Cumulative Variations]]</f>
        <v>0</v>
      </c>
      <c r="X163" s="36"/>
      <c r="Y163" s="36"/>
      <c r="Z163" s="36">
        <f>Table2[[#This Row],[Final Contract Value]]+Table2[[#This Row],[Supervision Contract amount]]+Table2[[#This Row],[Authority Cost]]</f>
        <v>0</v>
      </c>
      <c r="AA163" s="36"/>
      <c r="AB163" s="36"/>
      <c r="AC163" s="91" t="str">
        <f t="shared" si="7"/>
        <v>https://drive.google.com/thumbnail?id=14L_MyL0E1NhkfD2UE0lu92Vn4JYniGzV&amp;sz=w1000</v>
      </c>
      <c r="AD163" s="89" t="s">
        <v>434</v>
      </c>
      <c r="AE163" s="74" t="str">
        <f t="shared" si="8"/>
        <v>https://drive.google.com/thumbnail?id=1ev6SB5Xmz8kTZkmVUzuxOMvRBzuRZDZn&amp;sz=w1000</v>
      </c>
      <c r="AF163" s="89" t="s">
        <v>435</v>
      </c>
      <c r="AG163" s="73" t="str">
        <f t="shared" si="9"/>
        <v>https://drive.google.com/thumbnail?id=16qjAofdO5jTUaZwIB_r0x5yIDWAJWjtC&amp;sz=w1000</v>
      </c>
      <c r="AH163" s="89" t="s">
        <v>436</v>
      </c>
    </row>
    <row r="164" spans="1:34" ht="22.15" customHeight="1">
      <c r="A164" s="31">
        <v>45516</v>
      </c>
      <c r="B164" s="24" t="s">
        <v>264</v>
      </c>
      <c r="C164" s="2" t="s">
        <v>266</v>
      </c>
      <c r="D164" s="16" t="str" cm="1">
        <f t="array" ref="D164">_xlfn.XLOOKUP(1, (Table1[Project Name]=Table2[[#This Row],[Project ID]])*(Table1[Plot]=Table2[[#This Row],[Plot]]), Table1[Project ID])</f>
        <v>SC-07</v>
      </c>
      <c r="E164" s="67">
        <v>219</v>
      </c>
      <c r="F164" s="68">
        <v>328</v>
      </c>
      <c r="G164" s="67">
        <f>Table2[[#This Row],[Time Elapsed]]+Table2[[#This Row],[Time Remaining]]</f>
        <v>547</v>
      </c>
      <c r="H164" s="2" t="s">
        <v>329</v>
      </c>
      <c r="I164" s="2" t="s">
        <v>295</v>
      </c>
      <c r="J164" s="13">
        <v>0.14829999999999999</v>
      </c>
      <c r="K164" s="148">
        <v>0.19350000000000001</v>
      </c>
      <c r="L164" s="13">
        <f>Table2[[#This Row],[Actual %]]-Table2[[#This Row],[Plan %]]</f>
        <v>4.5200000000000018E-2</v>
      </c>
      <c r="M164" s="144" t="s">
        <v>344</v>
      </c>
      <c r="N164" s="12">
        <v>45720</v>
      </c>
      <c r="O164" s="12"/>
      <c r="P164" s="12">
        <v>45820</v>
      </c>
      <c r="Q164" s="12">
        <v>45520</v>
      </c>
      <c r="R164" s="2" t="s">
        <v>381</v>
      </c>
      <c r="S164" s="2" t="s">
        <v>376</v>
      </c>
      <c r="T164" s="149" t="s">
        <v>387</v>
      </c>
      <c r="U164" s="35"/>
      <c r="V164" s="36"/>
      <c r="W164" s="36">
        <f>Table2[[#This Row],[Construction Contract Amount]]+Table2[[#This Row],[Cumulative Variations]]</f>
        <v>0</v>
      </c>
      <c r="X164" s="36"/>
      <c r="Y164" s="36"/>
      <c r="Z164" s="36">
        <f>Table2[[#This Row],[Final Contract Value]]+Table2[[#This Row],[Supervision Contract amount]]+Table2[[#This Row],[Authority Cost]]</f>
        <v>0</v>
      </c>
      <c r="AA164" s="36"/>
      <c r="AB164" s="36"/>
      <c r="AC164" s="91" t="str">
        <f t="shared" si="7"/>
        <v>https://drive.google.com/thumbnail?id=14L_MyL0E1NhkfD2UE0lu92Vn4JYniGzV&amp;sz=w1000</v>
      </c>
      <c r="AD164" s="89" t="s">
        <v>434</v>
      </c>
      <c r="AE164" s="74" t="str">
        <f t="shared" si="8"/>
        <v>https://drive.google.com/thumbnail?id=1ev6SB5Xmz8kTZkmVUzuxOMvRBzuRZDZn&amp;sz=w1000</v>
      </c>
      <c r="AF164" s="89" t="s">
        <v>435</v>
      </c>
      <c r="AG164" s="73" t="str">
        <f t="shared" si="9"/>
        <v>https://drive.google.com/thumbnail?id=16qjAofdO5jTUaZwIB_r0x5yIDWAJWjtC&amp;sz=w1000</v>
      </c>
      <c r="AH164" s="89" t="s">
        <v>436</v>
      </c>
    </row>
    <row r="165" spans="1:34" ht="22.15" customHeight="1">
      <c r="A165" s="31">
        <v>45516</v>
      </c>
      <c r="B165" s="24" t="s">
        <v>264</v>
      </c>
      <c r="C165" s="2" t="s">
        <v>266</v>
      </c>
      <c r="D165" s="16" t="str" cm="1">
        <f t="array" ref="D165">_xlfn.XLOOKUP(1, (Table1[Project Name]=Table2[[#This Row],[Project ID]])*(Table1[Plot]=Table2[[#This Row],[Plot]]), Table1[Project ID])</f>
        <v>SC-07</v>
      </c>
      <c r="E165" s="67">
        <v>219</v>
      </c>
      <c r="F165" s="68">
        <v>328</v>
      </c>
      <c r="G165" s="67">
        <f>Table2[[#This Row],[Time Elapsed]]+Table2[[#This Row],[Time Remaining]]</f>
        <v>547</v>
      </c>
      <c r="H165" s="2" t="s">
        <v>329</v>
      </c>
      <c r="I165" s="2" t="s">
        <v>295</v>
      </c>
      <c r="J165" s="13">
        <v>0.14829999999999999</v>
      </c>
      <c r="K165" s="148">
        <v>0.19350000000000001</v>
      </c>
      <c r="L165" s="13">
        <f>Table2[[#This Row],[Actual %]]-Table2[[#This Row],[Plan %]]</f>
        <v>4.5200000000000018E-2</v>
      </c>
      <c r="M165" s="144" t="s">
        <v>302</v>
      </c>
      <c r="N165" s="12">
        <v>45733</v>
      </c>
      <c r="O165" s="12"/>
      <c r="P165" s="12">
        <v>45833</v>
      </c>
      <c r="Q165" s="12">
        <v>45520</v>
      </c>
      <c r="R165" s="2" t="s">
        <v>381</v>
      </c>
      <c r="S165" s="2" t="s">
        <v>376</v>
      </c>
      <c r="T165" s="149" t="s">
        <v>387</v>
      </c>
      <c r="U165" s="35"/>
      <c r="V165" s="36"/>
      <c r="W165" s="36">
        <f>Table2[[#This Row],[Construction Contract Amount]]+Table2[[#This Row],[Cumulative Variations]]</f>
        <v>0</v>
      </c>
      <c r="X165" s="36"/>
      <c r="Y165" s="36"/>
      <c r="Z165" s="36">
        <f>Table2[[#This Row],[Final Contract Value]]+Table2[[#This Row],[Supervision Contract amount]]+Table2[[#This Row],[Authority Cost]]</f>
        <v>0</v>
      </c>
      <c r="AA165" s="36"/>
      <c r="AB165" s="36"/>
      <c r="AC165" s="91" t="str">
        <f t="shared" si="7"/>
        <v>https://drive.google.com/thumbnail?id=14L_MyL0E1NhkfD2UE0lu92Vn4JYniGzV&amp;sz=w1000</v>
      </c>
      <c r="AD165" s="89" t="s">
        <v>434</v>
      </c>
      <c r="AE165" s="74" t="str">
        <f t="shared" si="8"/>
        <v>https://drive.google.com/thumbnail?id=1ev6SB5Xmz8kTZkmVUzuxOMvRBzuRZDZn&amp;sz=w1000</v>
      </c>
      <c r="AF165" s="89" t="s">
        <v>435</v>
      </c>
      <c r="AG165" s="73" t="str">
        <f t="shared" si="9"/>
        <v>https://drive.google.com/thumbnail?id=16qjAofdO5jTUaZwIB_r0x5yIDWAJWjtC&amp;sz=w1000</v>
      </c>
      <c r="AH165" s="89" t="s">
        <v>436</v>
      </c>
    </row>
    <row r="166" spans="1:34" ht="22.15" customHeight="1">
      <c r="A166" s="32">
        <v>45516</v>
      </c>
      <c r="B166" s="24" t="s">
        <v>255</v>
      </c>
      <c r="C166" s="2" t="s">
        <v>258</v>
      </c>
      <c r="D166" s="16" t="str" cm="1">
        <f t="array" ref="D166">_xlfn.XLOOKUP(1, (Table1[Project Name]=Table2[[#This Row],[Project ID]])*(Table1[Plot]=Table2[[#This Row],[Plot]]), Table1[Project ID])</f>
        <v>SC-05</v>
      </c>
      <c r="E166" s="69">
        <v>219</v>
      </c>
      <c r="F166" s="70">
        <v>328</v>
      </c>
      <c r="G166" s="69">
        <f>Table2[[#This Row],[Time Elapsed]]+Table2[[#This Row],[Time Remaining]]</f>
        <v>547</v>
      </c>
      <c r="H166" s="2" t="s">
        <v>330</v>
      </c>
      <c r="I166" s="2" t="s">
        <v>295</v>
      </c>
      <c r="J166" s="13">
        <v>0.14643</v>
      </c>
      <c r="K166" s="148">
        <v>0.12670000000000001</v>
      </c>
      <c r="L166" s="13">
        <f>Table2[[#This Row],[Actual %]]-Table2[[#This Row],[Plan %]]</f>
        <v>-1.9729999999999998E-2</v>
      </c>
      <c r="M166" s="144" t="s">
        <v>285</v>
      </c>
      <c r="N166" s="12">
        <v>45187</v>
      </c>
      <c r="O166" s="12">
        <v>45195</v>
      </c>
      <c r="P166" s="12"/>
      <c r="Q166" s="12">
        <v>45520</v>
      </c>
      <c r="R166" s="2" t="s">
        <v>384</v>
      </c>
      <c r="S166" s="2" t="s">
        <v>376</v>
      </c>
      <c r="T166" s="149" t="s">
        <v>388</v>
      </c>
      <c r="U166" s="35"/>
      <c r="V166" s="36"/>
      <c r="W166" s="36">
        <f>Table2[[#This Row],[Construction Contract Amount]]+Table2[[#This Row],[Cumulative Variations]]</f>
        <v>0</v>
      </c>
      <c r="X166" s="36"/>
      <c r="Y166" s="36"/>
      <c r="Z166" s="36">
        <f>Table2[[#This Row],[Final Contract Value]]+Table2[[#This Row],[Supervision Contract amount]]+Table2[[#This Row],[Authority Cost]]</f>
        <v>0</v>
      </c>
      <c r="AA166" s="36"/>
      <c r="AB166" s="36"/>
      <c r="AC166" s="91" t="str">
        <f t="shared" si="7"/>
        <v>https://drive.google.com/thumbnail?id=1dScaMwmgQ5YIvqUOVMiDsOPUqR2RbhFd&amp;sz=w1000</v>
      </c>
      <c r="AD166" s="90" t="s">
        <v>437</v>
      </c>
      <c r="AE166" s="74" t="str">
        <f t="shared" si="8"/>
        <v>https://drive.google.com/thumbnail?id=111CWUZAruPmvLjxfjEfGmVJyVABOAn6H&amp;sz=w1000</v>
      </c>
      <c r="AF166" s="90" t="s">
        <v>438</v>
      </c>
      <c r="AG166" s="73" t="str">
        <f t="shared" si="9"/>
        <v>https://drive.google.com/thumbnail?id=1V_6F8E7F44jsBtYi6gGMFlkhGRPoCKfO&amp;sz=w1000</v>
      </c>
      <c r="AH166" s="90" t="s">
        <v>439</v>
      </c>
    </row>
    <row r="167" spans="1:34" ht="22.15" customHeight="1">
      <c r="A167" s="32">
        <v>45516</v>
      </c>
      <c r="B167" s="24" t="s">
        <v>255</v>
      </c>
      <c r="C167" s="2" t="s">
        <v>258</v>
      </c>
      <c r="D167" s="16" t="str" cm="1">
        <f t="array" ref="D167">_xlfn.XLOOKUP(1, (Table1[Project Name]=Table2[[#This Row],[Project ID]])*(Table1[Plot]=Table2[[#This Row],[Plot]]), Table1[Project ID])</f>
        <v>SC-05</v>
      </c>
      <c r="E167" s="69">
        <v>219</v>
      </c>
      <c r="F167" s="70">
        <v>328</v>
      </c>
      <c r="G167" s="69">
        <f>Table2[[#This Row],[Time Elapsed]]+Table2[[#This Row],[Time Remaining]]</f>
        <v>547</v>
      </c>
      <c r="H167" s="2" t="s">
        <v>330</v>
      </c>
      <c r="I167" s="2" t="s">
        <v>295</v>
      </c>
      <c r="J167" s="13">
        <v>0.14643</v>
      </c>
      <c r="K167" s="148">
        <v>0.12670000000000001</v>
      </c>
      <c r="L167" s="13">
        <f>Table2[[#This Row],[Actual %]]-Table2[[#This Row],[Plan %]]</f>
        <v>-1.9729999999999998E-2</v>
      </c>
      <c r="M167" s="144" t="s">
        <v>51</v>
      </c>
      <c r="N167" s="12">
        <v>45220</v>
      </c>
      <c r="O167" s="12">
        <v>45297</v>
      </c>
      <c r="P167" s="12"/>
      <c r="Q167" s="12">
        <v>45520</v>
      </c>
      <c r="R167" s="2" t="s">
        <v>384</v>
      </c>
      <c r="S167" s="2" t="s">
        <v>376</v>
      </c>
      <c r="T167" s="149" t="s">
        <v>388</v>
      </c>
      <c r="U167" s="35"/>
      <c r="V167" s="36"/>
      <c r="W167" s="36">
        <f>Table2[[#This Row],[Construction Contract Amount]]+Table2[[#This Row],[Cumulative Variations]]</f>
        <v>0</v>
      </c>
      <c r="X167" s="36"/>
      <c r="Y167" s="36"/>
      <c r="Z167" s="36">
        <f>Table2[[#This Row],[Final Contract Value]]+Table2[[#This Row],[Supervision Contract amount]]+Table2[[#This Row],[Authority Cost]]</f>
        <v>0</v>
      </c>
      <c r="AA167" s="36"/>
      <c r="AB167" s="36"/>
      <c r="AC167" s="91" t="str">
        <f t="shared" si="7"/>
        <v>https://drive.google.com/thumbnail?id=1dScaMwmgQ5YIvqUOVMiDsOPUqR2RbhFd&amp;sz=w1000</v>
      </c>
      <c r="AD167" s="90" t="s">
        <v>437</v>
      </c>
      <c r="AE167" s="74" t="str">
        <f t="shared" si="8"/>
        <v>https://drive.google.com/thumbnail?id=111CWUZAruPmvLjxfjEfGmVJyVABOAn6H&amp;sz=w1000</v>
      </c>
      <c r="AF167" s="90" t="s">
        <v>438</v>
      </c>
      <c r="AG167" s="73" t="str">
        <f t="shared" si="9"/>
        <v>https://drive.google.com/thumbnail?id=1V_6F8E7F44jsBtYi6gGMFlkhGRPoCKfO&amp;sz=w1000</v>
      </c>
      <c r="AH167" s="90" t="s">
        <v>439</v>
      </c>
    </row>
    <row r="168" spans="1:34" ht="22.15" customHeight="1">
      <c r="A168" s="32">
        <v>45516</v>
      </c>
      <c r="B168" s="24" t="s">
        <v>255</v>
      </c>
      <c r="C168" s="2" t="s">
        <v>258</v>
      </c>
      <c r="D168" s="16" t="str" cm="1">
        <f t="array" ref="D168">_xlfn.XLOOKUP(1, (Table1[Project Name]=Table2[[#This Row],[Project ID]])*(Table1[Plot]=Table2[[#This Row],[Plot]]), Table1[Project ID])</f>
        <v>SC-05</v>
      </c>
      <c r="E168" s="69">
        <v>219</v>
      </c>
      <c r="F168" s="70">
        <v>328</v>
      </c>
      <c r="G168" s="69">
        <f>Table2[[#This Row],[Time Elapsed]]+Table2[[#This Row],[Time Remaining]]</f>
        <v>547</v>
      </c>
      <c r="H168" s="2" t="s">
        <v>330</v>
      </c>
      <c r="I168" s="2" t="s">
        <v>295</v>
      </c>
      <c r="J168" s="13">
        <v>0.14643</v>
      </c>
      <c r="K168" s="148">
        <v>0.12670000000000001</v>
      </c>
      <c r="L168" s="13">
        <f>Table2[[#This Row],[Actual %]]-Table2[[#This Row],[Plan %]]</f>
        <v>-1.9729999999999998E-2</v>
      </c>
      <c r="M168" s="144" t="s">
        <v>287</v>
      </c>
      <c r="N168" s="12">
        <v>45429</v>
      </c>
      <c r="O168" s="12">
        <v>45447</v>
      </c>
      <c r="P168" s="12"/>
      <c r="Q168" s="12">
        <v>45520</v>
      </c>
      <c r="R168" s="2" t="s">
        <v>384</v>
      </c>
      <c r="S168" s="2" t="s">
        <v>376</v>
      </c>
      <c r="T168" s="149" t="s">
        <v>388</v>
      </c>
      <c r="U168" s="35"/>
      <c r="V168" s="36"/>
      <c r="W168" s="36">
        <f>Table2[[#This Row],[Construction Contract Amount]]+Table2[[#This Row],[Cumulative Variations]]</f>
        <v>0</v>
      </c>
      <c r="X168" s="36"/>
      <c r="Y168" s="36"/>
      <c r="Z168" s="36">
        <f>Table2[[#This Row],[Final Contract Value]]+Table2[[#This Row],[Supervision Contract amount]]+Table2[[#This Row],[Authority Cost]]</f>
        <v>0</v>
      </c>
      <c r="AA168" s="36"/>
      <c r="AB168" s="36"/>
      <c r="AC168" s="91" t="str">
        <f t="shared" si="7"/>
        <v>https://drive.google.com/thumbnail?id=1dScaMwmgQ5YIvqUOVMiDsOPUqR2RbhFd&amp;sz=w1000</v>
      </c>
      <c r="AD168" s="90" t="s">
        <v>437</v>
      </c>
      <c r="AE168" s="74" t="str">
        <f t="shared" si="8"/>
        <v>https://drive.google.com/thumbnail?id=111CWUZAruPmvLjxfjEfGmVJyVABOAn6H&amp;sz=w1000</v>
      </c>
      <c r="AF168" s="90" t="s">
        <v>438</v>
      </c>
      <c r="AG168" s="73" t="str">
        <f t="shared" si="9"/>
        <v>https://drive.google.com/thumbnail?id=1V_6F8E7F44jsBtYi6gGMFlkhGRPoCKfO&amp;sz=w1000</v>
      </c>
      <c r="AH168" s="90" t="s">
        <v>439</v>
      </c>
    </row>
    <row r="169" spans="1:34" ht="22.15" customHeight="1">
      <c r="A169" s="32">
        <v>45516</v>
      </c>
      <c r="B169" s="24" t="s">
        <v>255</v>
      </c>
      <c r="C169" s="2" t="s">
        <v>258</v>
      </c>
      <c r="D169" s="16" t="str" cm="1">
        <f t="array" ref="D169">_xlfn.XLOOKUP(1, (Table1[Project Name]=Table2[[#This Row],[Project ID]])*(Table1[Plot]=Table2[[#This Row],[Plot]]), Table1[Project ID])</f>
        <v>SC-05</v>
      </c>
      <c r="E169" s="69">
        <v>219</v>
      </c>
      <c r="F169" s="70">
        <v>328</v>
      </c>
      <c r="G169" s="69">
        <f>Table2[[#This Row],[Time Elapsed]]+Table2[[#This Row],[Time Remaining]]</f>
        <v>547</v>
      </c>
      <c r="H169" s="2" t="s">
        <v>330</v>
      </c>
      <c r="I169" s="2" t="s">
        <v>295</v>
      </c>
      <c r="J169" s="13">
        <v>0.14643</v>
      </c>
      <c r="K169" s="148">
        <v>0.12670000000000001</v>
      </c>
      <c r="L169" s="13">
        <f>Table2[[#This Row],[Actual %]]-Table2[[#This Row],[Plan %]]</f>
        <v>-1.9729999999999998E-2</v>
      </c>
      <c r="M169" s="144" t="s">
        <v>300</v>
      </c>
      <c r="N169" s="12">
        <v>45433</v>
      </c>
      <c r="O169" s="12">
        <v>45514</v>
      </c>
      <c r="P169" s="12"/>
      <c r="Q169" s="12">
        <v>45520</v>
      </c>
      <c r="R169" s="2" t="s">
        <v>384</v>
      </c>
      <c r="S169" s="2" t="s">
        <v>376</v>
      </c>
      <c r="T169" s="149" t="s">
        <v>388</v>
      </c>
      <c r="U169" s="35"/>
      <c r="V169" s="36"/>
      <c r="W169" s="36">
        <f>Table2[[#This Row],[Construction Contract Amount]]+Table2[[#This Row],[Cumulative Variations]]</f>
        <v>0</v>
      </c>
      <c r="X169" s="36"/>
      <c r="Y169" s="36"/>
      <c r="Z169" s="36">
        <f>Table2[[#This Row],[Final Contract Value]]+Table2[[#This Row],[Supervision Contract amount]]+Table2[[#This Row],[Authority Cost]]</f>
        <v>0</v>
      </c>
      <c r="AA169" s="36"/>
      <c r="AB169" s="36"/>
      <c r="AC169" s="91" t="str">
        <f t="shared" si="7"/>
        <v>https://drive.google.com/thumbnail?id=1dScaMwmgQ5YIvqUOVMiDsOPUqR2RbhFd&amp;sz=w1000</v>
      </c>
      <c r="AD169" s="90" t="s">
        <v>437</v>
      </c>
      <c r="AE169" s="74" t="str">
        <f t="shared" si="8"/>
        <v>https://drive.google.com/thumbnail?id=111CWUZAruPmvLjxfjEfGmVJyVABOAn6H&amp;sz=w1000</v>
      </c>
      <c r="AF169" s="90" t="s">
        <v>438</v>
      </c>
      <c r="AG169" s="73" t="str">
        <f t="shared" si="9"/>
        <v>https://drive.google.com/thumbnail?id=1V_6F8E7F44jsBtYi6gGMFlkhGRPoCKfO&amp;sz=w1000</v>
      </c>
      <c r="AH169" s="90" t="s">
        <v>439</v>
      </c>
    </row>
    <row r="170" spans="1:34" ht="22.15" customHeight="1">
      <c r="A170" s="32">
        <v>45516</v>
      </c>
      <c r="B170" s="24" t="s">
        <v>255</v>
      </c>
      <c r="C170" s="2" t="s">
        <v>258</v>
      </c>
      <c r="D170" s="16" t="str" cm="1">
        <f t="array" ref="D170">_xlfn.XLOOKUP(1, (Table1[Project Name]=Table2[[#This Row],[Project ID]])*(Table1[Plot]=Table2[[#This Row],[Plot]]), Table1[Project ID])</f>
        <v>SC-05</v>
      </c>
      <c r="E170" s="69">
        <v>219</v>
      </c>
      <c r="F170" s="70">
        <v>328</v>
      </c>
      <c r="G170" s="69">
        <f>Table2[[#This Row],[Time Elapsed]]+Table2[[#This Row],[Time Remaining]]</f>
        <v>547</v>
      </c>
      <c r="H170" s="2" t="s">
        <v>330</v>
      </c>
      <c r="I170" s="2" t="s">
        <v>295</v>
      </c>
      <c r="J170" s="13">
        <v>0.14643</v>
      </c>
      <c r="K170" s="148">
        <v>0.12670000000000001</v>
      </c>
      <c r="L170" s="13">
        <f>Table2[[#This Row],[Actual %]]-Table2[[#This Row],[Plan %]]</f>
        <v>-1.9729999999999998E-2</v>
      </c>
      <c r="M170" s="144" t="s">
        <v>301</v>
      </c>
      <c r="N170" s="12">
        <v>45596</v>
      </c>
      <c r="O170" s="12">
        <v>45309</v>
      </c>
      <c r="P170" s="12"/>
      <c r="Q170" s="12">
        <v>45520</v>
      </c>
      <c r="R170" s="2" t="s">
        <v>384</v>
      </c>
      <c r="S170" s="2" t="s">
        <v>376</v>
      </c>
      <c r="T170" s="149" t="s">
        <v>388</v>
      </c>
      <c r="U170" s="35"/>
      <c r="V170" s="36"/>
      <c r="W170" s="36">
        <f>Table2[[#This Row],[Construction Contract Amount]]+Table2[[#This Row],[Cumulative Variations]]</f>
        <v>0</v>
      </c>
      <c r="X170" s="36"/>
      <c r="Y170" s="36"/>
      <c r="Z170" s="36">
        <f>Table2[[#This Row],[Final Contract Value]]+Table2[[#This Row],[Supervision Contract amount]]+Table2[[#This Row],[Authority Cost]]</f>
        <v>0</v>
      </c>
      <c r="AA170" s="36"/>
      <c r="AB170" s="36"/>
      <c r="AC170" s="91" t="str">
        <f t="shared" si="7"/>
        <v>https://drive.google.com/thumbnail?id=1dScaMwmgQ5YIvqUOVMiDsOPUqR2RbhFd&amp;sz=w1000</v>
      </c>
      <c r="AD170" s="90" t="s">
        <v>437</v>
      </c>
      <c r="AE170" s="74" t="str">
        <f t="shared" si="8"/>
        <v>https://drive.google.com/thumbnail?id=111CWUZAruPmvLjxfjEfGmVJyVABOAn6H&amp;sz=w1000</v>
      </c>
      <c r="AF170" s="90" t="s">
        <v>438</v>
      </c>
      <c r="AG170" s="73" t="str">
        <f t="shared" si="9"/>
        <v>https://drive.google.com/thumbnail?id=1V_6F8E7F44jsBtYi6gGMFlkhGRPoCKfO&amp;sz=w1000</v>
      </c>
      <c r="AH170" s="90" t="s">
        <v>439</v>
      </c>
    </row>
    <row r="171" spans="1:34" ht="22.15" customHeight="1">
      <c r="A171" s="32">
        <v>45516</v>
      </c>
      <c r="B171" s="24" t="s">
        <v>255</v>
      </c>
      <c r="C171" s="2" t="s">
        <v>258</v>
      </c>
      <c r="D171" s="16" t="str" cm="1">
        <f t="array" ref="D171">_xlfn.XLOOKUP(1, (Table1[Project Name]=Table2[[#This Row],[Project ID]])*(Table1[Plot]=Table2[[#This Row],[Plot]]), Table1[Project ID])</f>
        <v>SC-05</v>
      </c>
      <c r="E171" s="69">
        <v>219</v>
      </c>
      <c r="F171" s="70">
        <v>328</v>
      </c>
      <c r="G171" s="69">
        <f>Table2[[#This Row],[Time Elapsed]]+Table2[[#This Row],[Time Remaining]]</f>
        <v>547</v>
      </c>
      <c r="H171" s="2" t="s">
        <v>330</v>
      </c>
      <c r="I171" s="2" t="s">
        <v>295</v>
      </c>
      <c r="J171" s="13">
        <v>0.14643</v>
      </c>
      <c r="K171" s="148">
        <v>0.12670000000000001</v>
      </c>
      <c r="L171" s="13">
        <f>Table2[[#This Row],[Actual %]]-Table2[[#This Row],[Plan %]]</f>
        <v>-1.9729999999999998E-2</v>
      </c>
      <c r="M171" s="144" t="s">
        <v>280</v>
      </c>
      <c r="N171" s="12">
        <v>45682</v>
      </c>
      <c r="O171" s="12"/>
      <c r="P171" s="12">
        <v>45789</v>
      </c>
      <c r="Q171" s="12">
        <v>45520</v>
      </c>
      <c r="R171" s="2" t="s">
        <v>384</v>
      </c>
      <c r="S171" s="2" t="s">
        <v>376</v>
      </c>
      <c r="T171" s="149" t="s">
        <v>388</v>
      </c>
      <c r="U171" s="35"/>
      <c r="V171" s="36"/>
      <c r="W171" s="36">
        <f>Table2[[#This Row],[Construction Contract Amount]]+Table2[[#This Row],[Cumulative Variations]]</f>
        <v>0</v>
      </c>
      <c r="X171" s="36"/>
      <c r="Y171" s="36"/>
      <c r="Z171" s="36">
        <f>Table2[[#This Row],[Final Contract Value]]+Table2[[#This Row],[Supervision Contract amount]]+Table2[[#This Row],[Authority Cost]]</f>
        <v>0</v>
      </c>
      <c r="AA171" s="36"/>
      <c r="AB171" s="36"/>
      <c r="AC171" s="91" t="str">
        <f t="shared" si="7"/>
        <v>https://drive.google.com/thumbnail?id=1dScaMwmgQ5YIvqUOVMiDsOPUqR2RbhFd&amp;sz=w1000</v>
      </c>
      <c r="AD171" s="90" t="s">
        <v>437</v>
      </c>
      <c r="AE171" s="74" t="str">
        <f t="shared" si="8"/>
        <v>https://drive.google.com/thumbnail?id=111CWUZAruPmvLjxfjEfGmVJyVABOAn6H&amp;sz=w1000</v>
      </c>
      <c r="AF171" s="90" t="s">
        <v>438</v>
      </c>
      <c r="AG171" s="73" t="str">
        <f t="shared" si="9"/>
        <v>https://drive.google.com/thumbnail?id=1V_6F8E7F44jsBtYi6gGMFlkhGRPoCKfO&amp;sz=w1000</v>
      </c>
      <c r="AH171" s="90" t="s">
        <v>439</v>
      </c>
    </row>
    <row r="172" spans="1:34" ht="22.15" customHeight="1">
      <c r="A172" s="32">
        <v>45516</v>
      </c>
      <c r="B172" s="24" t="s">
        <v>255</v>
      </c>
      <c r="C172" s="2" t="s">
        <v>258</v>
      </c>
      <c r="D172" s="16" t="str" cm="1">
        <f t="array" ref="D172">_xlfn.XLOOKUP(1, (Table1[Project Name]=Table2[[#This Row],[Project ID]])*(Table1[Plot]=Table2[[#This Row],[Plot]]), Table1[Project ID])</f>
        <v>SC-05</v>
      </c>
      <c r="E172" s="69">
        <v>219</v>
      </c>
      <c r="F172" s="70">
        <v>328</v>
      </c>
      <c r="G172" s="69">
        <f>Table2[[#This Row],[Time Elapsed]]+Table2[[#This Row],[Time Remaining]]</f>
        <v>547</v>
      </c>
      <c r="H172" s="2" t="s">
        <v>330</v>
      </c>
      <c r="I172" s="2" t="s">
        <v>295</v>
      </c>
      <c r="J172" s="13">
        <v>0.14643</v>
      </c>
      <c r="K172" s="148">
        <v>0.12670000000000001</v>
      </c>
      <c r="L172" s="13">
        <f>Table2[[#This Row],[Actual %]]-Table2[[#This Row],[Plan %]]</f>
        <v>-1.9729999999999998E-2</v>
      </c>
      <c r="M172" s="144" t="s">
        <v>343</v>
      </c>
      <c r="N172" s="12">
        <v>45701</v>
      </c>
      <c r="O172" s="12"/>
      <c r="P172" s="12">
        <v>45799</v>
      </c>
      <c r="Q172" s="12">
        <v>45520</v>
      </c>
      <c r="R172" s="2" t="s">
        <v>384</v>
      </c>
      <c r="S172" s="2" t="s">
        <v>376</v>
      </c>
      <c r="T172" s="149" t="s">
        <v>388</v>
      </c>
      <c r="U172" s="35"/>
      <c r="V172" s="36"/>
      <c r="W172" s="36">
        <f>Table2[[#This Row],[Construction Contract Amount]]+Table2[[#This Row],[Cumulative Variations]]</f>
        <v>0</v>
      </c>
      <c r="X172" s="36"/>
      <c r="Y172" s="36"/>
      <c r="Z172" s="36">
        <f>Table2[[#This Row],[Final Contract Value]]+Table2[[#This Row],[Supervision Contract amount]]+Table2[[#This Row],[Authority Cost]]</f>
        <v>0</v>
      </c>
      <c r="AA172" s="36"/>
      <c r="AB172" s="36"/>
      <c r="AC172" s="91" t="str">
        <f t="shared" si="7"/>
        <v>https://drive.google.com/thumbnail?id=1dScaMwmgQ5YIvqUOVMiDsOPUqR2RbhFd&amp;sz=w1000</v>
      </c>
      <c r="AD172" s="90" t="s">
        <v>437</v>
      </c>
      <c r="AE172" s="74" t="str">
        <f t="shared" si="8"/>
        <v>https://drive.google.com/thumbnail?id=111CWUZAruPmvLjxfjEfGmVJyVABOAn6H&amp;sz=w1000</v>
      </c>
      <c r="AF172" s="90" t="s">
        <v>438</v>
      </c>
      <c r="AG172" s="73" t="str">
        <f t="shared" si="9"/>
        <v>https://drive.google.com/thumbnail?id=1V_6F8E7F44jsBtYi6gGMFlkhGRPoCKfO&amp;sz=w1000</v>
      </c>
      <c r="AH172" s="90" t="s">
        <v>439</v>
      </c>
    </row>
    <row r="173" spans="1:34" ht="22.15" customHeight="1">
      <c r="A173" s="32">
        <v>45516</v>
      </c>
      <c r="B173" s="24" t="s">
        <v>255</v>
      </c>
      <c r="C173" s="2" t="s">
        <v>258</v>
      </c>
      <c r="D173" s="16" t="str" cm="1">
        <f t="array" ref="D173">_xlfn.XLOOKUP(1, (Table1[Project Name]=Table2[[#This Row],[Project ID]])*(Table1[Plot]=Table2[[#This Row],[Plot]]), Table1[Project ID])</f>
        <v>SC-05</v>
      </c>
      <c r="E173" s="69">
        <v>219</v>
      </c>
      <c r="F173" s="70">
        <v>328</v>
      </c>
      <c r="G173" s="69">
        <f>Table2[[#This Row],[Time Elapsed]]+Table2[[#This Row],[Time Remaining]]</f>
        <v>547</v>
      </c>
      <c r="H173" s="2" t="s">
        <v>330</v>
      </c>
      <c r="I173" s="2" t="s">
        <v>295</v>
      </c>
      <c r="J173" s="13">
        <v>0.14643</v>
      </c>
      <c r="K173" s="148">
        <v>0.12670000000000001</v>
      </c>
      <c r="L173" s="13">
        <f>Table2[[#This Row],[Actual %]]-Table2[[#This Row],[Plan %]]</f>
        <v>-1.9729999999999998E-2</v>
      </c>
      <c r="M173" s="144" t="s">
        <v>344</v>
      </c>
      <c r="N173" s="12">
        <v>45720</v>
      </c>
      <c r="O173" s="12"/>
      <c r="P173" s="12">
        <v>45820</v>
      </c>
      <c r="Q173" s="12">
        <v>45520</v>
      </c>
      <c r="R173" s="2" t="s">
        <v>384</v>
      </c>
      <c r="S173" s="2" t="s">
        <v>376</v>
      </c>
      <c r="T173" s="149" t="s">
        <v>388</v>
      </c>
      <c r="U173" s="35"/>
      <c r="V173" s="36"/>
      <c r="W173" s="36">
        <f>Table2[[#This Row],[Construction Contract Amount]]+Table2[[#This Row],[Cumulative Variations]]</f>
        <v>0</v>
      </c>
      <c r="X173" s="36"/>
      <c r="Y173" s="36"/>
      <c r="Z173" s="36">
        <f>Table2[[#This Row],[Final Contract Value]]+Table2[[#This Row],[Supervision Contract amount]]+Table2[[#This Row],[Authority Cost]]</f>
        <v>0</v>
      </c>
      <c r="AA173" s="36"/>
      <c r="AB173" s="36"/>
      <c r="AC173" s="91" t="str">
        <f t="shared" si="7"/>
        <v>https://drive.google.com/thumbnail?id=1dScaMwmgQ5YIvqUOVMiDsOPUqR2RbhFd&amp;sz=w1000</v>
      </c>
      <c r="AD173" s="90" t="s">
        <v>437</v>
      </c>
      <c r="AE173" s="74" t="str">
        <f t="shared" si="8"/>
        <v>https://drive.google.com/thumbnail?id=111CWUZAruPmvLjxfjEfGmVJyVABOAn6H&amp;sz=w1000</v>
      </c>
      <c r="AF173" s="90" t="s">
        <v>438</v>
      </c>
      <c r="AG173" s="73" t="str">
        <f t="shared" si="9"/>
        <v>https://drive.google.com/thumbnail?id=1V_6F8E7F44jsBtYi6gGMFlkhGRPoCKfO&amp;sz=w1000</v>
      </c>
      <c r="AH173" s="90" t="s">
        <v>439</v>
      </c>
    </row>
    <row r="174" spans="1:34" ht="22.15" customHeight="1">
      <c r="A174" s="32">
        <v>45516</v>
      </c>
      <c r="B174" s="24" t="s">
        <v>255</v>
      </c>
      <c r="C174" s="2" t="s">
        <v>258</v>
      </c>
      <c r="D174" s="16" t="str" cm="1">
        <f t="array" ref="D174">_xlfn.XLOOKUP(1, (Table1[Project Name]=Table2[[#This Row],[Project ID]])*(Table1[Plot]=Table2[[#This Row],[Plot]]), Table1[Project ID])</f>
        <v>SC-05</v>
      </c>
      <c r="E174" s="69">
        <v>219</v>
      </c>
      <c r="F174" s="70">
        <v>328</v>
      </c>
      <c r="G174" s="69">
        <f>Table2[[#This Row],[Time Elapsed]]+Table2[[#This Row],[Time Remaining]]</f>
        <v>547</v>
      </c>
      <c r="H174" s="2" t="s">
        <v>330</v>
      </c>
      <c r="I174" s="2" t="s">
        <v>295</v>
      </c>
      <c r="J174" s="13">
        <v>0.14643</v>
      </c>
      <c r="K174" s="148">
        <v>0.12670000000000001</v>
      </c>
      <c r="L174" s="13">
        <f>Table2[[#This Row],[Actual %]]-Table2[[#This Row],[Plan %]]</f>
        <v>-1.9729999999999998E-2</v>
      </c>
      <c r="M174" s="144" t="s">
        <v>302</v>
      </c>
      <c r="N174" s="12">
        <v>45794</v>
      </c>
      <c r="O174" s="12"/>
      <c r="P174" s="12">
        <v>45833</v>
      </c>
      <c r="Q174" s="12">
        <v>45520</v>
      </c>
      <c r="R174" s="2" t="s">
        <v>384</v>
      </c>
      <c r="S174" s="2" t="s">
        <v>376</v>
      </c>
      <c r="T174" s="149" t="s">
        <v>388</v>
      </c>
      <c r="U174" s="35"/>
      <c r="V174" s="36"/>
      <c r="W174" s="36">
        <f>Table2[[#This Row],[Construction Contract Amount]]+Table2[[#This Row],[Cumulative Variations]]</f>
        <v>0</v>
      </c>
      <c r="X174" s="36"/>
      <c r="Y174" s="36"/>
      <c r="Z174" s="36">
        <f>Table2[[#This Row],[Final Contract Value]]+Table2[[#This Row],[Supervision Contract amount]]+Table2[[#This Row],[Authority Cost]]</f>
        <v>0</v>
      </c>
      <c r="AA174" s="36"/>
      <c r="AB174" s="36"/>
      <c r="AC174" s="91" t="str">
        <f t="shared" si="7"/>
        <v>https://drive.google.com/thumbnail?id=1dScaMwmgQ5YIvqUOVMiDsOPUqR2RbhFd&amp;sz=w1000</v>
      </c>
      <c r="AD174" s="90" t="s">
        <v>437</v>
      </c>
      <c r="AE174" s="74" t="str">
        <f t="shared" si="8"/>
        <v>https://drive.google.com/thumbnail?id=111CWUZAruPmvLjxfjEfGmVJyVABOAn6H&amp;sz=w1000</v>
      </c>
      <c r="AF174" s="90" t="s">
        <v>438</v>
      </c>
      <c r="AG174" s="73" t="str">
        <f t="shared" si="9"/>
        <v>https://drive.google.com/thumbnail?id=1V_6F8E7F44jsBtYi6gGMFlkhGRPoCKfO&amp;sz=w1000</v>
      </c>
      <c r="AH174" s="90" t="s">
        <v>439</v>
      </c>
    </row>
    <row r="175" spans="1:34" ht="22.15" customHeight="1">
      <c r="A175" s="32">
        <v>45516</v>
      </c>
      <c r="B175" s="24" t="s">
        <v>135</v>
      </c>
      <c r="C175" s="2">
        <v>10</v>
      </c>
      <c r="D175" s="16" t="str" cm="1">
        <f t="array" ref="D175">_xlfn.XLOOKUP(1, (Table1[Project Name]=Table2[[#This Row],[Project ID]])*(Table1[Plot]=Table2[[#This Row],[Plot]]), Table1[Project ID])</f>
        <v>MJ-10</v>
      </c>
      <c r="E175" s="104">
        <v>14</v>
      </c>
      <c r="F175" s="105">
        <v>594</v>
      </c>
      <c r="G175" s="104">
        <f>Table2[[#This Row],[Time Elapsed]]+Table2[[#This Row],[Time Remaining]]</f>
        <v>608</v>
      </c>
      <c r="H175" s="136" t="s">
        <v>533</v>
      </c>
      <c r="I175" s="136" t="s">
        <v>534</v>
      </c>
      <c r="J175" s="13">
        <v>0</v>
      </c>
      <c r="K175" s="148">
        <v>0</v>
      </c>
      <c r="L175" s="166">
        <f>Table2[[#This Row],[Actual %]]-Table2[[#This Row],[Plan %]]</f>
        <v>0</v>
      </c>
      <c r="M175" s="144" t="s">
        <v>285</v>
      </c>
      <c r="N175" s="12">
        <v>45489</v>
      </c>
      <c r="O175" s="12">
        <v>45489</v>
      </c>
      <c r="P175" s="12"/>
      <c r="Q175" s="12">
        <v>45520</v>
      </c>
      <c r="R175" s="136" t="s">
        <v>539</v>
      </c>
      <c r="S175" s="167" t="s">
        <v>540</v>
      </c>
      <c r="T175" s="143" t="s">
        <v>541</v>
      </c>
      <c r="U175" s="35"/>
      <c r="V175" s="36"/>
      <c r="W175" s="36">
        <f>Table2[[#This Row],[Construction Contract Amount]]+Table2[[#This Row],[Cumulative Variations]]</f>
        <v>0</v>
      </c>
      <c r="X175" s="36"/>
      <c r="Y175" s="36"/>
      <c r="Z175" s="36">
        <f>Table2[[#This Row],[Final Contract Value]]+Table2[[#This Row],[Supervision Contract amount]]+Table2[[#This Row],[Authority Cost]]</f>
        <v>0</v>
      </c>
      <c r="AA175" s="36"/>
      <c r="AB175" s="36"/>
      <c r="AC175" s="91" t="str">
        <f t="shared" si="7"/>
        <v>https://drive.google.com/thumbnail?id=1fHz1NxkdI260HU_cA-zOMox6gaTachXD&amp;sz=w1000</v>
      </c>
      <c r="AD175" s="116" t="s">
        <v>577</v>
      </c>
      <c r="AE175" s="74" t="str">
        <f t="shared" si="8"/>
        <v>https://drive.google.com/thumbnail?id=1fYpQ5poYHYgUA8baZjhriBM5Ln-hQTID&amp;sz=w1000</v>
      </c>
      <c r="AF175" s="116" t="s">
        <v>578</v>
      </c>
      <c r="AG175" s="73" t="str">
        <f t="shared" si="9"/>
        <v>https://drive.google.com/thumbnail?id=1haY8RHl6xd4zLp2freVwagnUjWns8HvA&amp;sz=w1000</v>
      </c>
      <c r="AH175" s="116" t="s">
        <v>556</v>
      </c>
    </row>
    <row r="176" spans="1:34" ht="22.15" customHeight="1">
      <c r="A176" s="32">
        <v>45516</v>
      </c>
      <c r="B176" s="24" t="s">
        <v>135</v>
      </c>
      <c r="C176" s="2">
        <v>10</v>
      </c>
      <c r="D176" s="16" t="str" cm="1">
        <f t="array" ref="D176">_xlfn.XLOOKUP(1, (Table1[Project Name]=Table2[[#This Row],[Project ID]])*(Table1[Plot]=Table2[[#This Row],[Plot]]), Table1[Project ID])</f>
        <v>MJ-10</v>
      </c>
      <c r="E176" s="104">
        <v>14</v>
      </c>
      <c r="F176" s="105">
        <v>594</v>
      </c>
      <c r="G176" s="104">
        <f>Table2[[#This Row],[Time Elapsed]]+Table2[[#This Row],[Time Remaining]]</f>
        <v>608</v>
      </c>
      <c r="H176" s="136" t="s">
        <v>533</v>
      </c>
      <c r="I176" s="136" t="s">
        <v>534</v>
      </c>
      <c r="J176" s="13">
        <v>0</v>
      </c>
      <c r="K176" s="148">
        <v>0</v>
      </c>
      <c r="L176" s="166">
        <f>Table2[[#This Row],[Actual %]]-Table2[[#This Row],[Plan %]]</f>
        <v>0</v>
      </c>
      <c r="M176" s="144" t="s">
        <v>287</v>
      </c>
      <c r="N176" s="12">
        <v>45477</v>
      </c>
      <c r="O176" s="12">
        <v>45496</v>
      </c>
      <c r="P176" s="12"/>
      <c r="Q176" s="12">
        <v>45520</v>
      </c>
      <c r="R176" s="136" t="s">
        <v>539</v>
      </c>
      <c r="S176" s="167" t="s">
        <v>540</v>
      </c>
      <c r="T176" s="143" t="s">
        <v>541</v>
      </c>
      <c r="U176" s="35"/>
      <c r="V176" s="36"/>
      <c r="W176" s="36">
        <f>Table2[[#This Row],[Construction Contract Amount]]+Table2[[#This Row],[Cumulative Variations]]</f>
        <v>0</v>
      </c>
      <c r="X176" s="36"/>
      <c r="Y176" s="36"/>
      <c r="Z176" s="36">
        <f>Table2[[#This Row],[Final Contract Value]]+Table2[[#This Row],[Supervision Contract amount]]+Table2[[#This Row],[Authority Cost]]</f>
        <v>0</v>
      </c>
      <c r="AA176" s="36"/>
      <c r="AB176" s="36"/>
      <c r="AC176" s="91" t="str">
        <f t="shared" si="7"/>
        <v>https://drive.google.com/thumbnail?id=1fHz1NxkdI260HU_cA-zOMox6gaTachXD&amp;sz=w1000</v>
      </c>
      <c r="AD176" s="116" t="s">
        <v>577</v>
      </c>
      <c r="AE176" s="74" t="str">
        <f t="shared" si="8"/>
        <v>https://drive.google.com/thumbnail?id=1fYpQ5poYHYgUA8baZjhriBM5Ln-hQTID&amp;sz=w1000</v>
      </c>
      <c r="AF176" s="116" t="s">
        <v>578</v>
      </c>
      <c r="AG176" s="73" t="str">
        <f t="shared" si="9"/>
        <v>https://drive.google.com/thumbnail?id=1haY8RHl6xd4zLp2freVwagnUjWns8HvA&amp;sz=w1000</v>
      </c>
      <c r="AH176" s="116" t="s">
        <v>556</v>
      </c>
    </row>
    <row r="177" spans="1:34" ht="22.15" customHeight="1">
      <c r="A177" s="32">
        <v>45516</v>
      </c>
      <c r="B177" s="24" t="s">
        <v>135</v>
      </c>
      <c r="C177" s="2">
        <v>10</v>
      </c>
      <c r="D177" s="16" t="str" cm="1">
        <f t="array" ref="D177">_xlfn.XLOOKUP(1, (Table1[Project Name]=Table2[[#This Row],[Project ID]])*(Table1[Plot]=Table2[[#This Row],[Plot]]), Table1[Project ID])</f>
        <v>MJ-10</v>
      </c>
      <c r="E177" s="104">
        <v>14</v>
      </c>
      <c r="F177" s="105">
        <v>594</v>
      </c>
      <c r="G177" s="104">
        <f>Table2[[#This Row],[Time Elapsed]]+Table2[[#This Row],[Time Remaining]]</f>
        <v>608</v>
      </c>
      <c r="H177" s="136" t="s">
        <v>533</v>
      </c>
      <c r="I177" s="136" t="s">
        <v>534</v>
      </c>
      <c r="J177" s="13">
        <v>0</v>
      </c>
      <c r="K177" s="148">
        <v>0</v>
      </c>
      <c r="L177" s="166">
        <f>Table2[[#This Row],[Actual %]]-Table2[[#This Row],[Plan %]]</f>
        <v>0</v>
      </c>
      <c r="M177" s="144" t="s">
        <v>292</v>
      </c>
      <c r="N177" s="12">
        <v>45499</v>
      </c>
      <c r="O177" s="12">
        <v>45499</v>
      </c>
      <c r="P177" s="12"/>
      <c r="Q177" s="12">
        <v>45520</v>
      </c>
      <c r="R177" s="136" t="s">
        <v>539</v>
      </c>
      <c r="S177" s="167" t="s">
        <v>540</v>
      </c>
      <c r="T177" s="143" t="s">
        <v>541</v>
      </c>
      <c r="U177" s="35"/>
      <c r="V177" s="36"/>
      <c r="W177" s="36">
        <f>Table2[[#This Row],[Construction Contract Amount]]+Table2[[#This Row],[Cumulative Variations]]</f>
        <v>0</v>
      </c>
      <c r="X177" s="36"/>
      <c r="Y177" s="36"/>
      <c r="Z177" s="36">
        <f>Table2[[#This Row],[Final Contract Value]]+Table2[[#This Row],[Supervision Contract amount]]+Table2[[#This Row],[Authority Cost]]</f>
        <v>0</v>
      </c>
      <c r="AA177" s="36"/>
      <c r="AB177" s="36"/>
      <c r="AC177" s="91" t="str">
        <f t="shared" si="7"/>
        <v>https://drive.google.com/thumbnail?id=1fHz1NxkdI260HU_cA-zOMox6gaTachXD&amp;sz=w1000</v>
      </c>
      <c r="AD177" s="116" t="s">
        <v>577</v>
      </c>
      <c r="AE177" s="74" t="str">
        <f t="shared" si="8"/>
        <v>https://drive.google.com/thumbnail?id=1fYpQ5poYHYgUA8baZjhriBM5Ln-hQTID&amp;sz=w1000</v>
      </c>
      <c r="AF177" s="116" t="s">
        <v>578</v>
      </c>
      <c r="AG177" s="73" t="str">
        <f t="shared" si="9"/>
        <v>https://drive.google.com/thumbnail?id=1haY8RHl6xd4zLp2freVwagnUjWns8HvA&amp;sz=w1000</v>
      </c>
      <c r="AH177" s="116" t="s">
        <v>556</v>
      </c>
    </row>
    <row r="178" spans="1:34" ht="22.15" customHeight="1">
      <c r="A178" s="32">
        <v>45516</v>
      </c>
      <c r="B178" s="24" t="s">
        <v>135</v>
      </c>
      <c r="C178" s="2">
        <v>10</v>
      </c>
      <c r="D178" s="16" t="str" cm="1">
        <f t="array" ref="D178">_xlfn.XLOOKUP(1, (Table1[Project Name]=Table2[[#This Row],[Project ID]])*(Table1[Plot]=Table2[[#This Row],[Plot]]), Table1[Project ID])</f>
        <v>MJ-10</v>
      </c>
      <c r="E178" s="104">
        <v>14</v>
      </c>
      <c r="F178" s="105">
        <v>594</v>
      </c>
      <c r="G178" s="104">
        <f>Table2[[#This Row],[Time Elapsed]]+Table2[[#This Row],[Time Remaining]]</f>
        <v>608</v>
      </c>
      <c r="H178" s="136" t="s">
        <v>533</v>
      </c>
      <c r="I178" s="136" t="s">
        <v>534</v>
      </c>
      <c r="J178" s="13">
        <v>0</v>
      </c>
      <c r="K178" s="148">
        <v>0</v>
      </c>
      <c r="L178" s="166">
        <f>Table2[[#This Row],[Actual %]]-Table2[[#This Row],[Plan %]]</f>
        <v>0</v>
      </c>
      <c r="M178" s="144" t="s">
        <v>340</v>
      </c>
      <c r="N178" s="12">
        <v>45503</v>
      </c>
      <c r="O178" s="12"/>
      <c r="P178" s="12">
        <v>45503</v>
      </c>
      <c r="Q178" s="12">
        <v>45520</v>
      </c>
      <c r="R178" s="136" t="s">
        <v>539</v>
      </c>
      <c r="S178" s="167" t="s">
        <v>540</v>
      </c>
      <c r="T178" s="143" t="s">
        <v>541</v>
      </c>
      <c r="U178" s="35"/>
      <c r="V178" s="36"/>
      <c r="W178" s="36">
        <f>Table2[[#This Row],[Construction Contract Amount]]+Table2[[#This Row],[Cumulative Variations]]</f>
        <v>0</v>
      </c>
      <c r="X178" s="36"/>
      <c r="Y178" s="36"/>
      <c r="Z178" s="36">
        <f>Table2[[#This Row],[Final Contract Value]]+Table2[[#This Row],[Supervision Contract amount]]+Table2[[#This Row],[Authority Cost]]</f>
        <v>0</v>
      </c>
      <c r="AA178" s="36"/>
      <c r="AB178" s="36"/>
      <c r="AC178" s="91" t="str">
        <f t="shared" si="7"/>
        <v>https://drive.google.com/thumbnail?id=1fHz1NxkdI260HU_cA-zOMox6gaTachXD&amp;sz=w1000</v>
      </c>
      <c r="AD178" s="116" t="s">
        <v>577</v>
      </c>
      <c r="AE178" s="74" t="str">
        <f t="shared" si="8"/>
        <v>https://drive.google.com/thumbnail?id=1fYpQ5poYHYgUA8baZjhriBM5Ln-hQTID&amp;sz=w1000</v>
      </c>
      <c r="AF178" s="116" t="s">
        <v>578</v>
      </c>
      <c r="AG178" s="73" t="str">
        <f t="shared" si="9"/>
        <v>https://drive.google.com/thumbnail?id=1haY8RHl6xd4zLp2freVwagnUjWns8HvA&amp;sz=w1000</v>
      </c>
      <c r="AH178" s="116" t="s">
        <v>556</v>
      </c>
    </row>
    <row r="179" spans="1:34" ht="22.15" customHeight="1">
      <c r="A179" s="32">
        <v>45516</v>
      </c>
      <c r="B179" s="24" t="s">
        <v>135</v>
      </c>
      <c r="C179" s="2">
        <v>10</v>
      </c>
      <c r="D179" s="16" t="str" cm="1">
        <f t="array" ref="D179">_xlfn.XLOOKUP(1, (Table1[Project Name]=Table2[[#This Row],[Project ID]])*(Table1[Plot]=Table2[[#This Row],[Plot]]), Table1[Project ID])</f>
        <v>MJ-10</v>
      </c>
      <c r="E179" s="104">
        <v>14</v>
      </c>
      <c r="F179" s="105">
        <v>594</v>
      </c>
      <c r="G179" s="104">
        <f>Table2[[#This Row],[Time Elapsed]]+Table2[[#This Row],[Time Remaining]]</f>
        <v>608</v>
      </c>
      <c r="H179" s="136" t="s">
        <v>533</v>
      </c>
      <c r="I179" s="136" t="s">
        <v>534</v>
      </c>
      <c r="J179" s="13">
        <v>0</v>
      </c>
      <c r="K179" s="148">
        <v>0</v>
      </c>
      <c r="L179" s="166">
        <f>Table2[[#This Row],[Actual %]]-Table2[[#This Row],[Plan %]]</f>
        <v>0</v>
      </c>
      <c r="M179" s="144" t="s">
        <v>293</v>
      </c>
      <c r="N179" s="12">
        <v>45507</v>
      </c>
      <c r="O179" s="12"/>
      <c r="P179" s="12">
        <v>45507</v>
      </c>
      <c r="Q179" s="12">
        <v>45520</v>
      </c>
      <c r="R179" s="136" t="s">
        <v>539</v>
      </c>
      <c r="S179" s="167" t="s">
        <v>540</v>
      </c>
      <c r="T179" s="143" t="s">
        <v>541</v>
      </c>
      <c r="U179" s="35"/>
      <c r="V179" s="36"/>
      <c r="W179" s="36">
        <f>Table2[[#This Row],[Construction Contract Amount]]+Table2[[#This Row],[Cumulative Variations]]</f>
        <v>0</v>
      </c>
      <c r="X179" s="36"/>
      <c r="Y179" s="36"/>
      <c r="Z179" s="36">
        <f>Table2[[#This Row],[Final Contract Value]]+Table2[[#This Row],[Supervision Contract amount]]+Table2[[#This Row],[Authority Cost]]</f>
        <v>0</v>
      </c>
      <c r="AA179" s="36"/>
      <c r="AB179" s="36"/>
      <c r="AC179" s="91" t="str">
        <f t="shared" si="7"/>
        <v>https://drive.google.com/thumbnail?id=1fHz1NxkdI260HU_cA-zOMox6gaTachXD&amp;sz=w1000</v>
      </c>
      <c r="AD179" s="116" t="s">
        <v>577</v>
      </c>
      <c r="AE179" s="74" t="str">
        <f t="shared" si="8"/>
        <v>https://drive.google.com/thumbnail?id=1fYpQ5poYHYgUA8baZjhriBM5Ln-hQTID&amp;sz=w1000</v>
      </c>
      <c r="AF179" s="116" t="s">
        <v>578</v>
      </c>
      <c r="AG179" s="73" t="str">
        <f t="shared" si="9"/>
        <v>https://drive.google.com/thumbnail?id=1haY8RHl6xd4zLp2freVwagnUjWns8HvA&amp;sz=w1000</v>
      </c>
      <c r="AH179" s="116" t="s">
        <v>556</v>
      </c>
    </row>
    <row r="180" spans="1:34" ht="22.15" customHeight="1">
      <c r="A180" s="32">
        <v>45516</v>
      </c>
      <c r="B180" s="24" t="s">
        <v>135</v>
      </c>
      <c r="C180" s="2">
        <v>10</v>
      </c>
      <c r="D180" s="16" t="str" cm="1">
        <f t="array" ref="D180">_xlfn.XLOOKUP(1, (Table1[Project Name]=Table2[[#This Row],[Project ID]])*(Table1[Plot]=Table2[[#This Row],[Plot]]), Table1[Project ID])</f>
        <v>MJ-10</v>
      </c>
      <c r="E180" s="104">
        <v>14</v>
      </c>
      <c r="F180" s="105">
        <v>594</v>
      </c>
      <c r="G180" s="104">
        <f>Table2[[#This Row],[Time Elapsed]]+Table2[[#This Row],[Time Remaining]]</f>
        <v>608</v>
      </c>
      <c r="H180" s="136" t="s">
        <v>533</v>
      </c>
      <c r="I180" s="136" t="s">
        <v>534</v>
      </c>
      <c r="J180" s="13">
        <v>0</v>
      </c>
      <c r="K180" s="148">
        <v>0</v>
      </c>
      <c r="L180" s="166">
        <f>Table2[[#This Row],[Actual %]]-Table2[[#This Row],[Plan %]]</f>
        <v>0</v>
      </c>
      <c r="M180" s="144" t="s">
        <v>294</v>
      </c>
      <c r="N180" s="12">
        <v>45507</v>
      </c>
      <c r="O180" s="12"/>
      <c r="P180" s="12">
        <v>45507</v>
      </c>
      <c r="Q180" s="12">
        <v>45520</v>
      </c>
      <c r="R180" s="136" t="s">
        <v>539</v>
      </c>
      <c r="S180" s="167" t="s">
        <v>540</v>
      </c>
      <c r="T180" s="143" t="s">
        <v>541</v>
      </c>
      <c r="U180" s="35"/>
      <c r="V180" s="36"/>
      <c r="W180" s="36">
        <f>Table2[[#This Row],[Construction Contract Amount]]+Table2[[#This Row],[Cumulative Variations]]</f>
        <v>0</v>
      </c>
      <c r="X180" s="36"/>
      <c r="Y180" s="36"/>
      <c r="Z180" s="36">
        <f>Table2[[#This Row],[Final Contract Value]]+Table2[[#This Row],[Supervision Contract amount]]+Table2[[#This Row],[Authority Cost]]</f>
        <v>0</v>
      </c>
      <c r="AA180" s="36"/>
      <c r="AB180" s="36"/>
      <c r="AC180" s="91" t="str">
        <f t="shared" si="7"/>
        <v>https://drive.google.com/thumbnail?id=1fHz1NxkdI260HU_cA-zOMox6gaTachXD&amp;sz=w1000</v>
      </c>
      <c r="AD180" s="116" t="s">
        <v>577</v>
      </c>
      <c r="AE180" s="74" t="str">
        <f t="shared" si="8"/>
        <v>https://drive.google.com/thumbnail?id=1fYpQ5poYHYgUA8baZjhriBM5Ln-hQTID&amp;sz=w1000</v>
      </c>
      <c r="AF180" s="116" t="s">
        <v>578</v>
      </c>
      <c r="AG180" s="73" t="str">
        <f t="shared" si="9"/>
        <v>https://drive.google.com/thumbnail?id=1haY8RHl6xd4zLp2freVwagnUjWns8HvA&amp;sz=w1000</v>
      </c>
      <c r="AH180" s="116" t="s">
        <v>556</v>
      </c>
    </row>
    <row r="181" spans="1:34" ht="22.15" customHeight="1">
      <c r="A181" s="32">
        <v>45516</v>
      </c>
      <c r="B181" s="24" t="s">
        <v>135</v>
      </c>
      <c r="C181" s="2">
        <v>10</v>
      </c>
      <c r="D181" s="16" t="str" cm="1">
        <f t="array" ref="D181">_xlfn.XLOOKUP(1, (Table1[Project Name]=Table2[[#This Row],[Project ID]])*(Table1[Plot]=Table2[[#This Row],[Plot]]), Table1[Project ID])</f>
        <v>MJ-10</v>
      </c>
      <c r="E181" s="104">
        <v>14</v>
      </c>
      <c r="F181" s="105">
        <v>594</v>
      </c>
      <c r="G181" s="104">
        <f>Table2[[#This Row],[Time Elapsed]]+Table2[[#This Row],[Time Remaining]]</f>
        <v>608</v>
      </c>
      <c r="H181" s="136" t="s">
        <v>533</v>
      </c>
      <c r="I181" s="136" t="s">
        <v>534</v>
      </c>
      <c r="J181" s="13">
        <v>0</v>
      </c>
      <c r="K181" s="148">
        <v>0</v>
      </c>
      <c r="L181" s="166">
        <f>Table2[[#This Row],[Actual %]]-Table2[[#This Row],[Plan %]]</f>
        <v>0</v>
      </c>
      <c r="M181" s="144" t="s">
        <v>542</v>
      </c>
      <c r="N181" s="12">
        <v>45511</v>
      </c>
      <c r="O181" s="12"/>
      <c r="P181" s="12">
        <v>45511</v>
      </c>
      <c r="Q181" s="12">
        <v>45520</v>
      </c>
      <c r="R181" s="136" t="s">
        <v>539</v>
      </c>
      <c r="S181" s="167" t="s">
        <v>540</v>
      </c>
      <c r="T181" s="143" t="s">
        <v>541</v>
      </c>
      <c r="U181" s="35"/>
      <c r="V181" s="36"/>
      <c r="W181" s="36">
        <f>Table2[[#This Row],[Construction Contract Amount]]+Table2[[#This Row],[Cumulative Variations]]</f>
        <v>0</v>
      </c>
      <c r="X181" s="36"/>
      <c r="Y181" s="36"/>
      <c r="Z181" s="36">
        <f>Table2[[#This Row],[Final Contract Value]]+Table2[[#This Row],[Supervision Contract amount]]+Table2[[#This Row],[Authority Cost]]</f>
        <v>0</v>
      </c>
      <c r="AA181" s="36"/>
      <c r="AB181" s="36"/>
      <c r="AC181" s="91" t="str">
        <f t="shared" si="7"/>
        <v>https://drive.google.com/thumbnail?id=1fHz1NxkdI260HU_cA-zOMox6gaTachXD&amp;sz=w1000</v>
      </c>
      <c r="AD181" s="116" t="s">
        <v>577</v>
      </c>
      <c r="AE181" s="74" t="str">
        <f t="shared" si="8"/>
        <v>https://drive.google.com/thumbnail?id=1fYpQ5poYHYgUA8baZjhriBM5Ln-hQTID&amp;sz=w1000</v>
      </c>
      <c r="AF181" s="116" t="s">
        <v>578</v>
      </c>
      <c r="AG181" s="73" t="str">
        <f t="shared" si="9"/>
        <v>https://drive.google.com/thumbnail?id=1haY8RHl6xd4zLp2freVwagnUjWns8HvA&amp;sz=w1000</v>
      </c>
      <c r="AH181" s="116" t="s">
        <v>556</v>
      </c>
    </row>
    <row r="182" spans="1:34" ht="22.15" customHeight="1">
      <c r="A182" s="32">
        <v>45516</v>
      </c>
      <c r="B182" s="24" t="s">
        <v>135</v>
      </c>
      <c r="C182" s="2">
        <v>10</v>
      </c>
      <c r="D182" s="16" t="str" cm="1">
        <f t="array" ref="D182">_xlfn.XLOOKUP(1, (Table1[Project Name]=Table2[[#This Row],[Project ID]])*(Table1[Plot]=Table2[[#This Row],[Plot]]), Table1[Project ID])</f>
        <v>MJ-10</v>
      </c>
      <c r="E182" s="104">
        <v>14</v>
      </c>
      <c r="F182" s="105">
        <v>594</v>
      </c>
      <c r="G182" s="104">
        <f>Table2[[#This Row],[Time Elapsed]]+Table2[[#This Row],[Time Remaining]]</f>
        <v>608</v>
      </c>
      <c r="H182" s="136" t="s">
        <v>533</v>
      </c>
      <c r="I182" s="136" t="s">
        <v>534</v>
      </c>
      <c r="J182" s="13">
        <v>0</v>
      </c>
      <c r="K182" s="148">
        <v>0</v>
      </c>
      <c r="L182" s="166">
        <f>Table2[[#This Row],[Actual %]]-Table2[[#This Row],[Plan %]]</f>
        <v>0</v>
      </c>
      <c r="M182" s="144" t="s">
        <v>543</v>
      </c>
      <c r="N182" s="12">
        <v>45532</v>
      </c>
      <c r="O182" s="12"/>
      <c r="P182" s="12">
        <v>45532</v>
      </c>
      <c r="Q182" s="12">
        <v>45520</v>
      </c>
      <c r="R182" s="136" t="s">
        <v>539</v>
      </c>
      <c r="S182" s="167" t="s">
        <v>540</v>
      </c>
      <c r="T182" s="143" t="s">
        <v>541</v>
      </c>
      <c r="U182" s="35"/>
      <c r="V182" s="36"/>
      <c r="W182" s="36">
        <f>Table2[[#This Row],[Construction Contract Amount]]+Table2[[#This Row],[Cumulative Variations]]</f>
        <v>0</v>
      </c>
      <c r="X182" s="36"/>
      <c r="Y182" s="36"/>
      <c r="Z182" s="36">
        <f>Table2[[#This Row],[Final Contract Value]]+Table2[[#This Row],[Supervision Contract amount]]+Table2[[#This Row],[Authority Cost]]</f>
        <v>0</v>
      </c>
      <c r="AA182" s="36"/>
      <c r="AB182" s="36"/>
      <c r="AC182" s="91" t="str">
        <f t="shared" si="7"/>
        <v>https://drive.google.com/thumbnail?id=1fHz1NxkdI260HU_cA-zOMox6gaTachXD&amp;sz=w1000</v>
      </c>
      <c r="AD182" s="116" t="s">
        <v>577</v>
      </c>
      <c r="AE182" s="74" t="str">
        <f t="shared" si="8"/>
        <v>https://drive.google.com/thumbnail?id=1fYpQ5poYHYgUA8baZjhriBM5Ln-hQTID&amp;sz=w1000</v>
      </c>
      <c r="AF182" s="116" t="s">
        <v>578</v>
      </c>
      <c r="AG182" s="73" t="str">
        <f t="shared" si="9"/>
        <v>https://drive.google.com/thumbnail?id=1haY8RHl6xd4zLp2freVwagnUjWns8HvA&amp;sz=w1000</v>
      </c>
      <c r="AH182" s="116" t="s">
        <v>556</v>
      </c>
    </row>
    <row r="183" spans="1:34" ht="22.15" customHeight="1">
      <c r="A183" s="32">
        <v>45516</v>
      </c>
      <c r="B183" s="24" t="s">
        <v>135</v>
      </c>
      <c r="C183" s="2">
        <v>10</v>
      </c>
      <c r="D183" s="16" t="str" cm="1">
        <f t="array" ref="D183">_xlfn.XLOOKUP(1, (Table1[Project Name]=Table2[[#This Row],[Project ID]])*(Table1[Plot]=Table2[[#This Row],[Plot]]), Table1[Project ID])</f>
        <v>MJ-10</v>
      </c>
      <c r="E183" s="104">
        <v>14</v>
      </c>
      <c r="F183" s="105">
        <v>594</v>
      </c>
      <c r="G183" s="104">
        <f>Table2[[#This Row],[Time Elapsed]]+Table2[[#This Row],[Time Remaining]]</f>
        <v>608</v>
      </c>
      <c r="H183" s="136" t="s">
        <v>533</v>
      </c>
      <c r="I183" s="136" t="s">
        <v>534</v>
      </c>
      <c r="J183" s="13">
        <v>0</v>
      </c>
      <c r="K183" s="148">
        <v>0</v>
      </c>
      <c r="L183" s="166">
        <f>Table2[[#This Row],[Actual %]]-Table2[[#This Row],[Plan %]]</f>
        <v>0</v>
      </c>
      <c r="M183" s="144" t="s">
        <v>339</v>
      </c>
      <c r="N183" s="12">
        <v>46096</v>
      </c>
      <c r="O183" s="12"/>
      <c r="P183" s="12">
        <v>46096</v>
      </c>
      <c r="Q183" s="12">
        <v>45520</v>
      </c>
      <c r="R183" s="136" t="s">
        <v>539</v>
      </c>
      <c r="S183" s="167" t="s">
        <v>540</v>
      </c>
      <c r="T183" s="143" t="s">
        <v>541</v>
      </c>
      <c r="U183" s="35"/>
      <c r="V183" s="36"/>
      <c r="W183" s="36">
        <f>Table2[[#This Row],[Construction Contract Amount]]+Table2[[#This Row],[Cumulative Variations]]</f>
        <v>0</v>
      </c>
      <c r="X183" s="36"/>
      <c r="Y183" s="36"/>
      <c r="Z183" s="36">
        <f>Table2[[#This Row],[Final Contract Value]]+Table2[[#This Row],[Supervision Contract amount]]+Table2[[#This Row],[Authority Cost]]</f>
        <v>0</v>
      </c>
      <c r="AA183" s="36"/>
      <c r="AB183" s="36"/>
      <c r="AC183" s="91" t="str">
        <f t="shared" si="7"/>
        <v>https://drive.google.com/thumbnail?id=1fHz1NxkdI260HU_cA-zOMox6gaTachXD&amp;sz=w1000</v>
      </c>
      <c r="AD183" s="116" t="s">
        <v>577</v>
      </c>
      <c r="AE183" s="74" t="str">
        <f t="shared" si="8"/>
        <v>https://drive.google.com/thumbnail?id=1fYpQ5poYHYgUA8baZjhriBM5Ln-hQTID&amp;sz=w1000</v>
      </c>
      <c r="AF183" s="116" t="s">
        <v>578</v>
      </c>
      <c r="AG183" s="73" t="str">
        <f t="shared" si="9"/>
        <v>https://drive.google.com/thumbnail?id=1haY8RHl6xd4zLp2freVwagnUjWns8HvA&amp;sz=w1000</v>
      </c>
      <c r="AH183" s="116" t="s">
        <v>556</v>
      </c>
    </row>
    <row r="184" spans="1:34" ht="22.15" customHeight="1">
      <c r="A184" s="32">
        <v>45516</v>
      </c>
      <c r="B184" s="17" t="s">
        <v>128</v>
      </c>
      <c r="C184" s="2">
        <v>13</v>
      </c>
      <c r="D184" s="16" t="str" cm="1">
        <f t="array" ref="D184">_xlfn.XLOOKUP(1, (Table1[Project Name]=Table2[[#This Row],[Project ID]])*(Table1[Plot]=Table2[[#This Row],[Plot]]), Table1[Project ID])</f>
        <v>MJ-11</v>
      </c>
      <c r="E184" s="106">
        <v>14</v>
      </c>
      <c r="F184" s="107">
        <v>594</v>
      </c>
      <c r="G184" s="106">
        <f>Table2[[#This Row],[Time Elapsed]]+Table2[[#This Row],[Time Remaining]]</f>
        <v>608</v>
      </c>
      <c r="H184" s="136" t="s">
        <v>533</v>
      </c>
      <c r="I184" s="136" t="s">
        <v>534</v>
      </c>
      <c r="J184" s="13">
        <v>0</v>
      </c>
      <c r="K184" s="148">
        <v>0</v>
      </c>
      <c r="L184" s="166">
        <f>Table2[[#This Row],[Actual %]]-Table2[[#This Row],[Plan %]]</f>
        <v>0</v>
      </c>
      <c r="M184" s="144" t="s">
        <v>285</v>
      </c>
      <c r="N184" s="12">
        <v>45489</v>
      </c>
      <c r="O184" s="12">
        <v>45489</v>
      </c>
      <c r="P184" s="12"/>
      <c r="Q184" s="12">
        <v>45520</v>
      </c>
      <c r="R184" s="136" t="s">
        <v>539</v>
      </c>
      <c r="S184" s="167" t="s">
        <v>540</v>
      </c>
      <c r="T184" s="143" t="s">
        <v>541</v>
      </c>
      <c r="U184" s="35"/>
      <c r="V184" s="36"/>
      <c r="W184" s="36">
        <f>Table2[[#This Row],[Construction Contract Amount]]+Table2[[#This Row],[Cumulative Variations]]</f>
        <v>0</v>
      </c>
      <c r="X184" s="36"/>
      <c r="Y184" s="36"/>
      <c r="Z184" s="36">
        <f>Table2[[#This Row],[Final Contract Value]]+Table2[[#This Row],[Supervision Contract amount]]+Table2[[#This Row],[Authority Cost]]</f>
        <v>0</v>
      </c>
      <c r="AA184" s="36"/>
      <c r="AB184" s="36"/>
      <c r="AC184" s="91" t="str">
        <f t="shared" si="7"/>
        <v>https://drive.google.com/thumbnail?id=1L2I73RPdpxaKO9zAt2EjFURAX7DFTPZb&amp;sz=w1000</v>
      </c>
      <c r="AD184" s="117" t="s">
        <v>546</v>
      </c>
      <c r="AE184" s="74" t="str">
        <f t="shared" si="8"/>
        <v>https://drive.google.com/thumbnail?id=1AGpx0fGJvSUChgQhDonCGIknvfhb1EPL&amp;sz=w1000</v>
      </c>
      <c r="AF184" s="117" t="s">
        <v>551</v>
      </c>
      <c r="AG184" s="73" t="str">
        <f t="shared" si="9"/>
        <v>https://drive.google.com/thumbnail?id=1hTpfTQ2NSH26bsU3KzVg6m_V5Q-Tluu1&amp;sz=w1000</v>
      </c>
      <c r="AH184" s="117" t="s">
        <v>557</v>
      </c>
    </row>
    <row r="185" spans="1:34" ht="22.15" customHeight="1">
      <c r="A185" s="32">
        <v>45516</v>
      </c>
      <c r="B185" s="17" t="s">
        <v>128</v>
      </c>
      <c r="C185" s="2">
        <v>13</v>
      </c>
      <c r="D185" s="16" t="str" cm="1">
        <f t="array" ref="D185">_xlfn.XLOOKUP(1, (Table1[Project Name]=Table2[[#This Row],[Project ID]])*(Table1[Plot]=Table2[[#This Row],[Plot]]), Table1[Project ID])</f>
        <v>MJ-11</v>
      </c>
      <c r="E185" s="106">
        <v>14</v>
      </c>
      <c r="F185" s="107">
        <v>594</v>
      </c>
      <c r="G185" s="106">
        <f>Table2[[#This Row],[Time Elapsed]]+Table2[[#This Row],[Time Remaining]]</f>
        <v>608</v>
      </c>
      <c r="H185" s="136" t="s">
        <v>533</v>
      </c>
      <c r="I185" s="136" t="s">
        <v>534</v>
      </c>
      <c r="J185" s="13">
        <v>0</v>
      </c>
      <c r="K185" s="148">
        <v>0</v>
      </c>
      <c r="L185" s="166">
        <f>Table2[[#This Row],[Actual %]]-Table2[[#This Row],[Plan %]]</f>
        <v>0</v>
      </c>
      <c r="M185" s="144" t="s">
        <v>287</v>
      </c>
      <c r="N185" s="12">
        <v>45477</v>
      </c>
      <c r="O185" s="12">
        <v>45496</v>
      </c>
      <c r="P185" s="12"/>
      <c r="Q185" s="12">
        <v>45520</v>
      </c>
      <c r="R185" s="136" t="s">
        <v>539</v>
      </c>
      <c r="S185" s="167" t="s">
        <v>540</v>
      </c>
      <c r="T185" s="143" t="s">
        <v>541</v>
      </c>
      <c r="U185" s="35"/>
      <c r="V185" s="36"/>
      <c r="W185" s="36">
        <f>Table2[[#This Row],[Construction Contract Amount]]+Table2[[#This Row],[Cumulative Variations]]</f>
        <v>0</v>
      </c>
      <c r="X185" s="36"/>
      <c r="Y185" s="36"/>
      <c r="Z185" s="36">
        <f>Table2[[#This Row],[Final Contract Value]]+Table2[[#This Row],[Supervision Contract amount]]+Table2[[#This Row],[Authority Cost]]</f>
        <v>0</v>
      </c>
      <c r="AA185" s="36"/>
      <c r="AB185" s="36"/>
      <c r="AC185" s="91" t="str">
        <f t="shared" si="7"/>
        <v>https://drive.google.com/thumbnail?id=1L2I73RPdpxaKO9zAt2EjFURAX7DFTPZb&amp;sz=w1000</v>
      </c>
      <c r="AD185" s="117" t="s">
        <v>546</v>
      </c>
      <c r="AE185" s="74" t="str">
        <f t="shared" si="8"/>
        <v>https://drive.google.com/thumbnail?id=1AGpx0fGJvSUChgQhDonCGIknvfhb1EPL&amp;sz=w1000</v>
      </c>
      <c r="AF185" s="117" t="s">
        <v>551</v>
      </c>
      <c r="AG185" s="73" t="str">
        <f t="shared" si="9"/>
        <v>https://drive.google.com/thumbnail?id=1hTpfTQ2NSH26bsU3KzVg6m_V5Q-Tluu1&amp;sz=w1000</v>
      </c>
      <c r="AH185" s="117" t="s">
        <v>557</v>
      </c>
    </row>
    <row r="186" spans="1:34" ht="22.15" customHeight="1">
      <c r="A186" s="32">
        <v>45516</v>
      </c>
      <c r="B186" s="17" t="s">
        <v>128</v>
      </c>
      <c r="C186" s="2">
        <v>13</v>
      </c>
      <c r="D186" s="16" t="str" cm="1">
        <f t="array" ref="D186">_xlfn.XLOOKUP(1, (Table1[Project Name]=Table2[[#This Row],[Project ID]])*(Table1[Plot]=Table2[[#This Row],[Plot]]), Table1[Project ID])</f>
        <v>MJ-11</v>
      </c>
      <c r="E186" s="106">
        <v>14</v>
      </c>
      <c r="F186" s="107">
        <v>594</v>
      </c>
      <c r="G186" s="106">
        <f>Table2[[#This Row],[Time Elapsed]]+Table2[[#This Row],[Time Remaining]]</f>
        <v>608</v>
      </c>
      <c r="H186" s="136" t="s">
        <v>533</v>
      </c>
      <c r="I186" s="136" t="s">
        <v>534</v>
      </c>
      <c r="J186" s="13">
        <v>0</v>
      </c>
      <c r="K186" s="148">
        <v>0</v>
      </c>
      <c r="L186" s="166">
        <f>Table2[[#This Row],[Actual %]]-Table2[[#This Row],[Plan %]]</f>
        <v>0</v>
      </c>
      <c r="M186" s="144" t="s">
        <v>292</v>
      </c>
      <c r="N186" s="12">
        <v>45499</v>
      </c>
      <c r="O186" s="12">
        <v>45499</v>
      </c>
      <c r="P186" s="12"/>
      <c r="Q186" s="12">
        <v>45520</v>
      </c>
      <c r="R186" s="136" t="s">
        <v>539</v>
      </c>
      <c r="S186" s="167" t="s">
        <v>540</v>
      </c>
      <c r="T186" s="143" t="s">
        <v>541</v>
      </c>
      <c r="U186" s="35"/>
      <c r="V186" s="36"/>
      <c r="W186" s="36">
        <f>Table2[[#This Row],[Construction Contract Amount]]+Table2[[#This Row],[Cumulative Variations]]</f>
        <v>0</v>
      </c>
      <c r="X186" s="36"/>
      <c r="Y186" s="36"/>
      <c r="Z186" s="36">
        <f>Table2[[#This Row],[Final Contract Value]]+Table2[[#This Row],[Supervision Contract amount]]+Table2[[#This Row],[Authority Cost]]</f>
        <v>0</v>
      </c>
      <c r="AA186" s="36"/>
      <c r="AB186" s="36"/>
      <c r="AC186" s="91" t="str">
        <f t="shared" si="7"/>
        <v>https://drive.google.com/thumbnail?id=1L2I73RPdpxaKO9zAt2EjFURAX7DFTPZb&amp;sz=w1000</v>
      </c>
      <c r="AD186" s="117" t="s">
        <v>546</v>
      </c>
      <c r="AE186" s="74" t="str">
        <f t="shared" si="8"/>
        <v>https://drive.google.com/thumbnail?id=1AGpx0fGJvSUChgQhDonCGIknvfhb1EPL&amp;sz=w1000</v>
      </c>
      <c r="AF186" s="117" t="s">
        <v>551</v>
      </c>
      <c r="AG186" s="73" t="str">
        <f t="shared" si="9"/>
        <v>https://drive.google.com/thumbnail?id=1hTpfTQ2NSH26bsU3KzVg6m_V5Q-Tluu1&amp;sz=w1000</v>
      </c>
      <c r="AH186" s="117" t="s">
        <v>557</v>
      </c>
    </row>
    <row r="187" spans="1:34" ht="22.15" customHeight="1">
      <c r="A187" s="32">
        <v>45516</v>
      </c>
      <c r="B187" s="17" t="s">
        <v>128</v>
      </c>
      <c r="C187" s="2">
        <v>13</v>
      </c>
      <c r="D187" s="16" t="str" cm="1">
        <f t="array" ref="D187">_xlfn.XLOOKUP(1, (Table1[Project Name]=Table2[[#This Row],[Project ID]])*(Table1[Plot]=Table2[[#This Row],[Plot]]), Table1[Project ID])</f>
        <v>MJ-11</v>
      </c>
      <c r="E187" s="106">
        <v>14</v>
      </c>
      <c r="F187" s="107">
        <v>594</v>
      </c>
      <c r="G187" s="106">
        <f>Table2[[#This Row],[Time Elapsed]]+Table2[[#This Row],[Time Remaining]]</f>
        <v>608</v>
      </c>
      <c r="H187" s="136" t="s">
        <v>533</v>
      </c>
      <c r="I187" s="136" t="s">
        <v>534</v>
      </c>
      <c r="J187" s="13">
        <v>0</v>
      </c>
      <c r="K187" s="148">
        <v>0</v>
      </c>
      <c r="L187" s="166">
        <f>Table2[[#This Row],[Actual %]]-Table2[[#This Row],[Plan %]]</f>
        <v>0</v>
      </c>
      <c r="M187" s="144" t="s">
        <v>340</v>
      </c>
      <c r="N187" s="12">
        <v>45503</v>
      </c>
      <c r="O187" s="12"/>
      <c r="P187" s="12">
        <v>45503</v>
      </c>
      <c r="Q187" s="12">
        <v>45520</v>
      </c>
      <c r="R187" s="136" t="s">
        <v>539</v>
      </c>
      <c r="S187" s="167" t="s">
        <v>540</v>
      </c>
      <c r="T187" s="143" t="s">
        <v>541</v>
      </c>
      <c r="U187" s="35"/>
      <c r="V187" s="36"/>
      <c r="W187" s="36">
        <f>Table2[[#This Row],[Construction Contract Amount]]+Table2[[#This Row],[Cumulative Variations]]</f>
        <v>0</v>
      </c>
      <c r="X187" s="36"/>
      <c r="Y187" s="36"/>
      <c r="Z187" s="36">
        <f>Table2[[#This Row],[Final Contract Value]]+Table2[[#This Row],[Supervision Contract amount]]+Table2[[#This Row],[Authority Cost]]</f>
        <v>0</v>
      </c>
      <c r="AA187" s="36"/>
      <c r="AB187" s="36"/>
      <c r="AC187" s="91" t="str">
        <f t="shared" si="7"/>
        <v>https://drive.google.com/thumbnail?id=1L2I73RPdpxaKO9zAt2EjFURAX7DFTPZb&amp;sz=w1000</v>
      </c>
      <c r="AD187" s="117" t="s">
        <v>546</v>
      </c>
      <c r="AE187" s="74" t="str">
        <f t="shared" si="8"/>
        <v>https://drive.google.com/thumbnail?id=1AGpx0fGJvSUChgQhDonCGIknvfhb1EPL&amp;sz=w1000</v>
      </c>
      <c r="AF187" s="117" t="s">
        <v>551</v>
      </c>
      <c r="AG187" s="73" t="str">
        <f t="shared" si="9"/>
        <v>https://drive.google.com/thumbnail?id=1hTpfTQ2NSH26bsU3KzVg6m_V5Q-Tluu1&amp;sz=w1000</v>
      </c>
      <c r="AH187" s="117" t="s">
        <v>557</v>
      </c>
    </row>
    <row r="188" spans="1:34" ht="22.15" customHeight="1">
      <c r="A188" s="32">
        <v>45516</v>
      </c>
      <c r="B188" s="17" t="s">
        <v>128</v>
      </c>
      <c r="C188" s="2">
        <v>13</v>
      </c>
      <c r="D188" s="16" t="str" cm="1">
        <f t="array" ref="D188">_xlfn.XLOOKUP(1, (Table1[Project Name]=Table2[[#This Row],[Project ID]])*(Table1[Plot]=Table2[[#This Row],[Plot]]), Table1[Project ID])</f>
        <v>MJ-11</v>
      </c>
      <c r="E188" s="106">
        <v>14</v>
      </c>
      <c r="F188" s="107">
        <v>594</v>
      </c>
      <c r="G188" s="106">
        <f>Table2[[#This Row],[Time Elapsed]]+Table2[[#This Row],[Time Remaining]]</f>
        <v>608</v>
      </c>
      <c r="H188" s="136" t="s">
        <v>533</v>
      </c>
      <c r="I188" s="136" t="s">
        <v>534</v>
      </c>
      <c r="J188" s="13">
        <v>0</v>
      </c>
      <c r="K188" s="148">
        <v>0</v>
      </c>
      <c r="L188" s="166">
        <f>Table2[[#This Row],[Actual %]]-Table2[[#This Row],[Plan %]]</f>
        <v>0</v>
      </c>
      <c r="M188" s="144" t="s">
        <v>293</v>
      </c>
      <c r="N188" s="12">
        <v>45507</v>
      </c>
      <c r="O188" s="12"/>
      <c r="P188" s="12">
        <v>45507</v>
      </c>
      <c r="Q188" s="12">
        <v>45520</v>
      </c>
      <c r="R188" s="136" t="s">
        <v>539</v>
      </c>
      <c r="S188" s="167" t="s">
        <v>540</v>
      </c>
      <c r="T188" s="143" t="s">
        <v>541</v>
      </c>
      <c r="U188" s="35"/>
      <c r="V188" s="36"/>
      <c r="W188" s="36">
        <f>Table2[[#This Row],[Construction Contract Amount]]+Table2[[#This Row],[Cumulative Variations]]</f>
        <v>0</v>
      </c>
      <c r="X188" s="36"/>
      <c r="Y188" s="36"/>
      <c r="Z188" s="36">
        <f>Table2[[#This Row],[Final Contract Value]]+Table2[[#This Row],[Supervision Contract amount]]+Table2[[#This Row],[Authority Cost]]</f>
        <v>0</v>
      </c>
      <c r="AA188" s="36"/>
      <c r="AB188" s="36"/>
      <c r="AC188" s="91" t="str">
        <f t="shared" si="7"/>
        <v>https://drive.google.com/thumbnail?id=1L2I73RPdpxaKO9zAt2EjFURAX7DFTPZb&amp;sz=w1000</v>
      </c>
      <c r="AD188" s="117" t="s">
        <v>546</v>
      </c>
      <c r="AE188" s="74" t="str">
        <f t="shared" si="8"/>
        <v>https://drive.google.com/thumbnail?id=1AGpx0fGJvSUChgQhDonCGIknvfhb1EPL&amp;sz=w1000</v>
      </c>
      <c r="AF188" s="117" t="s">
        <v>551</v>
      </c>
      <c r="AG188" s="73" t="str">
        <f t="shared" si="9"/>
        <v>https://drive.google.com/thumbnail?id=1hTpfTQ2NSH26bsU3KzVg6m_V5Q-Tluu1&amp;sz=w1000</v>
      </c>
      <c r="AH188" s="117" t="s">
        <v>557</v>
      </c>
    </row>
    <row r="189" spans="1:34" ht="22.15" customHeight="1">
      <c r="A189" s="32">
        <v>45516</v>
      </c>
      <c r="B189" s="17" t="s">
        <v>128</v>
      </c>
      <c r="C189" s="2">
        <v>13</v>
      </c>
      <c r="D189" s="16" t="str" cm="1">
        <f t="array" ref="D189">_xlfn.XLOOKUP(1, (Table1[Project Name]=Table2[[#This Row],[Project ID]])*(Table1[Plot]=Table2[[#This Row],[Plot]]), Table1[Project ID])</f>
        <v>MJ-11</v>
      </c>
      <c r="E189" s="106">
        <v>14</v>
      </c>
      <c r="F189" s="107">
        <v>594</v>
      </c>
      <c r="G189" s="106">
        <f>Table2[[#This Row],[Time Elapsed]]+Table2[[#This Row],[Time Remaining]]</f>
        <v>608</v>
      </c>
      <c r="H189" s="136" t="s">
        <v>533</v>
      </c>
      <c r="I189" s="136" t="s">
        <v>534</v>
      </c>
      <c r="J189" s="13">
        <v>0</v>
      </c>
      <c r="K189" s="148">
        <v>0</v>
      </c>
      <c r="L189" s="166">
        <f>Table2[[#This Row],[Actual %]]-Table2[[#This Row],[Plan %]]</f>
        <v>0</v>
      </c>
      <c r="M189" s="144" t="s">
        <v>294</v>
      </c>
      <c r="N189" s="12">
        <v>45507</v>
      </c>
      <c r="O189" s="12"/>
      <c r="P189" s="12">
        <v>45507</v>
      </c>
      <c r="Q189" s="12">
        <v>45520</v>
      </c>
      <c r="R189" s="136" t="s">
        <v>539</v>
      </c>
      <c r="S189" s="167" t="s">
        <v>540</v>
      </c>
      <c r="T189" s="143" t="s">
        <v>541</v>
      </c>
      <c r="U189" s="35"/>
      <c r="V189" s="36"/>
      <c r="W189" s="36">
        <f>Table2[[#This Row],[Construction Contract Amount]]+Table2[[#This Row],[Cumulative Variations]]</f>
        <v>0</v>
      </c>
      <c r="X189" s="36"/>
      <c r="Y189" s="36"/>
      <c r="Z189" s="36">
        <f>Table2[[#This Row],[Final Contract Value]]+Table2[[#This Row],[Supervision Contract amount]]+Table2[[#This Row],[Authority Cost]]</f>
        <v>0</v>
      </c>
      <c r="AA189" s="36"/>
      <c r="AB189" s="36"/>
      <c r="AC189" s="91" t="str">
        <f t="shared" si="7"/>
        <v>https://drive.google.com/thumbnail?id=1L2I73RPdpxaKO9zAt2EjFURAX7DFTPZb&amp;sz=w1000</v>
      </c>
      <c r="AD189" s="117" t="s">
        <v>546</v>
      </c>
      <c r="AE189" s="74" t="str">
        <f t="shared" si="8"/>
        <v>https://drive.google.com/thumbnail?id=1AGpx0fGJvSUChgQhDonCGIknvfhb1EPL&amp;sz=w1000</v>
      </c>
      <c r="AF189" s="117" t="s">
        <v>551</v>
      </c>
      <c r="AG189" s="73" t="str">
        <f t="shared" si="9"/>
        <v>https://drive.google.com/thumbnail?id=1hTpfTQ2NSH26bsU3KzVg6m_V5Q-Tluu1&amp;sz=w1000</v>
      </c>
      <c r="AH189" s="117" t="s">
        <v>557</v>
      </c>
    </row>
    <row r="190" spans="1:34" ht="22.15" customHeight="1">
      <c r="A190" s="32">
        <v>45516</v>
      </c>
      <c r="B190" s="17" t="s">
        <v>128</v>
      </c>
      <c r="C190" s="2">
        <v>13</v>
      </c>
      <c r="D190" s="16" t="str" cm="1">
        <f t="array" ref="D190">_xlfn.XLOOKUP(1, (Table1[Project Name]=Table2[[#This Row],[Project ID]])*(Table1[Plot]=Table2[[#This Row],[Plot]]), Table1[Project ID])</f>
        <v>MJ-11</v>
      </c>
      <c r="E190" s="106">
        <v>14</v>
      </c>
      <c r="F190" s="107">
        <v>594</v>
      </c>
      <c r="G190" s="106">
        <f>Table2[[#This Row],[Time Elapsed]]+Table2[[#This Row],[Time Remaining]]</f>
        <v>608</v>
      </c>
      <c r="H190" s="136" t="s">
        <v>533</v>
      </c>
      <c r="I190" s="136" t="s">
        <v>534</v>
      </c>
      <c r="J190" s="13">
        <v>0</v>
      </c>
      <c r="K190" s="148">
        <v>0</v>
      </c>
      <c r="L190" s="166">
        <f>Table2[[#This Row],[Actual %]]-Table2[[#This Row],[Plan %]]</f>
        <v>0</v>
      </c>
      <c r="M190" s="144" t="s">
        <v>542</v>
      </c>
      <c r="N190" s="12">
        <v>45511</v>
      </c>
      <c r="O190" s="12"/>
      <c r="P190" s="12">
        <v>45511</v>
      </c>
      <c r="Q190" s="12">
        <v>45520</v>
      </c>
      <c r="R190" s="136" t="s">
        <v>539</v>
      </c>
      <c r="S190" s="167" t="s">
        <v>540</v>
      </c>
      <c r="T190" s="143" t="s">
        <v>541</v>
      </c>
      <c r="U190" s="35"/>
      <c r="V190" s="36"/>
      <c r="W190" s="36">
        <f>Table2[[#This Row],[Construction Contract Amount]]+Table2[[#This Row],[Cumulative Variations]]</f>
        <v>0</v>
      </c>
      <c r="X190" s="36"/>
      <c r="Y190" s="36"/>
      <c r="Z190" s="36">
        <f>Table2[[#This Row],[Final Contract Value]]+Table2[[#This Row],[Supervision Contract amount]]+Table2[[#This Row],[Authority Cost]]</f>
        <v>0</v>
      </c>
      <c r="AA190" s="36"/>
      <c r="AB190" s="36"/>
      <c r="AC190" s="91" t="str">
        <f t="shared" si="7"/>
        <v>https://drive.google.com/thumbnail?id=1L2I73RPdpxaKO9zAt2EjFURAX7DFTPZb&amp;sz=w1000</v>
      </c>
      <c r="AD190" s="117" t="s">
        <v>546</v>
      </c>
      <c r="AE190" s="74" t="str">
        <f t="shared" si="8"/>
        <v>https://drive.google.com/thumbnail?id=1AGpx0fGJvSUChgQhDonCGIknvfhb1EPL&amp;sz=w1000</v>
      </c>
      <c r="AF190" s="117" t="s">
        <v>551</v>
      </c>
      <c r="AG190" s="73" t="str">
        <f t="shared" si="9"/>
        <v>https://drive.google.com/thumbnail?id=1hTpfTQ2NSH26bsU3KzVg6m_V5Q-Tluu1&amp;sz=w1000</v>
      </c>
      <c r="AH190" s="117" t="s">
        <v>557</v>
      </c>
    </row>
    <row r="191" spans="1:34" ht="22.15" customHeight="1">
      <c r="A191" s="32">
        <v>45516</v>
      </c>
      <c r="B191" s="17" t="s">
        <v>128</v>
      </c>
      <c r="C191" s="2">
        <v>13</v>
      </c>
      <c r="D191" s="16" t="str" cm="1">
        <f t="array" ref="D191">_xlfn.XLOOKUP(1, (Table1[Project Name]=Table2[[#This Row],[Project ID]])*(Table1[Plot]=Table2[[#This Row],[Plot]]), Table1[Project ID])</f>
        <v>MJ-11</v>
      </c>
      <c r="E191" s="106">
        <v>14</v>
      </c>
      <c r="F191" s="107">
        <v>594</v>
      </c>
      <c r="G191" s="106">
        <f>Table2[[#This Row],[Time Elapsed]]+Table2[[#This Row],[Time Remaining]]</f>
        <v>608</v>
      </c>
      <c r="H191" s="136" t="s">
        <v>533</v>
      </c>
      <c r="I191" s="136" t="s">
        <v>534</v>
      </c>
      <c r="J191" s="13">
        <v>0</v>
      </c>
      <c r="K191" s="148">
        <v>0</v>
      </c>
      <c r="L191" s="166">
        <f>Table2[[#This Row],[Actual %]]-Table2[[#This Row],[Plan %]]</f>
        <v>0</v>
      </c>
      <c r="M191" s="144" t="s">
        <v>543</v>
      </c>
      <c r="N191" s="12">
        <v>45532</v>
      </c>
      <c r="O191" s="12"/>
      <c r="P191" s="12">
        <v>45532</v>
      </c>
      <c r="Q191" s="12">
        <v>45520</v>
      </c>
      <c r="R191" s="136" t="s">
        <v>539</v>
      </c>
      <c r="S191" s="167" t="s">
        <v>540</v>
      </c>
      <c r="T191" s="143" t="s">
        <v>541</v>
      </c>
      <c r="U191" s="35"/>
      <c r="V191" s="36"/>
      <c r="W191" s="36">
        <f>Table2[[#This Row],[Construction Contract Amount]]+Table2[[#This Row],[Cumulative Variations]]</f>
        <v>0</v>
      </c>
      <c r="X191" s="36"/>
      <c r="Y191" s="36"/>
      <c r="Z191" s="36">
        <f>Table2[[#This Row],[Final Contract Value]]+Table2[[#This Row],[Supervision Contract amount]]+Table2[[#This Row],[Authority Cost]]</f>
        <v>0</v>
      </c>
      <c r="AA191" s="36"/>
      <c r="AB191" s="36"/>
      <c r="AC191" s="91" t="str">
        <f t="shared" si="7"/>
        <v>https://drive.google.com/thumbnail?id=1L2I73RPdpxaKO9zAt2EjFURAX7DFTPZb&amp;sz=w1000</v>
      </c>
      <c r="AD191" s="117" t="s">
        <v>546</v>
      </c>
      <c r="AE191" s="74" t="str">
        <f t="shared" si="8"/>
        <v>https://drive.google.com/thumbnail?id=1AGpx0fGJvSUChgQhDonCGIknvfhb1EPL&amp;sz=w1000</v>
      </c>
      <c r="AF191" s="117" t="s">
        <v>551</v>
      </c>
      <c r="AG191" s="73" t="str">
        <f t="shared" si="9"/>
        <v>https://drive.google.com/thumbnail?id=1hTpfTQ2NSH26bsU3KzVg6m_V5Q-Tluu1&amp;sz=w1000</v>
      </c>
      <c r="AH191" s="117" t="s">
        <v>557</v>
      </c>
    </row>
    <row r="192" spans="1:34" ht="22.15" customHeight="1">
      <c r="A192" s="32">
        <v>45516</v>
      </c>
      <c r="B192" s="17" t="s">
        <v>128</v>
      </c>
      <c r="C192" s="2">
        <v>13</v>
      </c>
      <c r="D192" s="16" t="str" cm="1">
        <f t="array" ref="D192">_xlfn.XLOOKUP(1, (Table1[Project Name]=Table2[[#This Row],[Project ID]])*(Table1[Plot]=Table2[[#This Row],[Plot]]), Table1[Project ID])</f>
        <v>MJ-11</v>
      </c>
      <c r="E192" s="106">
        <v>14</v>
      </c>
      <c r="F192" s="107">
        <v>594</v>
      </c>
      <c r="G192" s="106">
        <f>Table2[[#This Row],[Time Elapsed]]+Table2[[#This Row],[Time Remaining]]</f>
        <v>608</v>
      </c>
      <c r="H192" s="136" t="s">
        <v>533</v>
      </c>
      <c r="I192" s="136" t="s">
        <v>534</v>
      </c>
      <c r="J192" s="13">
        <v>0</v>
      </c>
      <c r="K192" s="148">
        <v>0</v>
      </c>
      <c r="L192" s="166">
        <f>Table2[[#This Row],[Actual %]]-Table2[[#This Row],[Plan %]]</f>
        <v>0</v>
      </c>
      <c r="M192" s="144" t="s">
        <v>339</v>
      </c>
      <c r="N192" s="12">
        <v>46096</v>
      </c>
      <c r="O192" s="12"/>
      <c r="P192" s="12">
        <v>46096</v>
      </c>
      <c r="Q192" s="12">
        <v>45520</v>
      </c>
      <c r="R192" s="136" t="s">
        <v>539</v>
      </c>
      <c r="S192" s="167" t="s">
        <v>540</v>
      </c>
      <c r="T192" s="143" t="s">
        <v>541</v>
      </c>
      <c r="U192" s="35"/>
      <c r="V192" s="36"/>
      <c r="W192" s="36">
        <f>Table2[[#This Row],[Construction Contract Amount]]+Table2[[#This Row],[Cumulative Variations]]</f>
        <v>0</v>
      </c>
      <c r="X192" s="36"/>
      <c r="Y192" s="36"/>
      <c r="Z192" s="36">
        <f>Table2[[#This Row],[Final Contract Value]]+Table2[[#This Row],[Supervision Contract amount]]+Table2[[#This Row],[Authority Cost]]</f>
        <v>0</v>
      </c>
      <c r="AA192" s="36"/>
      <c r="AB192" s="36"/>
      <c r="AC192" s="91" t="str">
        <f t="shared" si="7"/>
        <v>https://drive.google.com/thumbnail?id=1L2I73RPdpxaKO9zAt2EjFURAX7DFTPZb&amp;sz=w1000</v>
      </c>
      <c r="AD192" s="117" t="s">
        <v>546</v>
      </c>
      <c r="AE192" s="74" t="str">
        <f t="shared" si="8"/>
        <v>https://drive.google.com/thumbnail?id=1AGpx0fGJvSUChgQhDonCGIknvfhb1EPL&amp;sz=w1000</v>
      </c>
      <c r="AF192" s="117" t="s">
        <v>551</v>
      </c>
      <c r="AG192" s="73" t="str">
        <f t="shared" si="9"/>
        <v>https://drive.google.com/thumbnail?id=1hTpfTQ2NSH26bsU3KzVg6m_V5Q-Tluu1&amp;sz=w1000</v>
      </c>
      <c r="AH192" s="117" t="s">
        <v>557</v>
      </c>
    </row>
    <row r="193" spans="1:34" ht="22.15" customHeight="1">
      <c r="A193" s="32">
        <v>45516</v>
      </c>
      <c r="B193" s="9" t="s">
        <v>160</v>
      </c>
      <c r="C193" s="2" t="s">
        <v>162</v>
      </c>
      <c r="D193" s="16" t="str" cm="1">
        <f t="array" ref="D193">_xlfn.XLOOKUP(1, (Table1[Project Name]=Table2[[#This Row],[Project ID]])*(Table1[Plot]=Table2[[#This Row],[Plot]]), Table1[Project ID])</f>
        <v>CP-05</v>
      </c>
      <c r="E193" s="108">
        <v>14</v>
      </c>
      <c r="F193" s="109">
        <v>594</v>
      </c>
      <c r="G193" s="108">
        <f>Table2[[#This Row],[Time Elapsed]]+Table2[[#This Row],[Time Remaining]]</f>
        <v>608</v>
      </c>
      <c r="H193" s="136" t="s">
        <v>535</v>
      </c>
      <c r="I193" s="136" t="s">
        <v>536</v>
      </c>
      <c r="J193" s="13">
        <v>0</v>
      </c>
      <c r="K193" s="148">
        <v>0</v>
      </c>
      <c r="L193" s="166">
        <f>Table2[[#This Row],[Actual %]]-Table2[[#This Row],[Plan %]]</f>
        <v>0</v>
      </c>
      <c r="M193" s="144" t="s">
        <v>285</v>
      </c>
      <c r="N193" s="12">
        <v>45489</v>
      </c>
      <c r="O193" s="12">
        <v>45489</v>
      </c>
      <c r="P193" s="12"/>
      <c r="Q193" s="12">
        <v>45520</v>
      </c>
      <c r="R193" s="136" t="s">
        <v>544</v>
      </c>
      <c r="S193" s="167" t="s">
        <v>601</v>
      </c>
      <c r="T193" s="143" t="s">
        <v>541</v>
      </c>
      <c r="U193" s="35"/>
      <c r="V193" s="36"/>
      <c r="W193" s="36">
        <f>Table2[[#This Row],[Construction Contract Amount]]+Table2[[#This Row],[Cumulative Variations]]</f>
        <v>0</v>
      </c>
      <c r="X193" s="36"/>
      <c r="Y193" s="36"/>
      <c r="Z193" s="36">
        <f>Table2[[#This Row],[Final Contract Value]]+Table2[[#This Row],[Supervision Contract amount]]+Table2[[#This Row],[Authority Cost]]</f>
        <v>0</v>
      </c>
      <c r="AA193" s="36"/>
      <c r="AB193" s="36"/>
      <c r="AC193" s="91" t="str">
        <f t="shared" si="7"/>
        <v>https://drive.google.com/thumbnail?id=1BVjBBAXT_96iPy3fp-6ru_uP2gFFD9k5&amp;sz=w1000</v>
      </c>
      <c r="AD193" s="118" t="s">
        <v>547</v>
      </c>
      <c r="AE193" s="74" t="str">
        <f t="shared" si="8"/>
        <v>https://drive.google.com/thumbnail?id=18JXX9Xdz8u3muQ6ah955dHbx8Mt116y0&amp;sz=w1000</v>
      </c>
      <c r="AF193" s="118" t="s">
        <v>552</v>
      </c>
      <c r="AG193" s="73" t="str">
        <f t="shared" si="9"/>
        <v>https://drive.google.com/thumbnail?id=1DniouUoUJ3x7ZuVALbXjnO8pXKv0CDN4&amp;sz=w1000</v>
      </c>
      <c r="AH193" s="118" t="s">
        <v>558</v>
      </c>
    </row>
    <row r="194" spans="1:34" ht="22.15" customHeight="1">
      <c r="A194" s="32">
        <v>45516</v>
      </c>
      <c r="B194" s="9" t="s">
        <v>160</v>
      </c>
      <c r="C194" s="2" t="s">
        <v>162</v>
      </c>
      <c r="D194" s="16" t="str" cm="1">
        <f t="array" ref="D194">_xlfn.XLOOKUP(1, (Table1[Project Name]=Table2[[#This Row],[Project ID]])*(Table1[Plot]=Table2[[#This Row],[Plot]]), Table1[Project ID])</f>
        <v>CP-05</v>
      </c>
      <c r="E194" s="108">
        <v>14</v>
      </c>
      <c r="F194" s="109">
        <v>594</v>
      </c>
      <c r="G194" s="108">
        <f>Table2[[#This Row],[Time Elapsed]]+Table2[[#This Row],[Time Remaining]]</f>
        <v>608</v>
      </c>
      <c r="H194" s="136" t="s">
        <v>535</v>
      </c>
      <c r="I194" s="136" t="s">
        <v>536</v>
      </c>
      <c r="J194" s="13">
        <v>0</v>
      </c>
      <c r="K194" s="148">
        <v>0</v>
      </c>
      <c r="L194" s="166">
        <f>Table2[[#This Row],[Actual %]]-Table2[[#This Row],[Plan %]]</f>
        <v>0</v>
      </c>
      <c r="M194" s="144" t="s">
        <v>545</v>
      </c>
      <c r="N194" s="12">
        <v>45500</v>
      </c>
      <c r="O194" s="12">
        <v>45500</v>
      </c>
      <c r="P194" s="12"/>
      <c r="Q194" s="12">
        <v>45520</v>
      </c>
      <c r="R194" s="136" t="s">
        <v>544</v>
      </c>
      <c r="S194" s="167" t="s">
        <v>601</v>
      </c>
      <c r="T194" s="143" t="s">
        <v>541</v>
      </c>
      <c r="U194" s="35"/>
      <c r="V194" s="36"/>
      <c r="W194" s="36">
        <f>Table2[[#This Row],[Construction Contract Amount]]+Table2[[#This Row],[Cumulative Variations]]</f>
        <v>0</v>
      </c>
      <c r="X194" s="36"/>
      <c r="Y194" s="36"/>
      <c r="Z194" s="36">
        <f>Table2[[#This Row],[Final Contract Value]]+Table2[[#This Row],[Supervision Contract amount]]+Table2[[#This Row],[Authority Cost]]</f>
        <v>0</v>
      </c>
      <c r="AA194" s="36"/>
      <c r="AB194" s="36"/>
      <c r="AC194" s="91" t="str">
        <f t="shared" ref="AC194:AC257" si="10">CONCATENATE("https://drive.google.com/thumbnail?id=", MID(AD194, FIND("/d/", AD194) + 3, FIND("/view", AD194) - FIND("/d/", AD194) - 3), "&amp;sz=w1000")</f>
        <v>https://drive.google.com/thumbnail?id=1BVjBBAXT_96iPy3fp-6ru_uP2gFFD9k5&amp;sz=w1000</v>
      </c>
      <c r="AD194" s="118" t="s">
        <v>547</v>
      </c>
      <c r="AE194" s="74" t="str">
        <f t="shared" ref="AE194:AE257" si="11">CONCATENATE("https://drive.google.com/thumbnail?id=", MID(AF194, FIND("/d/", AF194) + 3, FIND("/view", AF194) - FIND("/d/", AF194) - 3), "&amp;sz=w1000")</f>
        <v>https://drive.google.com/thumbnail?id=18JXX9Xdz8u3muQ6ah955dHbx8Mt116y0&amp;sz=w1000</v>
      </c>
      <c r="AF194" s="118" t="s">
        <v>552</v>
      </c>
      <c r="AG194" s="73" t="str">
        <f t="shared" ref="AG194:AG257" si="12">CONCATENATE("https://drive.google.com/thumbnail?id=", MID(AH194, FIND("/d/", AH194) + 3, FIND("/view", AH194) - FIND("/d/", AH194) - 3), "&amp;sz=w1000")</f>
        <v>https://drive.google.com/thumbnail?id=1DniouUoUJ3x7ZuVALbXjnO8pXKv0CDN4&amp;sz=w1000</v>
      </c>
      <c r="AH194" s="118" t="s">
        <v>558</v>
      </c>
    </row>
    <row r="195" spans="1:34" ht="22.15" customHeight="1">
      <c r="A195" s="32">
        <v>45516</v>
      </c>
      <c r="B195" s="8" t="s">
        <v>164</v>
      </c>
      <c r="C195" s="2" t="s">
        <v>166</v>
      </c>
      <c r="D195" s="16" t="str" cm="1">
        <f t="array" ref="D195">_xlfn.XLOOKUP(1, (Table1[Project Name]=Table2[[#This Row],[Project ID]])*(Table1[Plot]=Table2[[#This Row],[Plot]]), Table1[Project ID])</f>
        <v>CP-06</v>
      </c>
      <c r="E195" s="110">
        <v>14</v>
      </c>
      <c r="F195" s="111">
        <v>594</v>
      </c>
      <c r="G195" s="110">
        <f>Table2[[#This Row],[Time Elapsed]]+Table2[[#This Row],[Time Remaining]]</f>
        <v>608</v>
      </c>
      <c r="H195" s="136" t="s">
        <v>535</v>
      </c>
      <c r="I195" s="136" t="s">
        <v>536</v>
      </c>
      <c r="J195" s="13">
        <v>0</v>
      </c>
      <c r="K195" s="148">
        <v>0</v>
      </c>
      <c r="L195" s="166">
        <f>Table2[[#This Row],[Actual %]]-Table2[[#This Row],[Plan %]]</f>
        <v>0</v>
      </c>
      <c r="M195" s="144" t="s">
        <v>285</v>
      </c>
      <c r="N195" s="12">
        <v>45489</v>
      </c>
      <c r="O195" s="12">
        <v>45489</v>
      </c>
      <c r="P195" s="12"/>
      <c r="Q195" s="12">
        <v>45520</v>
      </c>
      <c r="R195" s="136" t="s">
        <v>544</v>
      </c>
      <c r="S195" s="167" t="s">
        <v>601</v>
      </c>
      <c r="T195" s="143" t="s">
        <v>541</v>
      </c>
      <c r="U195" s="35"/>
      <c r="V195" s="36"/>
      <c r="W195" s="36">
        <f>Table2[[#This Row],[Construction Contract Amount]]+Table2[[#This Row],[Cumulative Variations]]</f>
        <v>0</v>
      </c>
      <c r="X195" s="36"/>
      <c r="Y195" s="36"/>
      <c r="Z195" s="36">
        <f>Table2[[#This Row],[Final Contract Value]]+Table2[[#This Row],[Supervision Contract amount]]+Table2[[#This Row],[Authority Cost]]</f>
        <v>0</v>
      </c>
      <c r="AA195" s="36"/>
      <c r="AB195" s="36"/>
      <c r="AC195" s="91" t="str">
        <f t="shared" si="10"/>
        <v>https://drive.google.com/thumbnail?id=15hAdSmxMNgF49PWXzt3FyV7tP6RC-DYV&amp;sz=w1000</v>
      </c>
      <c r="AD195" s="119" t="s">
        <v>548</v>
      </c>
      <c r="AE195" s="74" t="str">
        <f t="shared" si="11"/>
        <v>https://drive.google.com/thumbnail?id=1QTt3cnFrYx2jRA1mwDh2HaskxQ_KA9bI&amp;sz=w1000</v>
      </c>
      <c r="AF195" s="119" t="s">
        <v>553</v>
      </c>
      <c r="AG195" s="73" t="str">
        <f t="shared" si="12"/>
        <v>https://drive.google.com/thumbnail?id=1Erl7NeY9yDz7jaHgoz9oWN5EzWXacAUi&amp;sz=w1000</v>
      </c>
      <c r="AH195" s="119" t="s">
        <v>559</v>
      </c>
    </row>
    <row r="196" spans="1:34" ht="22.15" customHeight="1">
      <c r="A196" s="32">
        <v>45516</v>
      </c>
      <c r="B196" s="8" t="s">
        <v>164</v>
      </c>
      <c r="C196" s="2" t="s">
        <v>166</v>
      </c>
      <c r="D196" s="16" t="str" cm="1">
        <f t="array" ref="D196">_xlfn.XLOOKUP(1, (Table1[Project Name]=Table2[[#This Row],[Project ID]])*(Table1[Plot]=Table2[[#This Row],[Plot]]), Table1[Project ID])</f>
        <v>CP-06</v>
      </c>
      <c r="E196" s="112">
        <v>14</v>
      </c>
      <c r="F196" s="113">
        <v>594</v>
      </c>
      <c r="G196" s="112">
        <f>Table2[[#This Row],[Time Elapsed]]+Table2[[#This Row],[Time Remaining]]</f>
        <v>608</v>
      </c>
      <c r="H196" s="136" t="s">
        <v>535</v>
      </c>
      <c r="I196" s="136" t="s">
        <v>536</v>
      </c>
      <c r="J196" s="13">
        <v>0</v>
      </c>
      <c r="K196" s="148">
        <v>0</v>
      </c>
      <c r="L196" s="166">
        <f>Table2[[#This Row],[Actual %]]-Table2[[#This Row],[Plan %]]</f>
        <v>0</v>
      </c>
      <c r="M196" s="144" t="s">
        <v>545</v>
      </c>
      <c r="N196" s="12">
        <v>45500</v>
      </c>
      <c r="O196" s="12">
        <v>45500</v>
      </c>
      <c r="P196" s="12"/>
      <c r="Q196" s="12">
        <v>45520</v>
      </c>
      <c r="R196" s="136" t="s">
        <v>544</v>
      </c>
      <c r="S196" s="167" t="s">
        <v>601</v>
      </c>
      <c r="T196" s="143" t="s">
        <v>541</v>
      </c>
      <c r="U196" s="35"/>
      <c r="V196" s="36"/>
      <c r="W196" s="36">
        <f>Table2[[#This Row],[Construction Contract Amount]]+Table2[[#This Row],[Cumulative Variations]]</f>
        <v>0</v>
      </c>
      <c r="X196" s="36"/>
      <c r="Y196" s="36"/>
      <c r="Z196" s="36">
        <f>Table2[[#This Row],[Final Contract Value]]+Table2[[#This Row],[Supervision Contract amount]]+Table2[[#This Row],[Authority Cost]]</f>
        <v>0</v>
      </c>
      <c r="AA196" s="36"/>
      <c r="AB196" s="36"/>
      <c r="AC196" s="91" t="str">
        <f t="shared" si="10"/>
        <v>https://drive.google.com/thumbnail?id=15hAdSmxMNgF49PWXzt3FyV7tP6RC-DYV&amp;sz=w1000</v>
      </c>
      <c r="AD196" s="120" t="s">
        <v>548</v>
      </c>
      <c r="AE196" s="74" t="str">
        <f t="shared" si="11"/>
        <v>https://drive.google.com/thumbnail?id=1QTt3cnFrYx2jRA1mwDh2HaskxQ_KA9bI&amp;sz=w1000</v>
      </c>
      <c r="AF196" s="120" t="s">
        <v>553</v>
      </c>
      <c r="AG196" s="73" t="str">
        <f t="shared" si="12"/>
        <v>https://drive.google.com/thumbnail?id=1Erl7NeY9yDz7jaHgoz9oWN5EzWXacAUi&amp;sz=w1000</v>
      </c>
      <c r="AH196" s="120" t="s">
        <v>559</v>
      </c>
    </row>
    <row r="197" spans="1:34" ht="22.15" customHeight="1">
      <c r="A197" s="32">
        <v>45516</v>
      </c>
      <c r="B197" s="8" t="s">
        <v>157</v>
      </c>
      <c r="C197" s="2" t="s">
        <v>158</v>
      </c>
      <c r="D197" s="16" t="str" cm="1">
        <f t="array" ref="D197">_xlfn.XLOOKUP(1, (Table1[Project Name]=Table2[[#This Row],[Project ID]])*(Table1[Plot]=Table2[[#This Row],[Plot]]), Table1[Project ID])</f>
        <v>CP-04</v>
      </c>
      <c r="E197" s="112">
        <v>14</v>
      </c>
      <c r="F197" s="113">
        <v>594</v>
      </c>
      <c r="G197" s="112">
        <f>Table2[[#This Row],[Time Elapsed]]+Table2[[#This Row],[Time Remaining]]</f>
        <v>608</v>
      </c>
      <c r="H197" s="136" t="s">
        <v>537</v>
      </c>
      <c r="I197" s="136" t="s">
        <v>538</v>
      </c>
      <c r="J197" s="13">
        <v>0</v>
      </c>
      <c r="K197" s="148">
        <v>0</v>
      </c>
      <c r="L197" s="166">
        <f>Table2[[#This Row],[Actual %]]-Table2[[#This Row],[Plan %]]</f>
        <v>0</v>
      </c>
      <c r="M197" s="144" t="s">
        <v>285</v>
      </c>
      <c r="N197" s="12">
        <v>45489</v>
      </c>
      <c r="O197" s="12">
        <v>45489</v>
      </c>
      <c r="P197" s="12"/>
      <c r="Q197" s="12">
        <v>45520</v>
      </c>
      <c r="R197" s="136" t="s">
        <v>544</v>
      </c>
      <c r="S197" s="167" t="s">
        <v>601</v>
      </c>
      <c r="T197" s="143" t="s">
        <v>541</v>
      </c>
      <c r="U197" s="35"/>
      <c r="V197" s="36"/>
      <c r="W197" s="36">
        <f>Table2[[#This Row],[Construction Contract Amount]]+Table2[[#This Row],[Cumulative Variations]]</f>
        <v>0</v>
      </c>
      <c r="X197" s="36"/>
      <c r="Y197" s="36"/>
      <c r="Z197" s="36">
        <f>Table2[[#This Row],[Final Contract Value]]+Table2[[#This Row],[Supervision Contract amount]]+Table2[[#This Row],[Authority Cost]]</f>
        <v>0</v>
      </c>
      <c r="AA197" s="36"/>
      <c r="AB197" s="36"/>
      <c r="AC197" s="91" t="str">
        <f t="shared" si="10"/>
        <v>https://drive.google.com/thumbnail?id=1jy1jKqvPQlXEx88sgsCJn4_Xn9TzTh0g&amp;sz=w1000</v>
      </c>
      <c r="AD197" s="120" t="s">
        <v>549</v>
      </c>
      <c r="AE197" s="74" t="str">
        <f t="shared" si="11"/>
        <v>https://drive.google.com/thumbnail?id=1A9cK8swFtcvt3i5pczRoUvEUjnHeKzVL&amp;sz=w1000</v>
      </c>
      <c r="AF197" s="120" t="s">
        <v>554</v>
      </c>
      <c r="AG197" s="73" t="str">
        <f t="shared" si="12"/>
        <v>https://drive.google.com/thumbnail?id=1c_Dwx1T-XSZFsCAQtJWlrkzPzGdVQlbf&amp;sz=w1000</v>
      </c>
      <c r="AH197" s="120" t="s">
        <v>560</v>
      </c>
    </row>
    <row r="198" spans="1:34" ht="22.15" customHeight="1">
      <c r="A198" s="32">
        <v>45516</v>
      </c>
      <c r="B198" s="8" t="s">
        <v>157</v>
      </c>
      <c r="C198" s="2" t="s">
        <v>158</v>
      </c>
      <c r="D198" s="16" t="str" cm="1">
        <f t="array" ref="D198">_xlfn.XLOOKUP(1, (Table1[Project Name]=Table2[[#This Row],[Project ID]])*(Table1[Plot]=Table2[[#This Row],[Plot]]), Table1[Project ID])</f>
        <v>CP-04</v>
      </c>
      <c r="E198" s="112">
        <v>14</v>
      </c>
      <c r="F198" s="113">
        <v>594</v>
      </c>
      <c r="G198" s="112">
        <f>Table2[[#This Row],[Time Elapsed]]+Table2[[#This Row],[Time Remaining]]</f>
        <v>608</v>
      </c>
      <c r="H198" s="136" t="s">
        <v>537</v>
      </c>
      <c r="I198" s="136" t="s">
        <v>538</v>
      </c>
      <c r="J198" s="13">
        <v>0</v>
      </c>
      <c r="K198" s="148">
        <v>0</v>
      </c>
      <c r="L198" s="166">
        <f>Table2[[#This Row],[Actual %]]-Table2[[#This Row],[Plan %]]</f>
        <v>0</v>
      </c>
      <c r="M198" s="144" t="s">
        <v>545</v>
      </c>
      <c r="N198" s="12">
        <v>45500</v>
      </c>
      <c r="O198" s="12">
        <v>45500</v>
      </c>
      <c r="P198" s="12"/>
      <c r="Q198" s="12">
        <v>45520</v>
      </c>
      <c r="R198" s="136" t="s">
        <v>544</v>
      </c>
      <c r="S198" s="167" t="s">
        <v>601</v>
      </c>
      <c r="T198" s="143" t="s">
        <v>541</v>
      </c>
      <c r="U198" s="35"/>
      <c r="V198" s="36"/>
      <c r="W198" s="36">
        <f>Table2[[#This Row],[Construction Contract Amount]]+Table2[[#This Row],[Cumulative Variations]]</f>
        <v>0</v>
      </c>
      <c r="X198" s="36"/>
      <c r="Y198" s="36"/>
      <c r="Z198" s="36">
        <f>Table2[[#This Row],[Final Contract Value]]+Table2[[#This Row],[Supervision Contract amount]]+Table2[[#This Row],[Authority Cost]]</f>
        <v>0</v>
      </c>
      <c r="AA198" s="36"/>
      <c r="AB198" s="36"/>
      <c r="AC198" s="91" t="str">
        <f t="shared" si="10"/>
        <v>https://drive.google.com/thumbnail?id=1jy1jKqvPQlXEx88sgsCJn4_Xn9TzTh0g&amp;sz=w1000</v>
      </c>
      <c r="AD198" s="120" t="s">
        <v>549</v>
      </c>
      <c r="AE198" s="74" t="str">
        <f t="shared" si="11"/>
        <v>https://drive.google.com/thumbnail?id=1A9cK8swFtcvt3i5pczRoUvEUjnHeKzVL&amp;sz=w1000</v>
      </c>
      <c r="AF198" s="120" t="s">
        <v>554</v>
      </c>
      <c r="AG198" s="73" t="str">
        <f t="shared" si="12"/>
        <v>https://drive.google.com/thumbnail?id=1c_Dwx1T-XSZFsCAQtJWlrkzPzGdVQlbf&amp;sz=w1000</v>
      </c>
      <c r="AH198" s="120" t="s">
        <v>560</v>
      </c>
    </row>
    <row r="199" spans="1:34" ht="22.15" customHeight="1">
      <c r="A199" s="32">
        <v>45516</v>
      </c>
      <c r="B199" s="24" t="s">
        <v>153</v>
      </c>
      <c r="C199" s="2" t="s">
        <v>155</v>
      </c>
      <c r="D199" s="16" t="str" cm="1">
        <f t="array" ref="D199">_xlfn.XLOOKUP(1, (Table1[Project Name]=Table2[[#This Row],[Project ID]])*(Table1[Plot]=Table2[[#This Row],[Plot]]), Table1[Project ID])</f>
        <v>CP-03</v>
      </c>
      <c r="E199" s="114">
        <v>14</v>
      </c>
      <c r="F199" s="115">
        <v>594</v>
      </c>
      <c r="G199" s="114">
        <f>Table2[[#This Row],[Time Elapsed]]+Table2[[#This Row],[Time Remaining]]</f>
        <v>608</v>
      </c>
      <c r="H199" s="136" t="s">
        <v>537</v>
      </c>
      <c r="I199" s="136" t="s">
        <v>538</v>
      </c>
      <c r="J199" s="13">
        <v>0</v>
      </c>
      <c r="K199" s="148">
        <v>0</v>
      </c>
      <c r="L199" s="166">
        <f>Table2[[#This Row],[Actual %]]-Table2[[#This Row],[Plan %]]</f>
        <v>0</v>
      </c>
      <c r="M199" s="144" t="s">
        <v>285</v>
      </c>
      <c r="N199" s="12">
        <v>45489</v>
      </c>
      <c r="O199" s="12">
        <v>45489</v>
      </c>
      <c r="P199" s="12"/>
      <c r="Q199" s="12">
        <v>45520</v>
      </c>
      <c r="R199" s="136" t="s">
        <v>544</v>
      </c>
      <c r="S199" s="167" t="s">
        <v>601</v>
      </c>
      <c r="T199" s="143" t="s">
        <v>541</v>
      </c>
      <c r="U199" s="35"/>
      <c r="V199" s="36"/>
      <c r="W199" s="36">
        <f>Table2[[#This Row],[Construction Contract Amount]]+Table2[[#This Row],[Cumulative Variations]]</f>
        <v>0</v>
      </c>
      <c r="X199" s="36"/>
      <c r="Y199" s="36"/>
      <c r="Z199" s="36">
        <f>Table2[[#This Row],[Final Contract Value]]+Table2[[#This Row],[Supervision Contract amount]]+Table2[[#This Row],[Authority Cost]]</f>
        <v>0</v>
      </c>
      <c r="AA199" s="36"/>
      <c r="AB199" s="36"/>
      <c r="AC199" s="91" t="str">
        <f t="shared" si="10"/>
        <v>https://drive.google.com/thumbnail?id=1G0X3ugNeHwTLERFskdq8bubMXXLFcuaw&amp;sz=w1000</v>
      </c>
      <c r="AD199" s="121" t="s">
        <v>550</v>
      </c>
      <c r="AE199" s="74" t="str">
        <f t="shared" si="11"/>
        <v>https://drive.google.com/thumbnail?id=1jHGj7XAWagahBHNCKtHr5H5tDQk0bs8B&amp;sz=w1000</v>
      </c>
      <c r="AF199" s="121" t="s">
        <v>555</v>
      </c>
      <c r="AG199" s="73" t="str">
        <f t="shared" si="12"/>
        <v>https://drive.google.com/thumbnail?id=1L3X2HGJwAc7DPG7ILmixFmOZqHkRaHZL&amp;sz=w1000</v>
      </c>
      <c r="AH199" s="121" t="s">
        <v>561</v>
      </c>
    </row>
    <row r="200" spans="1:34" ht="22.15" customHeight="1">
      <c r="A200" s="32">
        <v>45516</v>
      </c>
      <c r="B200" s="24" t="s">
        <v>153</v>
      </c>
      <c r="C200" s="2" t="s">
        <v>155</v>
      </c>
      <c r="D200" s="16" t="str" cm="1">
        <f t="array" ref="D200">_xlfn.XLOOKUP(1, (Table1[Project Name]=Table2[[#This Row],[Project ID]])*(Table1[Plot]=Table2[[#This Row],[Plot]]), Table1[Project ID])</f>
        <v>CP-03</v>
      </c>
      <c r="E200" s="114">
        <v>14</v>
      </c>
      <c r="F200" s="115">
        <v>594</v>
      </c>
      <c r="G200" s="114">
        <f>Table2[[#This Row],[Time Elapsed]]+Table2[[#This Row],[Time Remaining]]</f>
        <v>608</v>
      </c>
      <c r="H200" s="136" t="s">
        <v>537</v>
      </c>
      <c r="I200" s="136" t="s">
        <v>538</v>
      </c>
      <c r="J200" s="13">
        <v>0</v>
      </c>
      <c r="K200" s="148">
        <v>0</v>
      </c>
      <c r="L200" s="166">
        <f>Table2[[#This Row],[Actual %]]-Table2[[#This Row],[Plan %]]</f>
        <v>0</v>
      </c>
      <c r="M200" s="144" t="s">
        <v>545</v>
      </c>
      <c r="N200" s="12">
        <v>45500</v>
      </c>
      <c r="O200" s="12">
        <v>45500</v>
      </c>
      <c r="P200" s="12"/>
      <c r="Q200" s="12">
        <v>45520</v>
      </c>
      <c r="R200" s="136" t="s">
        <v>544</v>
      </c>
      <c r="S200" s="167" t="s">
        <v>601</v>
      </c>
      <c r="T200" s="143" t="s">
        <v>541</v>
      </c>
      <c r="U200" s="35"/>
      <c r="V200" s="36"/>
      <c r="W200" s="36">
        <f>Table2[[#This Row],[Construction Contract Amount]]+Table2[[#This Row],[Cumulative Variations]]</f>
        <v>0</v>
      </c>
      <c r="X200" s="36"/>
      <c r="Y200" s="36"/>
      <c r="Z200" s="36">
        <f>Table2[[#This Row],[Final Contract Value]]+Table2[[#This Row],[Supervision Contract amount]]+Table2[[#This Row],[Authority Cost]]</f>
        <v>0</v>
      </c>
      <c r="AA200" s="36"/>
      <c r="AB200" s="36"/>
      <c r="AC200" s="91" t="str">
        <f t="shared" si="10"/>
        <v>https://drive.google.com/thumbnail?id=1G0X3ugNeHwTLERFskdq8bubMXXLFcuaw&amp;sz=w1000</v>
      </c>
      <c r="AD200" s="121" t="s">
        <v>550</v>
      </c>
      <c r="AE200" s="74" t="str">
        <f t="shared" si="11"/>
        <v>https://drive.google.com/thumbnail?id=1jHGj7XAWagahBHNCKtHr5H5tDQk0bs8B&amp;sz=w1000</v>
      </c>
      <c r="AF200" s="121" t="s">
        <v>555</v>
      </c>
      <c r="AG200" s="73" t="str">
        <f t="shared" si="12"/>
        <v>https://drive.google.com/thumbnail?id=1L3X2HGJwAc7DPG7ILmixFmOZqHkRaHZL&amp;sz=w1000</v>
      </c>
      <c r="AH200" s="121" t="s">
        <v>561</v>
      </c>
    </row>
    <row r="201" spans="1:34" ht="22.15" customHeight="1">
      <c r="A201" s="127">
        <v>45516</v>
      </c>
      <c r="B201" s="128" t="s">
        <v>268</v>
      </c>
      <c r="C201" s="129" t="s">
        <v>271</v>
      </c>
      <c r="D201" s="16" t="str" cm="1">
        <f t="array" ref="D201">_xlfn.XLOOKUP(1, (Table1[Project Name]=Table2[[#This Row],[Project ID]])*(Table1[Plot]=Table2[[#This Row],[Plot]]), Table1[Project ID])</f>
        <v>MJ-17</v>
      </c>
      <c r="E201" s="130">
        <v>0</v>
      </c>
      <c r="F201" s="129">
        <v>500</v>
      </c>
      <c r="G201" s="130">
        <f>Table2[[#This Row],[Time Elapsed]]+Table2[[#This Row],[Time Remaining]]</f>
        <v>500</v>
      </c>
      <c r="H201" s="136" t="s">
        <v>563</v>
      </c>
      <c r="I201" s="136" t="s">
        <v>564</v>
      </c>
      <c r="J201" s="13">
        <v>0</v>
      </c>
      <c r="K201" s="148">
        <v>0</v>
      </c>
      <c r="L201" s="166">
        <f>Table2[[#This Row],[Actual %]]-Table2[[#This Row],[Plan %]]</f>
        <v>0</v>
      </c>
      <c r="M201" s="144" t="s">
        <v>565</v>
      </c>
      <c r="N201" s="12">
        <v>45504</v>
      </c>
      <c r="O201" s="12">
        <v>45504</v>
      </c>
      <c r="P201" s="12"/>
      <c r="Q201" s="12">
        <v>45520</v>
      </c>
      <c r="R201" s="136" t="s">
        <v>572</v>
      </c>
      <c r="S201" s="136" t="s">
        <v>573</v>
      </c>
      <c r="T201" s="143" t="s">
        <v>574</v>
      </c>
      <c r="U201" s="35"/>
      <c r="V201" s="36"/>
      <c r="W201" s="36">
        <f>Table2[[#This Row],[Construction Contract Amount]]+Table2[[#This Row],[Cumulative Variations]]</f>
        <v>0</v>
      </c>
      <c r="X201" s="36"/>
      <c r="Y201" s="36"/>
      <c r="Z201" s="36">
        <f>Table2[[#This Row],[Final Contract Value]]+Table2[[#This Row],[Supervision Contract amount]]+Table2[[#This Row],[Authority Cost]]</f>
        <v>0</v>
      </c>
      <c r="AA201" s="36"/>
      <c r="AB201" s="36"/>
      <c r="AC201" s="91" t="str">
        <f t="shared" si="10"/>
        <v>https://drive.google.com/thumbnail?id=1lU4EjoZZIUOHuZTzDR1G531j3Yac1TYp&amp;sz=w1000</v>
      </c>
      <c r="AD201" s="126" t="s">
        <v>567</v>
      </c>
      <c r="AE201" s="74" t="str">
        <f t="shared" si="11"/>
        <v>https://drive.google.com/thumbnail?id=15rDYnSbQ1MxyeaE4lqym4hP9lG005zY8&amp;sz=w1000</v>
      </c>
      <c r="AF201" s="126" t="s">
        <v>569</v>
      </c>
      <c r="AG201" s="73" t="str">
        <f t="shared" si="12"/>
        <v>https://drive.google.com/thumbnail?id=1EZXBLH_WJCOWieaYP8wVUSZc7iwtUfUh&amp;sz=w1000</v>
      </c>
      <c r="AH201" s="126" t="s">
        <v>570</v>
      </c>
    </row>
    <row r="202" spans="1:34" ht="22.15" customHeight="1">
      <c r="A202" s="127">
        <v>45516</v>
      </c>
      <c r="B202" s="128" t="s">
        <v>268</v>
      </c>
      <c r="C202" s="129" t="s">
        <v>271</v>
      </c>
      <c r="D202" s="16" t="str" cm="1">
        <f t="array" ref="D202">_xlfn.XLOOKUP(1, (Table1[Project Name]=Table2[[#This Row],[Project ID]])*(Table1[Plot]=Table2[[#This Row],[Plot]]), Table1[Project ID])</f>
        <v>MJ-17</v>
      </c>
      <c r="E202" s="130">
        <v>0</v>
      </c>
      <c r="F202" s="129">
        <v>500</v>
      </c>
      <c r="G202" s="130">
        <f>Table2[[#This Row],[Time Elapsed]]+Table2[[#This Row],[Time Remaining]]</f>
        <v>500</v>
      </c>
      <c r="H202" s="136" t="s">
        <v>563</v>
      </c>
      <c r="I202" s="136" t="s">
        <v>564</v>
      </c>
      <c r="J202" s="13">
        <v>0</v>
      </c>
      <c r="K202" s="148">
        <v>0</v>
      </c>
      <c r="L202" s="166">
        <f>Table2[[#This Row],[Actual %]]-Table2[[#This Row],[Plan %]]</f>
        <v>0</v>
      </c>
      <c r="M202" s="144" t="s">
        <v>566</v>
      </c>
      <c r="N202" s="12">
        <v>45596</v>
      </c>
      <c r="O202" s="12"/>
      <c r="P202" s="12">
        <v>45596</v>
      </c>
      <c r="Q202" s="12">
        <v>45520</v>
      </c>
      <c r="R202" s="136" t="s">
        <v>572</v>
      </c>
      <c r="S202" s="136" t="s">
        <v>573</v>
      </c>
      <c r="T202" s="143" t="s">
        <v>574</v>
      </c>
      <c r="U202" s="35"/>
      <c r="V202" s="36"/>
      <c r="W202" s="36">
        <f>Table2[[#This Row],[Construction Contract Amount]]+Table2[[#This Row],[Cumulative Variations]]</f>
        <v>0</v>
      </c>
      <c r="X202" s="36"/>
      <c r="Y202" s="36"/>
      <c r="Z202" s="36">
        <f>Table2[[#This Row],[Final Contract Value]]+Table2[[#This Row],[Supervision Contract amount]]+Table2[[#This Row],[Authority Cost]]</f>
        <v>0</v>
      </c>
      <c r="AA202" s="36"/>
      <c r="AB202" s="36"/>
      <c r="AC202" s="91" t="str">
        <f t="shared" si="10"/>
        <v>https://drive.google.com/thumbnail?id=1lU4EjoZZIUOHuZTzDR1G531j3Yac1TYp&amp;sz=w1000</v>
      </c>
      <c r="AD202" s="126" t="s">
        <v>567</v>
      </c>
      <c r="AE202" s="74" t="str">
        <f t="shared" si="11"/>
        <v>https://drive.google.com/thumbnail?id=15rDYnSbQ1MxyeaE4lqym4hP9lG005zY8&amp;sz=w1000</v>
      </c>
      <c r="AF202" s="126" t="s">
        <v>569</v>
      </c>
      <c r="AG202" s="73" t="str">
        <f t="shared" si="12"/>
        <v>https://drive.google.com/thumbnail?id=1EZXBLH_WJCOWieaYP8wVUSZc7iwtUfUh&amp;sz=w1000</v>
      </c>
      <c r="AH202" s="126" t="s">
        <v>570</v>
      </c>
    </row>
    <row r="203" spans="1:34" ht="22.15" customHeight="1">
      <c r="A203" s="127">
        <v>45516</v>
      </c>
      <c r="B203" s="128" t="s">
        <v>268</v>
      </c>
      <c r="C203" s="129" t="s">
        <v>271</v>
      </c>
      <c r="D203" s="16" t="str" cm="1">
        <f t="array" ref="D203">_xlfn.XLOOKUP(1, (Table1[Project Name]=Table2[[#This Row],[Project ID]])*(Table1[Plot]=Table2[[#This Row],[Plot]]), Table1[Project ID])</f>
        <v>MJ-17</v>
      </c>
      <c r="E203" s="130">
        <v>0</v>
      </c>
      <c r="F203" s="129">
        <v>500</v>
      </c>
      <c r="G203" s="130">
        <f>Table2[[#This Row],[Time Elapsed]]+Table2[[#This Row],[Time Remaining]]</f>
        <v>500</v>
      </c>
      <c r="H203" s="136" t="s">
        <v>563</v>
      </c>
      <c r="I203" s="136" t="s">
        <v>564</v>
      </c>
      <c r="J203" s="13">
        <v>0</v>
      </c>
      <c r="K203" s="148">
        <v>0</v>
      </c>
      <c r="L203" s="13">
        <f>Table2[[#This Row],[Actual %]]-Table2[[#This Row],[Plan %]]</f>
        <v>0</v>
      </c>
      <c r="M203" s="144" t="s">
        <v>571</v>
      </c>
      <c r="N203" s="12">
        <v>45657</v>
      </c>
      <c r="O203" s="12"/>
      <c r="P203" s="12">
        <v>45657</v>
      </c>
      <c r="Q203" s="12">
        <v>45520</v>
      </c>
      <c r="R203" s="136" t="s">
        <v>572</v>
      </c>
      <c r="S203" s="136" t="s">
        <v>573</v>
      </c>
      <c r="T203" s="143" t="s">
        <v>574</v>
      </c>
      <c r="U203" s="35"/>
      <c r="V203" s="36"/>
      <c r="W203" s="36">
        <f>Table2[[#This Row],[Construction Contract Amount]]+Table2[[#This Row],[Cumulative Variations]]</f>
        <v>0</v>
      </c>
      <c r="X203" s="36"/>
      <c r="Y203" s="36"/>
      <c r="Z203" s="36">
        <f>Table2[[#This Row],[Final Contract Value]]+Table2[[#This Row],[Supervision Contract amount]]+Table2[[#This Row],[Authority Cost]]</f>
        <v>0</v>
      </c>
      <c r="AA203" s="36"/>
      <c r="AB203" s="36"/>
      <c r="AC203" s="91" t="str">
        <f t="shared" si="10"/>
        <v>https://drive.google.com/thumbnail?id=1lU4EjoZZIUOHuZTzDR1G531j3Yac1TYp&amp;sz=w1000</v>
      </c>
      <c r="AD203" s="126" t="s">
        <v>567</v>
      </c>
      <c r="AE203" s="74" t="str">
        <f t="shared" si="11"/>
        <v>https://drive.google.com/thumbnail?id=15rDYnSbQ1MxyeaE4lqym4hP9lG005zY8&amp;sz=w1000</v>
      </c>
      <c r="AF203" s="126" t="s">
        <v>569</v>
      </c>
      <c r="AG203" s="73" t="str">
        <f t="shared" si="12"/>
        <v>https://drive.google.com/thumbnail?id=1EZXBLH_WJCOWieaYP8wVUSZc7iwtUfUh&amp;sz=w1000</v>
      </c>
      <c r="AH203" s="126" t="s">
        <v>570</v>
      </c>
    </row>
    <row r="204" spans="1:34" ht="22.15" customHeight="1">
      <c r="A204" s="127">
        <v>45516</v>
      </c>
      <c r="B204" s="128" t="s">
        <v>268</v>
      </c>
      <c r="C204" s="129" t="s">
        <v>271</v>
      </c>
      <c r="D204" s="16" t="str" cm="1">
        <f t="array" ref="D204">_xlfn.XLOOKUP(1, (Table1[Project Name]=Table2[[#This Row],[Project ID]])*(Table1[Plot]=Table2[[#This Row],[Plot]]), Table1[Project ID])</f>
        <v>MJ-17</v>
      </c>
      <c r="E204" s="130">
        <v>0</v>
      </c>
      <c r="F204" s="129">
        <v>500</v>
      </c>
      <c r="G204" s="130">
        <f>Table2[[#This Row],[Time Elapsed]]+Table2[[#This Row],[Time Remaining]]</f>
        <v>500</v>
      </c>
      <c r="H204" s="136" t="s">
        <v>563</v>
      </c>
      <c r="I204" s="136" t="s">
        <v>564</v>
      </c>
      <c r="J204" s="13">
        <v>0</v>
      </c>
      <c r="K204" s="148">
        <v>0</v>
      </c>
      <c r="L204" s="13">
        <f>Table2[[#This Row],[Actual %]]-Table2[[#This Row],[Plan %]]</f>
        <v>0</v>
      </c>
      <c r="M204" s="144" t="s">
        <v>302</v>
      </c>
      <c r="N204" s="12">
        <v>46387</v>
      </c>
      <c r="O204" s="12"/>
      <c r="P204" s="12">
        <v>46387</v>
      </c>
      <c r="Q204" s="12">
        <v>45520</v>
      </c>
      <c r="R204" s="136" t="s">
        <v>572</v>
      </c>
      <c r="S204" s="136" t="s">
        <v>573</v>
      </c>
      <c r="T204" s="143" t="s">
        <v>574</v>
      </c>
      <c r="U204" s="35"/>
      <c r="V204" s="36"/>
      <c r="W204" s="36">
        <f>Table2[[#This Row],[Construction Contract Amount]]+Table2[[#This Row],[Cumulative Variations]]</f>
        <v>0</v>
      </c>
      <c r="X204" s="36"/>
      <c r="Y204" s="36"/>
      <c r="Z204" s="36">
        <f>Table2[[#This Row],[Final Contract Value]]+Table2[[#This Row],[Supervision Contract amount]]+Table2[[#This Row],[Authority Cost]]</f>
        <v>0</v>
      </c>
      <c r="AA204" s="36"/>
      <c r="AB204" s="36"/>
      <c r="AC204" s="91" t="str">
        <f t="shared" si="10"/>
        <v>https://drive.google.com/thumbnail?id=1lU4EjoZZIUOHuZTzDR1G531j3Yac1TYp&amp;sz=w1000</v>
      </c>
      <c r="AD204" s="126" t="s">
        <v>567</v>
      </c>
      <c r="AE204" s="74" t="str">
        <f t="shared" si="11"/>
        <v>https://drive.google.com/thumbnail?id=15rDYnSbQ1MxyeaE4lqym4hP9lG005zY8&amp;sz=w1000</v>
      </c>
      <c r="AF204" s="126" t="s">
        <v>569</v>
      </c>
      <c r="AG204" s="73" t="str">
        <f t="shared" si="12"/>
        <v>https://drive.google.com/thumbnail?id=1EZXBLH_WJCOWieaYP8wVUSZc7iwtUfUh&amp;sz=w1000</v>
      </c>
      <c r="AH204" s="126" t="s">
        <v>570</v>
      </c>
    </row>
    <row r="205" spans="1:34" ht="22.15" customHeight="1">
      <c r="A205" s="131">
        <v>45516</v>
      </c>
      <c r="B205" s="124" t="s">
        <v>273</v>
      </c>
      <c r="C205" s="48" t="s">
        <v>271</v>
      </c>
      <c r="D205" s="16" t="str" cm="1">
        <f t="array" ref="D205">_xlfn.XLOOKUP(1, (Table1[Project Name]=Table2[[#This Row],[Project ID]])*(Table1[Plot]=Table2[[#This Row],[Plot]]), Table1[Project ID])</f>
        <v>MJ-18</v>
      </c>
      <c r="E205" s="130">
        <v>0</v>
      </c>
      <c r="F205" s="129">
        <v>500</v>
      </c>
      <c r="G205" s="130">
        <f>Table2[[#This Row],[Time Elapsed]]+Table2[[#This Row],[Time Remaining]]</f>
        <v>500</v>
      </c>
      <c r="H205" s="136" t="s">
        <v>563</v>
      </c>
      <c r="I205" s="136" t="s">
        <v>564</v>
      </c>
      <c r="J205" s="13">
        <v>0</v>
      </c>
      <c r="K205" s="148">
        <v>0</v>
      </c>
      <c r="L205" s="13">
        <f>Table2[[#This Row],[Actual %]]-Table2[[#This Row],[Plan %]]</f>
        <v>0</v>
      </c>
      <c r="M205" s="144" t="s">
        <v>592</v>
      </c>
      <c r="N205" s="12">
        <v>45504</v>
      </c>
      <c r="O205" s="12">
        <v>45504</v>
      </c>
      <c r="P205" s="12"/>
      <c r="Q205" s="12">
        <v>45520</v>
      </c>
      <c r="R205" s="136" t="s">
        <v>572</v>
      </c>
      <c r="S205" s="136" t="s">
        <v>573</v>
      </c>
      <c r="T205" s="143" t="s">
        <v>574</v>
      </c>
      <c r="U205" s="35"/>
      <c r="V205" s="36"/>
      <c r="W205" s="36">
        <f>Table2[[#This Row],[Construction Contract Amount]]+Table2[[#This Row],[Cumulative Variations]]</f>
        <v>0</v>
      </c>
      <c r="X205" s="36"/>
      <c r="Y205" s="36"/>
      <c r="Z205" s="36">
        <f>Table2[[#This Row],[Final Contract Value]]+Table2[[#This Row],[Supervision Contract amount]]+Table2[[#This Row],[Authority Cost]]</f>
        <v>0</v>
      </c>
      <c r="AA205" s="36"/>
      <c r="AB205" s="36"/>
      <c r="AC205" s="91" t="str">
        <f t="shared" si="10"/>
        <v>https://drive.google.com/thumbnail?id=1IC8FNC3yghFwIETCJNRQUyEvRizMiEGs&amp;sz=w1000</v>
      </c>
      <c r="AD205" s="126" t="s">
        <v>568</v>
      </c>
      <c r="AE205" s="74" t="str">
        <f t="shared" si="11"/>
        <v>https://drive.google.com/thumbnail?id=1bWjnhn8h7JZ3cQnvkpaYRTXauIEl9hqN&amp;sz=w1000</v>
      </c>
      <c r="AF205" s="126" t="s">
        <v>575</v>
      </c>
      <c r="AG205" s="73" t="str">
        <f t="shared" si="12"/>
        <v>https://drive.google.com/thumbnail?id=1qAqvXcdebOv4XD9YIwOc1UDjezQgT9A7&amp;sz=w1000</v>
      </c>
      <c r="AH205" s="126" t="s">
        <v>576</v>
      </c>
    </row>
    <row r="206" spans="1:34" ht="22.15" customHeight="1">
      <c r="A206" s="131">
        <v>45516</v>
      </c>
      <c r="B206" s="124" t="s">
        <v>273</v>
      </c>
      <c r="C206" s="48" t="s">
        <v>271</v>
      </c>
      <c r="D206" s="16" t="str" cm="1">
        <f t="array" ref="D206">_xlfn.XLOOKUP(1, (Table1[Project Name]=Table2[[#This Row],[Project ID]])*(Table1[Plot]=Table2[[#This Row],[Plot]]), Table1[Project ID])</f>
        <v>MJ-18</v>
      </c>
      <c r="E206" s="130">
        <v>0</v>
      </c>
      <c r="F206" s="129">
        <v>500</v>
      </c>
      <c r="G206" s="130">
        <f>Table2[[#This Row],[Time Elapsed]]+Table2[[#This Row],[Time Remaining]]</f>
        <v>500</v>
      </c>
      <c r="H206" s="136" t="s">
        <v>563</v>
      </c>
      <c r="I206" s="136" t="s">
        <v>564</v>
      </c>
      <c r="J206" s="13">
        <v>0</v>
      </c>
      <c r="K206" s="148">
        <v>0</v>
      </c>
      <c r="L206" s="13">
        <f>Table2[[#This Row],[Actual %]]-Table2[[#This Row],[Plan %]]</f>
        <v>0</v>
      </c>
      <c r="M206" s="144" t="s">
        <v>566</v>
      </c>
      <c r="N206" s="12">
        <v>45596</v>
      </c>
      <c r="O206" s="12"/>
      <c r="P206" s="12">
        <v>45596</v>
      </c>
      <c r="Q206" s="12">
        <v>45520</v>
      </c>
      <c r="R206" s="136" t="s">
        <v>572</v>
      </c>
      <c r="S206" s="136" t="s">
        <v>573</v>
      </c>
      <c r="T206" s="143" t="s">
        <v>574</v>
      </c>
      <c r="U206" s="35"/>
      <c r="V206" s="36"/>
      <c r="W206" s="36">
        <f>Table2[[#This Row],[Construction Contract Amount]]+Table2[[#This Row],[Cumulative Variations]]</f>
        <v>0</v>
      </c>
      <c r="X206" s="36"/>
      <c r="Y206" s="36"/>
      <c r="Z206" s="36">
        <f>Table2[[#This Row],[Final Contract Value]]+Table2[[#This Row],[Supervision Contract amount]]+Table2[[#This Row],[Authority Cost]]</f>
        <v>0</v>
      </c>
      <c r="AA206" s="36"/>
      <c r="AB206" s="36"/>
      <c r="AC206" s="91" t="str">
        <f t="shared" si="10"/>
        <v>https://drive.google.com/thumbnail?id=1IC8FNC3yghFwIETCJNRQUyEvRizMiEGs&amp;sz=w1000</v>
      </c>
      <c r="AD206" s="126" t="s">
        <v>568</v>
      </c>
      <c r="AE206" s="74" t="str">
        <f t="shared" si="11"/>
        <v>https://drive.google.com/thumbnail?id=1bWjnhn8h7JZ3cQnvkpaYRTXauIEl9hqN&amp;sz=w1000</v>
      </c>
      <c r="AF206" s="126" t="s">
        <v>575</v>
      </c>
      <c r="AG206" s="73" t="str">
        <f t="shared" si="12"/>
        <v>https://drive.google.com/thumbnail?id=1qAqvXcdebOv4XD9YIwOc1UDjezQgT9A7&amp;sz=w1000</v>
      </c>
      <c r="AH206" s="126" t="s">
        <v>576</v>
      </c>
    </row>
    <row r="207" spans="1:34" ht="22.15" customHeight="1">
      <c r="A207" s="131">
        <v>45516</v>
      </c>
      <c r="B207" s="124" t="s">
        <v>273</v>
      </c>
      <c r="C207" s="48" t="s">
        <v>271</v>
      </c>
      <c r="D207" s="16" t="str" cm="1">
        <f t="array" ref="D207">_xlfn.XLOOKUP(1, (Table1[Project Name]=Table2[[#This Row],[Project ID]])*(Table1[Plot]=Table2[[#This Row],[Plot]]), Table1[Project ID])</f>
        <v>MJ-18</v>
      </c>
      <c r="E207" s="130">
        <v>0</v>
      </c>
      <c r="F207" s="129">
        <v>500</v>
      </c>
      <c r="G207" s="130">
        <f>Table2[[#This Row],[Time Elapsed]]+Table2[[#This Row],[Time Remaining]]</f>
        <v>500</v>
      </c>
      <c r="H207" s="136" t="s">
        <v>563</v>
      </c>
      <c r="I207" s="136" t="s">
        <v>564</v>
      </c>
      <c r="J207" s="13">
        <v>0</v>
      </c>
      <c r="K207" s="148">
        <v>0</v>
      </c>
      <c r="L207" s="13">
        <f>Table2[[#This Row],[Actual %]]-Table2[[#This Row],[Plan %]]</f>
        <v>0</v>
      </c>
      <c r="M207" s="144" t="s">
        <v>571</v>
      </c>
      <c r="N207" s="12">
        <v>45657</v>
      </c>
      <c r="O207" s="12"/>
      <c r="P207" s="12">
        <v>45657</v>
      </c>
      <c r="Q207" s="12">
        <v>45520</v>
      </c>
      <c r="R207" s="136" t="s">
        <v>572</v>
      </c>
      <c r="S207" s="136" t="s">
        <v>573</v>
      </c>
      <c r="T207" s="143" t="s">
        <v>574</v>
      </c>
      <c r="U207" s="35"/>
      <c r="V207" s="36"/>
      <c r="W207" s="36">
        <f>Table2[[#This Row],[Construction Contract Amount]]+Table2[[#This Row],[Cumulative Variations]]</f>
        <v>0</v>
      </c>
      <c r="X207" s="36"/>
      <c r="Y207" s="36"/>
      <c r="Z207" s="36">
        <f>Table2[[#This Row],[Final Contract Value]]+Table2[[#This Row],[Supervision Contract amount]]+Table2[[#This Row],[Authority Cost]]</f>
        <v>0</v>
      </c>
      <c r="AA207" s="36"/>
      <c r="AB207" s="36"/>
      <c r="AC207" s="91" t="str">
        <f t="shared" si="10"/>
        <v>https://drive.google.com/thumbnail?id=1IC8FNC3yghFwIETCJNRQUyEvRizMiEGs&amp;sz=w1000</v>
      </c>
      <c r="AD207" s="126" t="s">
        <v>568</v>
      </c>
      <c r="AE207" s="74" t="str">
        <f t="shared" si="11"/>
        <v>https://drive.google.com/thumbnail?id=1bWjnhn8h7JZ3cQnvkpaYRTXauIEl9hqN&amp;sz=w1000</v>
      </c>
      <c r="AF207" s="126" t="s">
        <v>575</v>
      </c>
      <c r="AG207" s="73" t="str">
        <f t="shared" si="12"/>
        <v>https://drive.google.com/thumbnail?id=1qAqvXcdebOv4XD9YIwOc1UDjezQgT9A7&amp;sz=w1000</v>
      </c>
      <c r="AH207" s="126" t="s">
        <v>576</v>
      </c>
    </row>
    <row r="208" spans="1:34" ht="22.15" customHeight="1">
      <c r="A208" s="131">
        <v>45516</v>
      </c>
      <c r="B208" s="124" t="s">
        <v>273</v>
      </c>
      <c r="C208" s="48" t="s">
        <v>271</v>
      </c>
      <c r="D208" s="16" t="str" cm="1">
        <f t="array" ref="D208">_xlfn.XLOOKUP(1, (Table1[Project Name]=Table2[[#This Row],[Project ID]])*(Table1[Plot]=Table2[[#This Row],[Plot]]), Table1[Project ID])</f>
        <v>MJ-18</v>
      </c>
      <c r="E208" s="130">
        <v>0</v>
      </c>
      <c r="F208" s="129">
        <v>500</v>
      </c>
      <c r="G208" s="130">
        <f>Table2[[#This Row],[Time Elapsed]]+Table2[[#This Row],[Time Remaining]]</f>
        <v>500</v>
      </c>
      <c r="H208" s="136" t="s">
        <v>563</v>
      </c>
      <c r="I208" s="136" t="s">
        <v>564</v>
      </c>
      <c r="J208" s="13">
        <v>0</v>
      </c>
      <c r="K208" s="148">
        <v>0</v>
      </c>
      <c r="L208" s="13">
        <f>Table2[[#This Row],[Actual %]]-Table2[[#This Row],[Plan %]]</f>
        <v>0</v>
      </c>
      <c r="M208" s="144" t="s">
        <v>302</v>
      </c>
      <c r="N208" s="12">
        <v>46387</v>
      </c>
      <c r="O208" s="12"/>
      <c r="P208" s="12">
        <v>46387</v>
      </c>
      <c r="Q208" s="12">
        <v>45520</v>
      </c>
      <c r="R208" s="136" t="s">
        <v>572</v>
      </c>
      <c r="S208" s="136" t="s">
        <v>573</v>
      </c>
      <c r="T208" s="143" t="s">
        <v>574</v>
      </c>
      <c r="U208" s="35"/>
      <c r="V208" s="36"/>
      <c r="W208" s="36">
        <f>Table2[[#This Row],[Construction Contract Amount]]+Table2[[#This Row],[Cumulative Variations]]</f>
        <v>0</v>
      </c>
      <c r="X208" s="36"/>
      <c r="Y208" s="36"/>
      <c r="Z208" s="36">
        <f>Table2[[#This Row],[Final Contract Value]]+Table2[[#This Row],[Supervision Contract amount]]+Table2[[#This Row],[Authority Cost]]</f>
        <v>0</v>
      </c>
      <c r="AA208" s="36"/>
      <c r="AB208" s="36"/>
      <c r="AC208" s="91" t="str">
        <f t="shared" si="10"/>
        <v>https://drive.google.com/thumbnail?id=1IC8FNC3yghFwIETCJNRQUyEvRizMiEGs&amp;sz=w1000</v>
      </c>
      <c r="AD208" s="126" t="s">
        <v>568</v>
      </c>
      <c r="AE208" s="74" t="str">
        <f t="shared" si="11"/>
        <v>https://drive.google.com/thumbnail?id=1bWjnhn8h7JZ3cQnvkpaYRTXauIEl9hqN&amp;sz=w1000</v>
      </c>
      <c r="AF208" s="126" t="s">
        <v>575</v>
      </c>
      <c r="AG208" s="73" t="str">
        <f t="shared" si="12"/>
        <v>https://drive.google.com/thumbnail?id=1qAqvXcdebOv4XD9YIwOc1UDjezQgT9A7&amp;sz=w1000</v>
      </c>
      <c r="AH208" s="126" t="s">
        <v>576</v>
      </c>
    </row>
    <row r="209" spans="1:35" ht="22.15" customHeight="1">
      <c r="A209" s="131">
        <v>45516</v>
      </c>
      <c r="B209" s="125" t="s">
        <v>62</v>
      </c>
      <c r="C209" s="48" t="s">
        <v>9</v>
      </c>
      <c r="D209" s="16" t="str" cm="1">
        <f t="array" ref="D209">_xlfn.XLOOKUP(1, (Table1[Project Name]=Table2[[#This Row],[Project ID]])*(Table1[Plot]=Table2[[#This Row],[Plot]]), Table1[Project ID])</f>
        <v>MJ-01</v>
      </c>
      <c r="E209" s="47">
        <v>600</v>
      </c>
      <c r="F209" s="48">
        <v>0</v>
      </c>
      <c r="G209" s="47">
        <f>Table2[[#This Row],[Time Elapsed]]+Table2[[#This Row],[Time Remaining]]</f>
        <v>600</v>
      </c>
      <c r="H209" s="136" t="s">
        <v>579</v>
      </c>
      <c r="I209" s="136" t="s">
        <v>584</v>
      </c>
      <c r="J209" s="13">
        <v>1</v>
      </c>
      <c r="K209" s="148">
        <v>1</v>
      </c>
      <c r="L209" s="13">
        <f>Table2[[#This Row],[Actual %]]-Table2[[#This Row],[Plan %]]</f>
        <v>0</v>
      </c>
      <c r="M209" s="144" t="s">
        <v>591</v>
      </c>
      <c r="N209" s="12">
        <v>44773</v>
      </c>
      <c r="O209" s="12">
        <v>44773</v>
      </c>
      <c r="P209" s="12"/>
      <c r="Q209" s="12"/>
      <c r="R209" s="136" t="s">
        <v>585</v>
      </c>
      <c r="S209" s="136" t="s">
        <v>586</v>
      </c>
      <c r="T209" s="136" t="s">
        <v>587</v>
      </c>
      <c r="U209" s="132"/>
      <c r="V209" s="133"/>
      <c r="W209" s="133">
        <f>Table2[[#This Row],[Construction Contract Amount]]+Table2[[#This Row],[Cumulative Variations]]</f>
        <v>0</v>
      </c>
      <c r="X209" s="133"/>
      <c r="Y209" s="133"/>
      <c r="Z209" s="133">
        <f>Table2[[#This Row],[Final Contract Value]]+Table2[[#This Row],[Supervision Contract amount]]+Table2[[#This Row],[Authority Cost]]</f>
        <v>0</v>
      </c>
      <c r="AA209" s="133"/>
      <c r="AB209" s="133"/>
      <c r="AC209" s="91" t="str">
        <f t="shared" si="10"/>
        <v>https://drive.google.com/thumbnail?id=1QelJzgWu58DSQ-OdyKkGNNTLKOGM973S&amp;sz=w1000</v>
      </c>
      <c r="AD209" s="126" t="s">
        <v>581</v>
      </c>
      <c r="AE209" s="74" t="str">
        <f t="shared" si="11"/>
        <v>https://drive.google.com/thumbnail?id=1X6lkb4s2fJhZdoOzi9qO6PCLirHtWBfg&amp;sz=w1000</v>
      </c>
      <c r="AF209" s="126" t="s">
        <v>582</v>
      </c>
      <c r="AG209" s="73" t="str">
        <f t="shared" si="12"/>
        <v>https://drive.google.com/thumbnail?id=1nPYXb0bT3AaVcs_PIgKdMHAkz4HUPldb&amp;sz=w1000</v>
      </c>
      <c r="AH209" s="79" t="s">
        <v>583</v>
      </c>
    </row>
    <row r="210" spans="1:35" ht="22.15" customHeight="1">
      <c r="A210" s="131">
        <v>45516</v>
      </c>
      <c r="B210" s="125" t="s">
        <v>62</v>
      </c>
      <c r="C210" s="48" t="s">
        <v>9</v>
      </c>
      <c r="D210" s="16" t="str" cm="1">
        <f t="array" ref="D210">_xlfn.XLOOKUP(1, (Table1[Project Name]=Table2[[#This Row],[Project ID]])*(Table1[Plot]=Table2[[#This Row],[Plot]]), Table1[Project ID])</f>
        <v>MJ-01</v>
      </c>
      <c r="E210" s="47">
        <v>600</v>
      </c>
      <c r="F210" s="48">
        <v>0</v>
      </c>
      <c r="G210" s="47">
        <f>Table2[[#This Row],[Time Elapsed]]+Table2[[#This Row],[Time Remaining]]</f>
        <v>600</v>
      </c>
      <c r="H210" s="136" t="s">
        <v>579</v>
      </c>
      <c r="I210" s="136" t="s">
        <v>584</v>
      </c>
      <c r="J210" s="13">
        <v>1</v>
      </c>
      <c r="K210" s="148">
        <v>1</v>
      </c>
      <c r="L210" s="13">
        <f>Table2[[#This Row],[Actual %]]-Table2[[#This Row],[Plan %]]</f>
        <v>0</v>
      </c>
      <c r="M210" s="144" t="s">
        <v>580</v>
      </c>
      <c r="N210" s="12">
        <v>44835</v>
      </c>
      <c r="O210" s="12">
        <v>44835</v>
      </c>
      <c r="P210" s="12"/>
      <c r="Q210" s="12"/>
      <c r="R210" s="136" t="s">
        <v>585</v>
      </c>
      <c r="S210" s="136" t="s">
        <v>586</v>
      </c>
      <c r="T210" s="136" t="s">
        <v>587</v>
      </c>
      <c r="U210" s="132"/>
      <c r="V210" s="133"/>
      <c r="W210" s="133">
        <f>Table2[[#This Row],[Construction Contract Amount]]+Table2[[#This Row],[Cumulative Variations]]</f>
        <v>0</v>
      </c>
      <c r="X210" s="133"/>
      <c r="Y210" s="133"/>
      <c r="Z210" s="133">
        <f>Table2[[#This Row],[Final Contract Value]]+Table2[[#This Row],[Supervision Contract amount]]+Table2[[#This Row],[Authority Cost]]</f>
        <v>0</v>
      </c>
      <c r="AA210" s="133"/>
      <c r="AB210" s="133"/>
      <c r="AC210" s="91" t="str">
        <f t="shared" si="10"/>
        <v>https://drive.google.com/thumbnail?id=1QelJzgWu58DSQ-OdyKkGNNTLKOGM973S&amp;sz=w1000</v>
      </c>
      <c r="AD210" s="126" t="s">
        <v>581</v>
      </c>
      <c r="AE210" s="74" t="str">
        <f t="shared" si="11"/>
        <v>https://drive.google.com/thumbnail?id=1X6lkb4s2fJhZdoOzi9qO6PCLirHtWBfg&amp;sz=w1000</v>
      </c>
      <c r="AF210" s="126" t="s">
        <v>582</v>
      </c>
      <c r="AG210" s="73" t="str">
        <f t="shared" si="12"/>
        <v>https://drive.google.com/thumbnail?id=1nPYXb0bT3AaVcs_PIgKdMHAkz4HUPldb&amp;sz=w1000</v>
      </c>
      <c r="AH210" s="79" t="s">
        <v>583</v>
      </c>
    </row>
    <row r="211" spans="1:35" ht="22.15" customHeight="1">
      <c r="A211" s="30">
        <v>45516</v>
      </c>
      <c r="B211" s="135" t="s">
        <v>304</v>
      </c>
      <c r="C211" s="48" t="s">
        <v>166</v>
      </c>
      <c r="D211" s="16" t="str" cm="1">
        <f t="array" ref="D211">_xlfn.XLOOKUP(1, (Table1[Project Name]=Table2[[#This Row],[Project ID]])*(Table1[Plot]=Table2[[#This Row],[Plot]]), Table1[Project ID])</f>
        <v>CP-11</v>
      </c>
      <c r="E211" s="69">
        <v>0</v>
      </c>
      <c r="F211" s="70">
        <v>0</v>
      </c>
      <c r="G211" s="69">
        <v>0</v>
      </c>
      <c r="H211" s="136" t="s">
        <v>563</v>
      </c>
      <c r="I211" s="2" t="s">
        <v>589</v>
      </c>
      <c r="J211" s="13">
        <v>0.1</v>
      </c>
      <c r="K211" s="148">
        <v>0.1</v>
      </c>
      <c r="L211" s="13">
        <f>Table2[[#This Row],[Actual %]]-Table2[[#This Row],[Plan %]]</f>
        <v>0</v>
      </c>
      <c r="M211" s="144" t="s">
        <v>590</v>
      </c>
      <c r="N211" s="12">
        <v>45505</v>
      </c>
      <c r="O211" s="12">
        <v>45505</v>
      </c>
      <c r="P211" s="12"/>
      <c r="Q211" s="12"/>
      <c r="R211" s="136" t="s">
        <v>599</v>
      </c>
      <c r="S211" s="167" t="s">
        <v>601</v>
      </c>
      <c r="T211" s="143" t="s">
        <v>600</v>
      </c>
      <c r="U211" s="132"/>
      <c r="V211" s="133"/>
      <c r="W211" s="133">
        <f>Table2[[#This Row],[Construction Contract Amount]]+Table2[[#This Row],[Cumulative Variations]]</f>
        <v>0</v>
      </c>
      <c r="X211" s="133"/>
      <c r="Y211" s="133"/>
      <c r="Z211" s="133">
        <f>Table2[[#This Row],[Final Contract Value]]+Table2[[#This Row],[Supervision Contract amount]]+Table2[[#This Row],[Authority Cost]]</f>
        <v>0</v>
      </c>
      <c r="AA211" s="133"/>
      <c r="AB211" s="133"/>
      <c r="AC211" s="91" t="str">
        <f t="shared" si="10"/>
        <v>https://drive.google.com/thumbnail?id=17qq6Tadw8QG-EBTE_YugsSCYtfMTbldO&amp;sz=w1000</v>
      </c>
      <c r="AD211" s="90" t="s">
        <v>593</v>
      </c>
      <c r="AE211" s="74" t="str">
        <f t="shared" si="11"/>
        <v>https://drive.google.com/thumbnail?id=12yh1qsat5zorZubk7_I1WnTJ-HCui9bu&amp;sz=w1000</v>
      </c>
      <c r="AF211" s="90" t="s">
        <v>594</v>
      </c>
      <c r="AG211" s="73" t="str">
        <f t="shared" si="12"/>
        <v>https://drive.google.com/thumbnail?id=1pHA_6MlFurP9b4-tt7h0DMzqGV0-Tlzo&amp;sz=w1000</v>
      </c>
      <c r="AH211" s="90" t="s">
        <v>595</v>
      </c>
    </row>
    <row r="212" spans="1:35" ht="22.15" customHeight="1">
      <c r="A212" s="30">
        <v>45516</v>
      </c>
      <c r="B212" s="135" t="s">
        <v>304</v>
      </c>
      <c r="C212" s="48" t="s">
        <v>166</v>
      </c>
      <c r="D212" s="16" t="str" cm="1">
        <f t="array" ref="D212">_xlfn.XLOOKUP(1, (Table1[Project Name]=Table2[[#This Row],[Project ID]])*(Table1[Plot]=Table2[[#This Row],[Plot]]), Table1[Project ID])</f>
        <v>CP-11</v>
      </c>
      <c r="E212" s="69">
        <v>0</v>
      </c>
      <c r="F212" s="70">
        <v>0</v>
      </c>
      <c r="G212" s="69">
        <v>0</v>
      </c>
      <c r="H212" s="136" t="s">
        <v>563</v>
      </c>
      <c r="I212" s="2" t="s">
        <v>589</v>
      </c>
      <c r="J212" s="13">
        <v>0.1</v>
      </c>
      <c r="K212" s="148">
        <v>0.1</v>
      </c>
      <c r="L212" s="13">
        <f>Table2[[#This Row],[Actual %]]-Table2[[#This Row],[Plan %]]</f>
        <v>0</v>
      </c>
      <c r="M212" s="144" t="s">
        <v>566</v>
      </c>
      <c r="N212" s="12">
        <v>45611</v>
      </c>
      <c r="O212" s="12"/>
      <c r="P212" s="12">
        <v>45611</v>
      </c>
      <c r="Q212" s="12"/>
      <c r="R212" s="136" t="s">
        <v>599</v>
      </c>
      <c r="S212" s="167" t="s">
        <v>601</v>
      </c>
      <c r="T212" s="143" t="s">
        <v>600</v>
      </c>
      <c r="U212" s="35"/>
      <c r="V212" s="36"/>
      <c r="W212" s="36">
        <f>Table2[[#This Row],[Construction Contract Amount]]+Table2[[#This Row],[Cumulative Variations]]</f>
        <v>0</v>
      </c>
      <c r="X212" s="36"/>
      <c r="Y212" s="36"/>
      <c r="Z212" s="36">
        <f>Table2[[#This Row],[Final Contract Value]]+Table2[[#This Row],[Supervision Contract amount]]+Table2[[#This Row],[Authority Cost]]</f>
        <v>0</v>
      </c>
      <c r="AA212" s="36"/>
      <c r="AB212" s="36"/>
      <c r="AC212" s="91" t="str">
        <f t="shared" si="10"/>
        <v>https://drive.google.com/thumbnail?id=17qq6Tadw8QG-EBTE_YugsSCYtfMTbldO&amp;sz=w1000</v>
      </c>
      <c r="AD212" s="90" t="s">
        <v>593</v>
      </c>
      <c r="AE212" s="74" t="str">
        <f t="shared" si="11"/>
        <v>https://drive.google.com/thumbnail?id=12yh1qsat5zorZubk7_I1WnTJ-HCui9bu&amp;sz=w1000</v>
      </c>
      <c r="AF212" s="90" t="s">
        <v>594</v>
      </c>
      <c r="AG212" s="73" t="str">
        <f t="shared" si="12"/>
        <v>https://drive.google.com/thumbnail?id=1pHA_6MlFurP9b4-tt7h0DMzqGV0-Tlzo&amp;sz=w1000</v>
      </c>
      <c r="AH212" s="90" t="s">
        <v>595</v>
      </c>
    </row>
    <row r="213" spans="1:35" ht="22.15" customHeight="1">
      <c r="A213" s="30">
        <v>45516</v>
      </c>
      <c r="B213" s="135" t="s">
        <v>304</v>
      </c>
      <c r="C213" s="48" t="s">
        <v>166</v>
      </c>
      <c r="D213" s="16" t="str" cm="1">
        <f t="array" ref="D213">_xlfn.XLOOKUP(1, (Table1[Project Name]=Table2[[#This Row],[Project ID]])*(Table1[Plot]=Table2[[#This Row],[Plot]]), Table1[Project ID])</f>
        <v>CP-11</v>
      </c>
      <c r="E213" s="69">
        <v>0</v>
      </c>
      <c r="F213" s="70">
        <v>0</v>
      </c>
      <c r="G213" s="69">
        <v>0</v>
      </c>
      <c r="H213" s="136" t="s">
        <v>563</v>
      </c>
      <c r="I213" s="2" t="s">
        <v>589</v>
      </c>
      <c r="J213" s="13">
        <v>0.1</v>
      </c>
      <c r="K213" s="148">
        <v>0.1</v>
      </c>
      <c r="L213" s="13">
        <f>Table2[[#This Row],[Actual %]]-Table2[[#This Row],[Plan %]]</f>
        <v>0</v>
      </c>
      <c r="M213" s="144" t="s">
        <v>591</v>
      </c>
      <c r="N213" s="12">
        <v>46326</v>
      </c>
      <c r="O213" s="12"/>
      <c r="P213" s="12">
        <v>46326</v>
      </c>
      <c r="Q213" s="12"/>
      <c r="R213" s="136" t="s">
        <v>599</v>
      </c>
      <c r="S213" s="167" t="s">
        <v>601</v>
      </c>
      <c r="T213" s="143" t="s">
        <v>600</v>
      </c>
      <c r="U213" s="35"/>
      <c r="V213" s="36"/>
      <c r="W213" s="36">
        <f>Table2[[#This Row],[Construction Contract Amount]]+Table2[[#This Row],[Cumulative Variations]]</f>
        <v>0</v>
      </c>
      <c r="X213" s="36"/>
      <c r="Y213" s="36"/>
      <c r="Z213" s="36">
        <f>Table2[[#This Row],[Final Contract Value]]+Table2[[#This Row],[Supervision Contract amount]]+Table2[[#This Row],[Authority Cost]]</f>
        <v>0</v>
      </c>
      <c r="AA213" s="36"/>
      <c r="AB213" s="36"/>
      <c r="AC213" s="91" t="str">
        <f t="shared" si="10"/>
        <v>https://drive.google.com/thumbnail?id=17qq6Tadw8QG-EBTE_YugsSCYtfMTbldO&amp;sz=w1000</v>
      </c>
      <c r="AD213" s="90" t="s">
        <v>593</v>
      </c>
      <c r="AE213" s="74" t="str">
        <f t="shared" si="11"/>
        <v>https://drive.google.com/thumbnail?id=12yh1qsat5zorZubk7_I1WnTJ-HCui9bu&amp;sz=w1000</v>
      </c>
      <c r="AF213" s="90" t="s">
        <v>594</v>
      </c>
      <c r="AG213" s="73" t="str">
        <f t="shared" si="12"/>
        <v>https://drive.google.com/thumbnail?id=1pHA_6MlFurP9b4-tt7h0DMzqGV0-Tlzo&amp;sz=w1000</v>
      </c>
      <c r="AH213" s="90" t="s">
        <v>595</v>
      </c>
    </row>
    <row r="214" spans="1:35" ht="22.15" customHeight="1">
      <c r="A214" s="30">
        <v>45516</v>
      </c>
      <c r="B214" s="134" t="s">
        <v>169</v>
      </c>
      <c r="C214" s="48" t="s">
        <v>172</v>
      </c>
      <c r="D214" s="16" t="str" cm="1">
        <f t="array" ref="D214">_xlfn.XLOOKUP(1, (Table1[Project Name]=Table2[[#This Row],[Project ID]])*(Table1[Plot]=Table2[[#This Row],[Plot]]), Table1[Project ID])</f>
        <v>CP-10</v>
      </c>
      <c r="E214" s="69">
        <v>0</v>
      </c>
      <c r="F214" s="70">
        <v>0</v>
      </c>
      <c r="G214" s="69">
        <v>0</v>
      </c>
      <c r="H214" s="136" t="s">
        <v>563</v>
      </c>
      <c r="I214" s="2" t="s">
        <v>589</v>
      </c>
      <c r="J214" s="13">
        <v>0.1</v>
      </c>
      <c r="K214" s="148">
        <v>0.1</v>
      </c>
      <c r="L214" s="13">
        <f>Table2[[#This Row],[Actual %]]-Table2[[#This Row],[Plan %]]</f>
        <v>0</v>
      </c>
      <c r="M214" s="144" t="s">
        <v>590</v>
      </c>
      <c r="N214" s="12">
        <v>45505</v>
      </c>
      <c r="O214" s="12">
        <v>45505</v>
      </c>
      <c r="P214" s="12"/>
      <c r="Q214" s="12"/>
      <c r="R214" s="136" t="s">
        <v>599</v>
      </c>
      <c r="S214" s="167" t="s">
        <v>601</v>
      </c>
      <c r="T214" s="143" t="s">
        <v>600</v>
      </c>
      <c r="U214" s="35"/>
      <c r="V214" s="36"/>
      <c r="W214" s="36">
        <f>Table2[[#This Row],[Construction Contract Amount]]+Table2[[#This Row],[Cumulative Variations]]</f>
        <v>0</v>
      </c>
      <c r="X214" s="36"/>
      <c r="Y214" s="36"/>
      <c r="Z214" s="36">
        <f>Table2[[#This Row],[Final Contract Value]]+Table2[[#This Row],[Supervision Contract amount]]+Table2[[#This Row],[Authority Cost]]</f>
        <v>0</v>
      </c>
      <c r="AA214" s="36"/>
      <c r="AB214" s="36"/>
      <c r="AC214" s="91" t="str">
        <f t="shared" si="10"/>
        <v>https://drive.google.com/thumbnail?id=1_yC-HE54yXARQXJOTnV7FW3AhPsBP3Sf&amp;sz=w1000</v>
      </c>
      <c r="AD214" s="90" t="s">
        <v>596</v>
      </c>
      <c r="AE214" s="74" t="str">
        <f t="shared" si="11"/>
        <v>https://drive.google.com/thumbnail?id=1_wgBYwiOTkIPVCE6-tw2TMSEmlcsp4t0&amp;sz=w1000</v>
      </c>
      <c r="AF214" s="90" t="s">
        <v>597</v>
      </c>
      <c r="AG214" s="73" t="str">
        <f t="shared" si="12"/>
        <v>https://drive.google.com/thumbnail?id=198ZgTwMgLui1F5kC8xfZILjv0PrDjFb9&amp;sz=w1000</v>
      </c>
      <c r="AH214" s="90" t="s">
        <v>598</v>
      </c>
    </row>
    <row r="215" spans="1:35" ht="22.15" customHeight="1">
      <c r="A215" s="30">
        <v>45516</v>
      </c>
      <c r="B215" s="134" t="s">
        <v>169</v>
      </c>
      <c r="C215" s="48" t="s">
        <v>172</v>
      </c>
      <c r="D215" s="16" t="str" cm="1">
        <f t="array" ref="D215">_xlfn.XLOOKUP(1, (Table1[Project Name]=Table2[[#This Row],[Project ID]])*(Table1[Plot]=Table2[[#This Row],[Plot]]), Table1[Project ID])</f>
        <v>CP-10</v>
      </c>
      <c r="E215" s="69">
        <v>0</v>
      </c>
      <c r="F215" s="70">
        <v>0</v>
      </c>
      <c r="G215" s="69">
        <v>0</v>
      </c>
      <c r="H215" s="136" t="s">
        <v>563</v>
      </c>
      <c r="I215" s="2" t="s">
        <v>589</v>
      </c>
      <c r="J215" s="13">
        <v>0.1</v>
      </c>
      <c r="K215" s="148">
        <v>0.1</v>
      </c>
      <c r="L215" s="13">
        <f>Table2[[#This Row],[Actual %]]-Table2[[#This Row],[Plan %]]</f>
        <v>0</v>
      </c>
      <c r="M215" s="144" t="s">
        <v>566</v>
      </c>
      <c r="N215" s="12">
        <v>45611</v>
      </c>
      <c r="O215" s="12"/>
      <c r="P215" s="12">
        <v>45611</v>
      </c>
      <c r="Q215" s="12"/>
      <c r="R215" s="136" t="s">
        <v>599</v>
      </c>
      <c r="S215" s="167" t="s">
        <v>601</v>
      </c>
      <c r="T215" s="143" t="s">
        <v>600</v>
      </c>
      <c r="U215" s="35"/>
      <c r="V215" s="36"/>
      <c r="W215" s="36">
        <f>Table2[[#This Row],[Construction Contract Amount]]+Table2[[#This Row],[Cumulative Variations]]</f>
        <v>0</v>
      </c>
      <c r="X215" s="36"/>
      <c r="Y215" s="36"/>
      <c r="Z215" s="36">
        <f>Table2[[#This Row],[Final Contract Value]]+Table2[[#This Row],[Supervision Contract amount]]+Table2[[#This Row],[Authority Cost]]</f>
        <v>0</v>
      </c>
      <c r="AA215" s="36"/>
      <c r="AB215" s="36"/>
      <c r="AC215" s="91" t="str">
        <f t="shared" si="10"/>
        <v>https://drive.google.com/thumbnail?id=1_yC-HE54yXARQXJOTnV7FW3AhPsBP3Sf&amp;sz=w1000</v>
      </c>
      <c r="AD215" s="90" t="s">
        <v>596</v>
      </c>
      <c r="AE215" s="74" t="str">
        <f t="shared" si="11"/>
        <v>https://drive.google.com/thumbnail?id=1_wgBYwiOTkIPVCE6-tw2TMSEmlcsp4t0&amp;sz=w1000</v>
      </c>
      <c r="AF215" s="90" t="s">
        <v>597</v>
      </c>
      <c r="AG215" s="73" t="str">
        <f t="shared" si="12"/>
        <v>https://drive.google.com/thumbnail?id=198ZgTwMgLui1F5kC8xfZILjv0PrDjFb9&amp;sz=w1000</v>
      </c>
      <c r="AH215" s="90" t="s">
        <v>598</v>
      </c>
    </row>
    <row r="216" spans="1:35" ht="22.15" customHeight="1" thickBot="1">
      <c r="A216" s="30">
        <v>45516</v>
      </c>
      <c r="B216" s="134" t="s">
        <v>169</v>
      </c>
      <c r="C216" s="48" t="s">
        <v>172</v>
      </c>
      <c r="D216" s="16" t="str" cm="1">
        <f t="array" ref="D216">_xlfn.XLOOKUP(1, (Table1[Project Name]=Table2[[#This Row],[Project ID]])*(Table1[Plot]=Table2[[#This Row],[Plot]]), Table1[Project ID])</f>
        <v>CP-10</v>
      </c>
      <c r="E216" s="69">
        <v>0</v>
      </c>
      <c r="F216" s="70">
        <v>0</v>
      </c>
      <c r="G216" s="69">
        <v>0</v>
      </c>
      <c r="H216" s="136" t="s">
        <v>563</v>
      </c>
      <c r="I216" s="2" t="s">
        <v>589</v>
      </c>
      <c r="J216" s="13">
        <v>0.1</v>
      </c>
      <c r="K216" s="148">
        <v>0.1</v>
      </c>
      <c r="L216" s="13">
        <f>Table2[[#This Row],[Actual %]]-Table2[[#This Row],[Plan %]]</f>
        <v>0</v>
      </c>
      <c r="M216" s="144" t="s">
        <v>591</v>
      </c>
      <c r="N216" s="12">
        <v>46326</v>
      </c>
      <c r="O216" s="12"/>
      <c r="P216" s="12">
        <v>46326</v>
      </c>
      <c r="Q216" s="12"/>
      <c r="R216" s="136" t="s">
        <v>599</v>
      </c>
      <c r="S216" s="167" t="s">
        <v>601</v>
      </c>
      <c r="T216" s="143" t="s">
        <v>600</v>
      </c>
      <c r="U216" s="35"/>
      <c r="V216" s="36"/>
      <c r="W216" s="36">
        <f>Table2[[#This Row],[Construction Contract Amount]]+Table2[[#This Row],[Cumulative Variations]]</f>
        <v>0</v>
      </c>
      <c r="X216" s="36"/>
      <c r="Y216" s="36"/>
      <c r="Z216" s="36">
        <f>Table2[[#This Row],[Final Contract Value]]+Table2[[#This Row],[Supervision Contract amount]]+Table2[[#This Row],[Authority Cost]]</f>
        <v>0</v>
      </c>
      <c r="AA216" s="36"/>
      <c r="AB216" s="36"/>
      <c r="AC216" s="91" t="str">
        <f t="shared" si="10"/>
        <v>https://drive.google.com/thumbnail?id=1_yC-HE54yXARQXJOTnV7FW3AhPsBP3Sf&amp;sz=w1000</v>
      </c>
      <c r="AD216" s="90" t="s">
        <v>596</v>
      </c>
      <c r="AE216" s="74" t="str">
        <f t="shared" si="11"/>
        <v>https://drive.google.com/thumbnail?id=1_wgBYwiOTkIPVCE6-tw2TMSEmlcsp4t0&amp;sz=w1000</v>
      </c>
      <c r="AF216" s="90" t="s">
        <v>597</v>
      </c>
      <c r="AG216" s="73" t="str">
        <f t="shared" si="12"/>
        <v>https://drive.google.com/thumbnail?id=198ZgTwMgLui1F5kC8xfZILjv0PrDjFb9&amp;sz=w1000</v>
      </c>
      <c r="AH216" s="90" t="s">
        <v>598</v>
      </c>
    </row>
    <row r="217" spans="1:35" ht="22.15" customHeight="1" thickBot="1">
      <c r="A217" s="30">
        <v>45534</v>
      </c>
      <c r="B217" s="134" t="s">
        <v>69</v>
      </c>
      <c r="C217" s="48" t="s">
        <v>72</v>
      </c>
      <c r="D217" s="16" t="str" cm="1">
        <f t="array" ref="D217">_xlfn.XLOOKUP(1, (Table1[Project Name]=Table2[[#This Row],[Project ID]])*(Table1[Plot]=Table2[[#This Row],[Plot]]), Table1[Project ID])</f>
        <v>MJ-02</v>
      </c>
      <c r="E217" s="69">
        <v>269</v>
      </c>
      <c r="F217" s="70">
        <v>329</v>
      </c>
      <c r="G217" s="69">
        <f>Table2[[#This Row],[Time Elapsed]]+Table2[[#This Row],[Time Remaining]]</f>
        <v>598</v>
      </c>
      <c r="H217" s="2" t="s">
        <v>620</v>
      </c>
      <c r="I217" s="2" t="s">
        <v>621</v>
      </c>
      <c r="J217" s="13">
        <v>0.45760000000000001</v>
      </c>
      <c r="K217" s="13">
        <v>0.34139999999999998</v>
      </c>
      <c r="L217" s="13">
        <f>Table2[[#This Row],[Actual %]]-Table2[[#This Row],[Plan %]]</f>
        <v>-0.11620000000000003</v>
      </c>
      <c r="M217" s="144" t="s">
        <v>605</v>
      </c>
      <c r="N217" s="12">
        <v>45265</v>
      </c>
      <c r="O217" s="12">
        <v>45265</v>
      </c>
      <c r="P217" s="12"/>
      <c r="Q217" s="12">
        <v>45534</v>
      </c>
      <c r="R217" s="168" t="s">
        <v>606</v>
      </c>
      <c r="S217" s="168" t="s">
        <v>607</v>
      </c>
      <c r="T217" s="168" t="s">
        <v>616</v>
      </c>
      <c r="U217" s="138">
        <v>85805249.480000004</v>
      </c>
      <c r="V217" s="138">
        <v>0</v>
      </c>
      <c r="W217" s="138">
        <f>Table2[[#This Row],[Construction Contract Amount]]+Table2[[#This Row],[Cumulative Variations]]</f>
        <v>85805249.480000004</v>
      </c>
      <c r="X217" s="138">
        <v>3799481.4617604041</v>
      </c>
      <c r="Y217" s="138">
        <v>0</v>
      </c>
      <c r="Z217" s="138">
        <f>Table2[[#This Row],[Final Contract Value]]+Table2[[#This Row],[Supervision Contract amount]]+Table2[[#This Row],[Authority Cost]]</f>
        <v>89604730.941760406</v>
      </c>
      <c r="AA217" s="138">
        <v>17180863.600000001</v>
      </c>
      <c r="AB217" s="138">
        <v>1117487.2997119252</v>
      </c>
      <c r="AC217" s="91" t="str">
        <f t="shared" si="10"/>
        <v>https://drive.google.com/thumbnail?id=1LSdEMIAx0nOnLCMaT-0CJD9nxONTEfbb&amp;sz=w1000</v>
      </c>
      <c r="AD217" s="171" t="s">
        <v>623</v>
      </c>
      <c r="AE217" s="74" t="str">
        <f t="shared" si="11"/>
        <v>https://drive.google.com/thumbnail?id=1DE97kviXT-3hj-mPkqohYwgjer1eZUEt&amp;sz=w1000</v>
      </c>
      <c r="AF217" s="171" t="s">
        <v>625</v>
      </c>
      <c r="AG217" s="73" t="str">
        <f t="shared" si="12"/>
        <v>https://drive.google.com/thumbnail?id=1DE97kviXT-3hj-mPkqohYwgjer1eZUEt&amp;sz=w1000</v>
      </c>
      <c r="AH217" s="171" t="s">
        <v>625</v>
      </c>
      <c r="AI217" s="141"/>
    </row>
    <row r="218" spans="1:35" ht="22.15" customHeight="1" thickBot="1">
      <c r="A218" s="30">
        <v>45534</v>
      </c>
      <c r="B218" s="134" t="s">
        <v>69</v>
      </c>
      <c r="C218" s="48" t="s">
        <v>72</v>
      </c>
      <c r="D218" s="16" t="str" cm="1">
        <f t="array" ref="D218">_xlfn.XLOOKUP(1, (Table1[Project Name]=Table2[[#This Row],[Project ID]])*(Table1[Plot]=Table2[[#This Row],[Plot]]), Table1[Project ID])</f>
        <v>MJ-02</v>
      </c>
      <c r="E218" s="69">
        <v>269</v>
      </c>
      <c r="F218" s="70">
        <v>329</v>
      </c>
      <c r="G218" s="69">
        <f>Table2[[#This Row],[Time Elapsed]]+Table2[[#This Row],[Time Remaining]]</f>
        <v>598</v>
      </c>
      <c r="H218" s="2" t="s">
        <v>620</v>
      </c>
      <c r="I218" s="2" t="s">
        <v>621</v>
      </c>
      <c r="J218" s="13">
        <v>0.45760000000000001</v>
      </c>
      <c r="K218" s="13">
        <v>0.34139999999999998</v>
      </c>
      <c r="L218" s="13">
        <f>Table2[[#This Row],[Actual %]]-Table2[[#This Row],[Plan %]]</f>
        <v>-0.11620000000000003</v>
      </c>
      <c r="M218" s="144" t="s">
        <v>611</v>
      </c>
      <c r="N218" s="12">
        <v>45503</v>
      </c>
      <c r="O218" s="12"/>
      <c r="P218" s="12">
        <v>45550</v>
      </c>
      <c r="Q218" s="12">
        <v>45534</v>
      </c>
      <c r="R218" s="136" t="s">
        <v>606</v>
      </c>
      <c r="S218" s="136" t="s">
        <v>607</v>
      </c>
      <c r="T218" s="136" t="s">
        <v>616</v>
      </c>
      <c r="U218" s="138">
        <v>85805249.480000004</v>
      </c>
      <c r="V218" s="138">
        <v>0</v>
      </c>
      <c r="W218" s="138">
        <f>Table2[[#This Row],[Construction Contract Amount]]+Table2[[#This Row],[Cumulative Variations]]</f>
        <v>85805249.480000004</v>
      </c>
      <c r="X218" s="138">
        <v>3799481.4617604041</v>
      </c>
      <c r="Y218" s="138">
        <v>0</v>
      </c>
      <c r="Z218" s="138">
        <f>Table2[[#This Row],[Final Contract Value]]+Table2[[#This Row],[Supervision Contract amount]]+Table2[[#This Row],[Authority Cost]]</f>
        <v>89604730.941760406</v>
      </c>
      <c r="AA218" s="138">
        <v>17180863.600000001</v>
      </c>
      <c r="AB218" s="138">
        <v>1117487.2997119252</v>
      </c>
      <c r="AC218" s="91" t="str">
        <f t="shared" si="10"/>
        <v>https://drive.google.com/thumbnail?id=1LSdEMIAx0nOnLCMaT-0CJD9nxONTEfbb&amp;sz=w1000</v>
      </c>
      <c r="AD218" s="171" t="s">
        <v>623</v>
      </c>
      <c r="AE218" s="74" t="str">
        <f t="shared" si="11"/>
        <v>https://drive.google.com/thumbnail?id=1DE97kviXT-3hj-mPkqohYwgjer1eZUEt&amp;sz=w1000</v>
      </c>
      <c r="AF218" s="171" t="s">
        <v>625</v>
      </c>
      <c r="AG218" s="73" t="str">
        <f t="shared" si="12"/>
        <v>https://drive.google.com/thumbnail?id=1DE97kviXT-3hj-mPkqohYwgjer1eZUEt&amp;sz=w1000</v>
      </c>
      <c r="AH218" s="171" t="s">
        <v>625</v>
      </c>
    </row>
    <row r="219" spans="1:35" ht="22.15" customHeight="1" thickBot="1">
      <c r="A219" s="30">
        <v>45534</v>
      </c>
      <c r="B219" s="134" t="s">
        <v>69</v>
      </c>
      <c r="C219" s="48" t="s">
        <v>72</v>
      </c>
      <c r="D219" s="16" t="str" cm="1">
        <f t="array" ref="D219">_xlfn.XLOOKUP(1, (Table1[Project Name]=Table2[[#This Row],[Project ID]])*(Table1[Plot]=Table2[[#This Row],[Plot]]), Table1[Project ID])</f>
        <v>MJ-02</v>
      </c>
      <c r="E219" s="69">
        <v>269</v>
      </c>
      <c r="F219" s="70">
        <v>329</v>
      </c>
      <c r="G219" s="69">
        <f>Table2[[#This Row],[Time Elapsed]]+Table2[[#This Row],[Time Remaining]]</f>
        <v>598</v>
      </c>
      <c r="H219" s="2" t="s">
        <v>620</v>
      </c>
      <c r="I219" s="2" t="s">
        <v>621</v>
      </c>
      <c r="J219" s="13">
        <v>0.45760000000000001</v>
      </c>
      <c r="K219" s="13">
        <v>0.34139999999999998</v>
      </c>
      <c r="L219" s="13">
        <f>Table2[[#This Row],[Actual %]]-Table2[[#This Row],[Plan %]]</f>
        <v>-0.11620000000000003</v>
      </c>
      <c r="M219" s="144" t="s">
        <v>612</v>
      </c>
      <c r="N219" s="12">
        <v>45539</v>
      </c>
      <c r="O219" s="12"/>
      <c r="P219" s="12">
        <v>45616</v>
      </c>
      <c r="Q219" s="12">
        <v>45534</v>
      </c>
      <c r="R219" s="136" t="s">
        <v>606</v>
      </c>
      <c r="S219" s="136" t="s">
        <v>607</v>
      </c>
      <c r="T219" s="136" t="s">
        <v>616</v>
      </c>
      <c r="U219" s="138">
        <v>85805249.480000004</v>
      </c>
      <c r="V219" s="138">
        <v>0</v>
      </c>
      <c r="W219" s="138">
        <f>Table2[[#This Row],[Construction Contract Amount]]+Table2[[#This Row],[Cumulative Variations]]</f>
        <v>85805249.480000004</v>
      </c>
      <c r="X219" s="138">
        <v>3799481.4617604041</v>
      </c>
      <c r="Y219" s="138">
        <v>0</v>
      </c>
      <c r="Z219" s="138">
        <f>Table2[[#This Row],[Final Contract Value]]+Table2[[#This Row],[Supervision Contract amount]]+Table2[[#This Row],[Authority Cost]]</f>
        <v>89604730.941760406</v>
      </c>
      <c r="AA219" s="138">
        <v>17180863.600000001</v>
      </c>
      <c r="AB219" s="138">
        <v>1117487.2997119252</v>
      </c>
      <c r="AC219" s="91" t="str">
        <f t="shared" si="10"/>
        <v>https://drive.google.com/thumbnail?id=1LSdEMIAx0nOnLCMaT-0CJD9nxONTEfbb&amp;sz=w1000</v>
      </c>
      <c r="AD219" s="171" t="s">
        <v>623</v>
      </c>
      <c r="AE219" s="74" t="str">
        <f t="shared" si="11"/>
        <v>https://drive.google.com/thumbnail?id=1DE97kviXT-3hj-mPkqohYwgjer1eZUEt&amp;sz=w1000</v>
      </c>
      <c r="AF219" s="171" t="s">
        <v>625</v>
      </c>
      <c r="AG219" s="73" t="str">
        <f t="shared" si="12"/>
        <v>https://drive.google.com/thumbnail?id=1DE97kviXT-3hj-mPkqohYwgjer1eZUEt&amp;sz=w1000</v>
      </c>
      <c r="AH219" s="171" t="s">
        <v>625</v>
      </c>
    </row>
    <row r="220" spans="1:35" ht="22.15" customHeight="1" thickBot="1">
      <c r="A220" s="30">
        <v>45534</v>
      </c>
      <c r="B220" s="134" t="s">
        <v>69</v>
      </c>
      <c r="C220" s="48" t="s">
        <v>72</v>
      </c>
      <c r="D220" s="16" t="str" cm="1">
        <f t="array" ref="D220">_xlfn.XLOOKUP(1, (Table1[Project Name]=Table2[[#This Row],[Project ID]])*(Table1[Plot]=Table2[[#This Row],[Plot]]), Table1[Project ID])</f>
        <v>MJ-02</v>
      </c>
      <c r="E220" s="69">
        <v>269</v>
      </c>
      <c r="F220" s="70">
        <v>329</v>
      </c>
      <c r="G220" s="69">
        <f>Table2[[#This Row],[Time Elapsed]]+Table2[[#This Row],[Time Remaining]]</f>
        <v>598</v>
      </c>
      <c r="H220" s="2" t="s">
        <v>620</v>
      </c>
      <c r="I220" s="2" t="s">
        <v>621</v>
      </c>
      <c r="J220" s="13">
        <v>0.45760000000000001</v>
      </c>
      <c r="K220" s="13">
        <v>0.34139999999999998</v>
      </c>
      <c r="L220" s="13">
        <f>Table2[[#This Row],[Actual %]]-Table2[[#This Row],[Plan %]]</f>
        <v>-0.11620000000000003</v>
      </c>
      <c r="M220" s="144" t="s">
        <v>613</v>
      </c>
      <c r="N220" s="12">
        <v>45856</v>
      </c>
      <c r="O220" s="12"/>
      <c r="P220" s="12">
        <v>45856</v>
      </c>
      <c r="Q220" s="12">
        <v>45534</v>
      </c>
      <c r="R220" s="136" t="s">
        <v>606</v>
      </c>
      <c r="S220" s="136" t="s">
        <v>607</v>
      </c>
      <c r="T220" s="136" t="s">
        <v>616</v>
      </c>
      <c r="U220" s="138">
        <v>85805249.480000004</v>
      </c>
      <c r="V220" s="138">
        <v>0</v>
      </c>
      <c r="W220" s="138">
        <f>Table2[[#This Row],[Construction Contract Amount]]+Table2[[#This Row],[Cumulative Variations]]</f>
        <v>85805249.480000004</v>
      </c>
      <c r="X220" s="138">
        <v>3799481.4617604041</v>
      </c>
      <c r="Y220" s="138">
        <v>0</v>
      </c>
      <c r="Z220" s="138">
        <f>Table2[[#This Row],[Final Contract Value]]+Table2[[#This Row],[Supervision Contract amount]]+Table2[[#This Row],[Authority Cost]]</f>
        <v>89604730.941760406</v>
      </c>
      <c r="AA220" s="138">
        <v>17180863.600000001</v>
      </c>
      <c r="AB220" s="138">
        <v>1117487.2997119252</v>
      </c>
      <c r="AC220" s="91" t="str">
        <f t="shared" si="10"/>
        <v>https://drive.google.com/thumbnail?id=1LSdEMIAx0nOnLCMaT-0CJD9nxONTEfbb&amp;sz=w1000</v>
      </c>
      <c r="AD220" s="171" t="s">
        <v>623</v>
      </c>
      <c r="AE220" s="74" t="str">
        <f t="shared" si="11"/>
        <v>https://drive.google.com/thumbnail?id=1DE97kviXT-3hj-mPkqohYwgjer1eZUEt&amp;sz=w1000</v>
      </c>
      <c r="AF220" s="171" t="s">
        <v>625</v>
      </c>
      <c r="AG220" s="73" t="str">
        <f t="shared" si="12"/>
        <v>https://drive.google.com/thumbnail?id=1DE97kviXT-3hj-mPkqohYwgjer1eZUEt&amp;sz=w1000</v>
      </c>
      <c r="AH220" s="171" t="s">
        <v>625</v>
      </c>
    </row>
    <row r="221" spans="1:35" ht="22.15" customHeight="1" thickBot="1">
      <c r="A221" s="30">
        <v>45534</v>
      </c>
      <c r="B221" s="134" t="s">
        <v>69</v>
      </c>
      <c r="C221" s="48" t="s">
        <v>72</v>
      </c>
      <c r="D221" s="16" t="str" cm="1">
        <f t="array" ref="D221">_xlfn.XLOOKUP(1, (Table1[Project Name]=Table2[[#This Row],[Project ID]])*(Table1[Plot]=Table2[[#This Row],[Plot]]), Table1[Project ID])</f>
        <v>MJ-02</v>
      </c>
      <c r="E221" s="69">
        <v>269</v>
      </c>
      <c r="F221" s="70">
        <v>329</v>
      </c>
      <c r="G221" s="69">
        <f>Table2[[#This Row],[Time Elapsed]]+Table2[[#This Row],[Time Remaining]]</f>
        <v>598</v>
      </c>
      <c r="H221" s="2" t="s">
        <v>620</v>
      </c>
      <c r="I221" s="2" t="s">
        <v>621</v>
      </c>
      <c r="J221" s="13">
        <v>0.45760000000000001</v>
      </c>
      <c r="K221" s="13">
        <v>0.34139999999999998</v>
      </c>
      <c r="L221" s="13">
        <f>Table2[[#This Row],[Actual %]]-Table2[[#This Row],[Plan %]]</f>
        <v>-0.11620000000000003</v>
      </c>
      <c r="M221" s="144" t="s">
        <v>614</v>
      </c>
      <c r="N221" s="12">
        <v>45861</v>
      </c>
      <c r="O221" s="12"/>
      <c r="P221" s="12">
        <v>45861</v>
      </c>
      <c r="Q221" s="12">
        <v>45534</v>
      </c>
      <c r="R221" s="136" t="s">
        <v>606</v>
      </c>
      <c r="S221" s="136" t="s">
        <v>607</v>
      </c>
      <c r="T221" s="136" t="s">
        <v>616</v>
      </c>
      <c r="U221" s="138">
        <v>85805249.480000004</v>
      </c>
      <c r="V221" s="138">
        <v>0</v>
      </c>
      <c r="W221" s="138">
        <f>Table2[[#This Row],[Construction Contract Amount]]+Table2[[#This Row],[Cumulative Variations]]</f>
        <v>85805249.480000004</v>
      </c>
      <c r="X221" s="138">
        <v>3799481.4617604041</v>
      </c>
      <c r="Y221" s="138">
        <v>0</v>
      </c>
      <c r="Z221" s="138">
        <f>Table2[[#This Row],[Final Contract Value]]+Table2[[#This Row],[Supervision Contract amount]]+Table2[[#This Row],[Authority Cost]]</f>
        <v>89604730.941760406</v>
      </c>
      <c r="AA221" s="138">
        <v>17180863.600000001</v>
      </c>
      <c r="AB221" s="138">
        <v>1117487.2997119252</v>
      </c>
      <c r="AC221" s="91" t="str">
        <f t="shared" si="10"/>
        <v>https://drive.google.com/thumbnail?id=1LSdEMIAx0nOnLCMaT-0CJD9nxONTEfbb&amp;sz=w1000</v>
      </c>
      <c r="AD221" s="171" t="s">
        <v>623</v>
      </c>
      <c r="AE221" s="74" t="str">
        <f t="shared" si="11"/>
        <v>https://drive.google.com/thumbnail?id=1DE97kviXT-3hj-mPkqohYwgjer1eZUEt&amp;sz=w1000</v>
      </c>
      <c r="AF221" s="171" t="s">
        <v>625</v>
      </c>
      <c r="AG221" s="73" t="str">
        <f t="shared" si="12"/>
        <v>https://drive.google.com/thumbnail?id=1DE97kviXT-3hj-mPkqohYwgjer1eZUEt&amp;sz=w1000</v>
      </c>
      <c r="AH221" s="171" t="s">
        <v>625</v>
      </c>
    </row>
    <row r="222" spans="1:35" ht="22.15" customHeight="1" thickBot="1">
      <c r="A222" s="30">
        <v>45534</v>
      </c>
      <c r="B222" s="134" t="s">
        <v>69</v>
      </c>
      <c r="C222" s="48" t="s">
        <v>72</v>
      </c>
      <c r="D222" s="16" t="str" cm="1">
        <f t="array" ref="D222">_xlfn.XLOOKUP(1, (Table1[Project Name]=Table2[[#This Row],[Project ID]])*(Table1[Plot]=Table2[[#This Row],[Plot]]), Table1[Project ID])</f>
        <v>MJ-02</v>
      </c>
      <c r="E222" s="69">
        <v>269</v>
      </c>
      <c r="F222" s="70">
        <v>329</v>
      </c>
      <c r="G222" s="69">
        <f>Table2[[#This Row],[Time Elapsed]]+Table2[[#This Row],[Time Remaining]]</f>
        <v>598</v>
      </c>
      <c r="H222" s="2" t="s">
        <v>620</v>
      </c>
      <c r="I222" s="2" t="s">
        <v>621</v>
      </c>
      <c r="J222" s="13">
        <v>0.45760000000000001</v>
      </c>
      <c r="K222" s="13">
        <v>0.34139999999999998</v>
      </c>
      <c r="L222" s="13">
        <f>Table2[[#This Row],[Actual %]]-Table2[[#This Row],[Plan %]]</f>
        <v>-0.11620000000000003</v>
      </c>
      <c r="M222" s="144" t="s">
        <v>615</v>
      </c>
      <c r="N222" s="12">
        <v>45868</v>
      </c>
      <c r="O222" s="12"/>
      <c r="P222" s="12">
        <v>45862</v>
      </c>
      <c r="Q222" s="12">
        <v>45534</v>
      </c>
      <c r="R222" s="169" t="s">
        <v>606</v>
      </c>
      <c r="S222" s="169" t="s">
        <v>607</v>
      </c>
      <c r="T222" s="169" t="s">
        <v>616</v>
      </c>
      <c r="U222" s="138">
        <v>85805249.480000004</v>
      </c>
      <c r="V222" s="138">
        <v>0</v>
      </c>
      <c r="W222" s="138">
        <f>Table2[[#This Row],[Construction Contract Amount]]+Table2[[#This Row],[Cumulative Variations]]</f>
        <v>85805249.480000004</v>
      </c>
      <c r="X222" s="138">
        <v>3799481.4617604041</v>
      </c>
      <c r="Y222" s="138">
        <v>0</v>
      </c>
      <c r="Z222" s="138">
        <f>Table2[[#This Row],[Final Contract Value]]+Table2[[#This Row],[Supervision Contract amount]]+Table2[[#This Row],[Authority Cost]]</f>
        <v>89604730.941760406</v>
      </c>
      <c r="AA222" s="138">
        <v>17180863.600000001</v>
      </c>
      <c r="AB222" s="138">
        <v>1117487.2997119252</v>
      </c>
      <c r="AC222" s="91" t="str">
        <f t="shared" si="10"/>
        <v>https://drive.google.com/thumbnail?id=1LSdEMIAx0nOnLCMaT-0CJD9nxONTEfbb&amp;sz=w1000</v>
      </c>
      <c r="AD222" s="171" t="s">
        <v>623</v>
      </c>
      <c r="AE222" s="74" t="str">
        <f t="shared" si="11"/>
        <v>https://drive.google.com/thumbnail?id=1DE97kviXT-3hj-mPkqohYwgjer1eZUEt&amp;sz=w1000</v>
      </c>
      <c r="AF222" s="171" t="s">
        <v>625</v>
      </c>
      <c r="AG222" s="73" t="str">
        <f t="shared" si="12"/>
        <v>https://drive.google.com/thumbnail?id=1DE97kviXT-3hj-mPkqohYwgjer1eZUEt&amp;sz=w1000</v>
      </c>
      <c r="AH222" s="171" t="s">
        <v>625</v>
      </c>
    </row>
    <row r="223" spans="1:35" ht="42" customHeight="1">
      <c r="A223" s="30">
        <v>45534</v>
      </c>
      <c r="B223" s="17" t="s">
        <v>82</v>
      </c>
      <c r="C223" s="48" t="s">
        <v>85</v>
      </c>
      <c r="D223" s="16" t="str" cm="1">
        <f t="array" ref="D223">_xlfn.XLOOKUP(1, (Table1[Project Name]=Table2[[#This Row],[Project ID]])*(Table1[Plot]=Table2[[#This Row],[Plot]]), Table1[Project ID])</f>
        <v>MJ-03</v>
      </c>
      <c r="E223" s="69">
        <v>269</v>
      </c>
      <c r="F223" s="70">
        <v>329</v>
      </c>
      <c r="G223" s="69">
        <f>Table2[[#This Row],[Time Elapsed]]+Table2[[#This Row],[Time Remaining]]</f>
        <v>598</v>
      </c>
      <c r="H223" s="136" t="s">
        <v>734</v>
      </c>
      <c r="I223" s="2" t="s">
        <v>316</v>
      </c>
      <c r="J223" s="13">
        <v>0.45729999999999998</v>
      </c>
      <c r="K223" s="148">
        <v>0.21410000000000001</v>
      </c>
      <c r="L223" s="13">
        <f>Table2[[#This Row],[Actual %]]-Table2[[#This Row],[Plan %]]</f>
        <v>-0.24319999999999997</v>
      </c>
      <c r="M223" s="144" t="s">
        <v>735</v>
      </c>
      <c r="N223" s="12">
        <v>45265</v>
      </c>
      <c r="O223" s="12">
        <v>45265</v>
      </c>
      <c r="P223" s="12"/>
      <c r="Q223" s="12">
        <v>45534</v>
      </c>
      <c r="R223" s="136" t="s">
        <v>617</v>
      </c>
      <c r="S223" s="136" t="s">
        <v>618</v>
      </c>
      <c r="T223" s="136" t="s">
        <v>619</v>
      </c>
      <c r="U223" s="138">
        <v>78195477.459999993</v>
      </c>
      <c r="V223" s="138">
        <v>0</v>
      </c>
      <c r="W223" s="138">
        <f>Table2[[#This Row],[Construction Contract Amount]]+Table2[[#This Row],[Cumulative Variations]]</f>
        <v>78195477.459999993</v>
      </c>
      <c r="X223" s="138">
        <v>3462518.5382395959</v>
      </c>
      <c r="Y223" s="138">
        <v>0</v>
      </c>
      <c r="Z223" s="138">
        <f>Table2[[#This Row],[Final Contract Value]]+Table2[[#This Row],[Supervision Contract amount]]+Table2[[#This Row],[Authority Cost]]</f>
        <v>81657995.998239592</v>
      </c>
      <c r="AA223" s="138">
        <v>4774958.1100000003</v>
      </c>
      <c r="AB223" s="138">
        <v>1018381.2002880748</v>
      </c>
      <c r="AC223" s="91" t="str">
        <f t="shared" si="10"/>
        <v>https://drive.google.com/thumbnail?id=1-uqOeguQnsVTKjN4CUm_DKAjRsf3GvNl&amp;sz=w1000</v>
      </c>
      <c r="AD223" s="172" t="s">
        <v>624</v>
      </c>
      <c r="AE223" s="74" t="str">
        <f t="shared" si="11"/>
        <v>https://drive.google.com/thumbnail?id=1eSxlhhtsJOyik_7Sfm5xJHDz0O_y42HO&amp;sz=w1000</v>
      </c>
      <c r="AF223" s="141" t="s">
        <v>626</v>
      </c>
      <c r="AG223" s="73" t="str">
        <f t="shared" si="12"/>
        <v>https://drive.google.com/thumbnail?id=1mdyrvDZwnHDAJR9GoBxTgVEGuoFOKVP7&amp;sz=w1000</v>
      </c>
      <c r="AH223" s="141" t="s">
        <v>627</v>
      </c>
    </row>
    <row r="224" spans="1:35" ht="22.15" customHeight="1">
      <c r="A224" s="30">
        <v>45534</v>
      </c>
      <c r="B224" s="17" t="s">
        <v>82</v>
      </c>
      <c r="C224" s="48" t="s">
        <v>85</v>
      </c>
      <c r="D224" s="16" t="str" cm="1">
        <f t="array" ref="D224">_xlfn.XLOOKUP(1, (Table1[Project Name]=Table2[[#This Row],[Project ID]])*(Table1[Plot]=Table2[[#This Row],[Plot]]), Table1[Project ID])</f>
        <v>MJ-03</v>
      </c>
      <c r="E224" s="69">
        <v>269</v>
      </c>
      <c r="F224" s="70">
        <v>329</v>
      </c>
      <c r="G224" s="69">
        <f>Table2[[#This Row],[Time Elapsed]]+Table2[[#This Row],[Time Remaining]]</f>
        <v>598</v>
      </c>
      <c r="H224" s="2" t="s">
        <v>622</v>
      </c>
      <c r="I224" s="2" t="s">
        <v>316</v>
      </c>
      <c r="J224" s="13">
        <v>0.45729999999999998</v>
      </c>
      <c r="K224" s="148">
        <v>0.21410000000000001</v>
      </c>
      <c r="L224" s="13">
        <f>Table2[[#This Row],[Actual %]]-Table2[[#This Row],[Plan %]]</f>
        <v>-0.24319999999999997</v>
      </c>
      <c r="M224" s="144" t="s">
        <v>736</v>
      </c>
      <c r="N224" s="12">
        <v>45503</v>
      </c>
      <c r="O224" s="12"/>
      <c r="P224" s="12">
        <v>45555</v>
      </c>
      <c r="Q224" s="12">
        <v>45534</v>
      </c>
      <c r="R224" s="136" t="s">
        <v>617</v>
      </c>
      <c r="S224" s="136" t="s">
        <v>618</v>
      </c>
      <c r="T224" s="136" t="s">
        <v>619</v>
      </c>
      <c r="U224" s="138">
        <v>78195477.459999993</v>
      </c>
      <c r="V224" s="138">
        <v>0</v>
      </c>
      <c r="W224" s="138">
        <f>Table2[[#This Row],[Construction Contract Amount]]+Table2[[#This Row],[Cumulative Variations]]</f>
        <v>78195477.459999993</v>
      </c>
      <c r="X224" s="138">
        <v>3462518.5382395959</v>
      </c>
      <c r="Y224" s="138">
        <v>0</v>
      </c>
      <c r="Z224" s="138">
        <f>Table2[[#This Row],[Final Contract Value]]+Table2[[#This Row],[Supervision Contract amount]]+Table2[[#This Row],[Authority Cost]]</f>
        <v>81657995.998239592</v>
      </c>
      <c r="AA224" s="138">
        <v>4774958.1100000003</v>
      </c>
      <c r="AB224" s="138">
        <v>1018381.2002880748</v>
      </c>
      <c r="AC224" s="91" t="str">
        <f t="shared" si="10"/>
        <v>https://drive.google.com/thumbnail?id=1-uqOeguQnsVTKjN4CUm_DKAjRsf3GvNl&amp;sz=w1000</v>
      </c>
      <c r="AD224" s="172" t="s">
        <v>624</v>
      </c>
      <c r="AE224" s="74" t="str">
        <f t="shared" si="11"/>
        <v>https://drive.google.com/thumbnail?id=1eSxlhhtsJOyik_7Sfm5xJHDz0O_y42HO&amp;sz=w1000</v>
      </c>
      <c r="AF224" s="141" t="s">
        <v>626</v>
      </c>
      <c r="AG224" s="73" t="str">
        <f t="shared" si="12"/>
        <v>https://drive.google.com/thumbnail?id=1mdyrvDZwnHDAJR9GoBxTgVEGuoFOKVP7&amp;sz=w1000</v>
      </c>
      <c r="AH224" s="141" t="s">
        <v>627</v>
      </c>
    </row>
    <row r="225" spans="1:34" ht="22.15" customHeight="1">
      <c r="A225" s="30">
        <v>45534</v>
      </c>
      <c r="B225" s="17" t="s">
        <v>82</v>
      </c>
      <c r="C225" s="48" t="s">
        <v>85</v>
      </c>
      <c r="D225" s="16" t="str" cm="1">
        <f t="array" ref="D225">_xlfn.XLOOKUP(1, (Table1[Project Name]=Table2[[#This Row],[Project ID]])*(Table1[Plot]=Table2[[#This Row],[Plot]]), Table1[Project ID])</f>
        <v>MJ-03</v>
      </c>
      <c r="E225" s="69">
        <v>269</v>
      </c>
      <c r="F225" s="70">
        <v>329</v>
      </c>
      <c r="G225" s="69">
        <f>Table2[[#This Row],[Time Elapsed]]+Table2[[#This Row],[Time Remaining]]</f>
        <v>598</v>
      </c>
      <c r="H225" s="2" t="s">
        <v>622</v>
      </c>
      <c r="I225" s="2" t="s">
        <v>316</v>
      </c>
      <c r="J225" s="13">
        <v>0.45729999999999998</v>
      </c>
      <c r="K225" s="148">
        <v>0.21410000000000001</v>
      </c>
      <c r="L225" s="13">
        <f>Table2[[#This Row],[Actual %]]-Table2[[#This Row],[Plan %]]</f>
        <v>-0.24319999999999997</v>
      </c>
      <c r="M225" s="144" t="s">
        <v>737</v>
      </c>
      <c r="N225" s="12">
        <v>45857</v>
      </c>
      <c r="O225" s="12"/>
      <c r="P225" s="12">
        <v>45981</v>
      </c>
      <c r="Q225" s="12">
        <v>45534</v>
      </c>
      <c r="R225" s="136" t="s">
        <v>617</v>
      </c>
      <c r="S225" s="136" t="s">
        <v>618</v>
      </c>
      <c r="T225" s="136" t="s">
        <v>619</v>
      </c>
      <c r="U225" s="138">
        <v>78195477.459999993</v>
      </c>
      <c r="V225" s="138">
        <v>0</v>
      </c>
      <c r="W225" s="138">
        <f>Table2[[#This Row],[Construction Contract Amount]]+Table2[[#This Row],[Cumulative Variations]]</f>
        <v>78195477.459999993</v>
      </c>
      <c r="X225" s="138">
        <v>3462518.5382395959</v>
      </c>
      <c r="Y225" s="138">
        <v>0</v>
      </c>
      <c r="Z225" s="138">
        <f>Table2[[#This Row],[Final Contract Value]]+Table2[[#This Row],[Supervision Contract amount]]+Table2[[#This Row],[Authority Cost]]</f>
        <v>81657995.998239592</v>
      </c>
      <c r="AA225" s="138">
        <v>4774958.1100000003</v>
      </c>
      <c r="AB225" s="138">
        <v>1018381.2002880748</v>
      </c>
      <c r="AC225" s="91" t="str">
        <f t="shared" si="10"/>
        <v>https://drive.google.com/thumbnail?id=1-uqOeguQnsVTKjN4CUm_DKAjRsf3GvNl&amp;sz=w1000</v>
      </c>
      <c r="AD225" s="172" t="s">
        <v>624</v>
      </c>
      <c r="AE225" s="74" t="str">
        <f t="shared" si="11"/>
        <v>https://drive.google.com/thumbnail?id=1eSxlhhtsJOyik_7Sfm5xJHDz0O_y42HO&amp;sz=w1000</v>
      </c>
      <c r="AF225" s="141" t="s">
        <v>626</v>
      </c>
      <c r="AG225" s="73" t="str">
        <f t="shared" si="12"/>
        <v>https://drive.google.com/thumbnail?id=1mdyrvDZwnHDAJR9GoBxTgVEGuoFOKVP7&amp;sz=w1000</v>
      </c>
      <c r="AH225" s="141" t="s">
        <v>627</v>
      </c>
    </row>
    <row r="226" spans="1:34" ht="22.15" customHeight="1">
      <c r="A226" s="30">
        <v>45534</v>
      </c>
      <c r="B226" s="17" t="s">
        <v>82</v>
      </c>
      <c r="C226" s="48" t="s">
        <v>85</v>
      </c>
      <c r="D226" s="16" t="str" cm="1">
        <f t="array" ref="D226">_xlfn.XLOOKUP(1, (Table1[Project Name]=Table2[[#This Row],[Project ID]])*(Table1[Plot]=Table2[[#This Row],[Plot]]), Table1[Project ID])</f>
        <v>MJ-03</v>
      </c>
      <c r="E226" s="69">
        <v>269</v>
      </c>
      <c r="F226" s="70">
        <v>329</v>
      </c>
      <c r="G226" s="69">
        <f>Table2[[#This Row],[Time Elapsed]]+Table2[[#This Row],[Time Remaining]]</f>
        <v>598</v>
      </c>
      <c r="H226" s="2" t="s">
        <v>622</v>
      </c>
      <c r="I226" s="2" t="s">
        <v>316</v>
      </c>
      <c r="J226" s="13">
        <v>0.45729999999999998</v>
      </c>
      <c r="K226" s="148">
        <v>0.21410000000000001</v>
      </c>
      <c r="L226" s="13">
        <f>Table2[[#This Row],[Actual %]]-Table2[[#This Row],[Plan %]]</f>
        <v>-0.24319999999999997</v>
      </c>
      <c r="M226" s="144" t="s">
        <v>334</v>
      </c>
      <c r="N226" s="12">
        <v>45862</v>
      </c>
      <c r="O226" s="12"/>
      <c r="P226" s="12">
        <v>46011</v>
      </c>
      <c r="Q226" s="12">
        <v>45534</v>
      </c>
      <c r="R226" s="136" t="s">
        <v>617</v>
      </c>
      <c r="S226" s="136" t="s">
        <v>618</v>
      </c>
      <c r="T226" s="136" t="s">
        <v>619</v>
      </c>
      <c r="U226" s="138">
        <v>78195477.459999993</v>
      </c>
      <c r="V226" s="138">
        <v>0</v>
      </c>
      <c r="W226" s="138">
        <f>Table2[[#This Row],[Construction Contract Amount]]+Table2[[#This Row],[Cumulative Variations]]</f>
        <v>78195477.459999993</v>
      </c>
      <c r="X226" s="138">
        <v>3462518.5382395959</v>
      </c>
      <c r="Y226" s="138">
        <v>0</v>
      </c>
      <c r="Z226" s="138">
        <f>Table2[[#This Row],[Final Contract Value]]+Table2[[#This Row],[Supervision Contract amount]]+Table2[[#This Row],[Authority Cost]]</f>
        <v>81657995.998239592</v>
      </c>
      <c r="AA226" s="138">
        <v>4774958.1100000003</v>
      </c>
      <c r="AB226" s="138">
        <v>1018381.2002880748</v>
      </c>
      <c r="AC226" s="91" t="str">
        <f t="shared" si="10"/>
        <v>https://drive.google.com/thumbnail?id=1-uqOeguQnsVTKjN4CUm_DKAjRsf3GvNl&amp;sz=w1000</v>
      </c>
      <c r="AD226" s="172" t="s">
        <v>624</v>
      </c>
      <c r="AE226" s="74" t="str">
        <f t="shared" si="11"/>
        <v>https://drive.google.com/thumbnail?id=1eSxlhhtsJOyik_7Sfm5xJHDz0O_y42HO&amp;sz=w1000</v>
      </c>
      <c r="AF226" s="141" t="s">
        <v>626</v>
      </c>
      <c r="AG226" s="73" t="str">
        <f t="shared" si="12"/>
        <v>https://drive.google.com/thumbnail?id=1mdyrvDZwnHDAJR9GoBxTgVEGuoFOKVP7&amp;sz=w1000</v>
      </c>
      <c r="AH226" s="141" t="s">
        <v>627</v>
      </c>
    </row>
    <row r="227" spans="1:34" ht="22.15" customHeight="1">
      <c r="A227" s="30">
        <v>45534</v>
      </c>
      <c r="B227" s="17" t="s">
        <v>82</v>
      </c>
      <c r="C227" s="48" t="s">
        <v>85</v>
      </c>
      <c r="D227" s="16" t="str" cm="1">
        <f t="array" ref="D227">_xlfn.XLOOKUP(1, (Table1[Project Name]=Table2[[#This Row],[Project ID]])*(Table1[Plot]=Table2[[#This Row],[Plot]]), Table1[Project ID])</f>
        <v>MJ-03</v>
      </c>
      <c r="E227" s="69">
        <v>269</v>
      </c>
      <c r="F227" s="70">
        <v>329</v>
      </c>
      <c r="G227" s="69">
        <f>Table2[[#This Row],[Time Elapsed]]+Table2[[#This Row],[Time Remaining]]</f>
        <v>598</v>
      </c>
      <c r="H227" s="2" t="s">
        <v>622</v>
      </c>
      <c r="I227" s="2" t="s">
        <v>316</v>
      </c>
      <c r="J227" s="13">
        <v>0.45729999999999998</v>
      </c>
      <c r="K227" s="148">
        <v>0.21410000000000001</v>
      </c>
      <c r="L227" s="13">
        <f>Table2[[#This Row],[Actual %]]-Table2[[#This Row],[Plan %]]</f>
        <v>-0.24319999999999997</v>
      </c>
      <c r="M227" s="144" t="s">
        <v>738</v>
      </c>
      <c r="N227" s="12">
        <v>45862</v>
      </c>
      <c r="O227" s="12"/>
      <c r="P227" s="12">
        <v>46011</v>
      </c>
      <c r="Q227" s="12">
        <v>45534</v>
      </c>
      <c r="R227" s="136" t="s">
        <v>617</v>
      </c>
      <c r="S227" s="136" t="s">
        <v>618</v>
      </c>
      <c r="T227" s="136" t="s">
        <v>619</v>
      </c>
      <c r="U227" s="138">
        <v>78195477.459999993</v>
      </c>
      <c r="V227" s="138">
        <v>0</v>
      </c>
      <c r="W227" s="138">
        <f>Table2[[#This Row],[Construction Contract Amount]]+Table2[[#This Row],[Cumulative Variations]]</f>
        <v>78195477.459999993</v>
      </c>
      <c r="X227" s="138">
        <v>3462518.5382395959</v>
      </c>
      <c r="Y227" s="138">
        <v>0</v>
      </c>
      <c r="Z227" s="138">
        <f>Table2[[#This Row],[Final Contract Value]]+Table2[[#This Row],[Supervision Contract amount]]+Table2[[#This Row],[Authority Cost]]</f>
        <v>81657995.998239592</v>
      </c>
      <c r="AA227" s="138">
        <v>4774958.1100000003</v>
      </c>
      <c r="AB227" s="138">
        <v>1018381.2002880748</v>
      </c>
      <c r="AC227" s="91" t="str">
        <f t="shared" si="10"/>
        <v>https://drive.google.com/thumbnail?id=1-uqOeguQnsVTKjN4CUm_DKAjRsf3GvNl&amp;sz=w1000</v>
      </c>
      <c r="AD227" s="172" t="s">
        <v>624</v>
      </c>
      <c r="AE227" s="74" t="str">
        <f t="shared" si="11"/>
        <v>https://drive.google.com/thumbnail?id=1eSxlhhtsJOyik_7Sfm5xJHDz0O_y42HO&amp;sz=w1000</v>
      </c>
      <c r="AF227" s="141" t="s">
        <v>626</v>
      </c>
      <c r="AG227" s="73" t="str">
        <f t="shared" si="12"/>
        <v>https://drive.google.com/thumbnail?id=1mdyrvDZwnHDAJR9GoBxTgVEGuoFOKVP7&amp;sz=w1000</v>
      </c>
      <c r="AH227" s="141" t="s">
        <v>627</v>
      </c>
    </row>
    <row r="228" spans="1:34" ht="22.15" customHeight="1">
      <c r="A228" s="30">
        <v>45534</v>
      </c>
      <c r="B228" s="17" t="s">
        <v>82</v>
      </c>
      <c r="C228" s="48" t="s">
        <v>85</v>
      </c>
      <c r="D228" s="16" t="str" cm="1">
        <f t="array" ref="D228">_xlfn.XLOOKUP(1, (Table1[Project Name]=Table2[[#This Row],[Project ID]])*(Table1[Plot]=Table2[[#This Row],[Plot]]), Table1[Project ID])</f>
        <v>MJ-03</v>
      </c>
      <c r="E228" s="69">
        <v>269</v>
      </c>
      <c r="F228" s="70">
        <v>329</v>
      </c>
      <c r="G228" s="69">
        <f>Table2[[#This Row],[Time Elapsed]]+Table2[[#This Row],[Time Remaining]]</f>
        <v>598</v>
      </c>
      <c r="H228" s="2" t="s">
        <v>622</v>
      </c>
      <c r="I228" s="2" t="s">
        <v>316</v>
      </c>
      <c r="J228" s="13">
        <v>0.45729999999999998</v>
      </c>
      <c r="K228" s="148">
        <v>0.21410000000000001</v>
      </c>
      <c r="L228" s="13">
        <f>Table2[[#This Row],[Actual %]]-Table2[[#This Row],[Plan %]]</f>
        <v>-0.24319999999999997</v>
      </c>
      <c r="M228" s="144" t="s">
        <v>739</v>
      </c>
      <c r="N228" s="12">
        <v>45862</v>
      </c>
      <c r="O228" s="12"/>
      <c r="P228" s="12">
        <v>46015</v>
      </c>
      <c r="Q228" s="12">
        <v>45534</v>
      </c>
      <c r="R228" s="136" t="s">
        <v>617</v>
      </c>
      <c r="S228" s="136" t="s">
        <v>618</v>
      </c>
      <c r="T228" s="136" t="s">
        <v>619</v>
      </c>
      <c r="U228" s="138">
        <v>78195477.459999993</v>
      </c>
      <c r="V228" s="138">
        <v>0</v>
      </c>
      <c r="W228" s="138">
        <f>Table2[[#This Row],[Construction Contract Amount]]+Table2[[#This Row],[Cumulative Variations]]</f>
        <v>78195477.459999993</v>
      </c>
      <c r="X228" s="138">
        <v>3462518.5382395959</v>
      </c>
      <c r="Y228" s="138">
        <v>0</v>
      </c>
      <c r="Z228" s="138">
        <f>Table2[[#This Row],[Final Contract Value]]+Table2[[#This Row],[Supervision Contract amount]]+Table2[[#This Row],[Authority Cost]]</f>
        <v>81657995.998239592</v>
      </c>
      <c r="AA228" s="138">
        <v>4774958.1100000003</v>
      </c>
      <c r="AB228" s="138">
        <v>1018381.2002880748</v>
      </c>
      <c r="AC228" s="91" t="str">
        <f t="shared" si="10"/>
        <v>https://drive.google.com/thumbnail?id=1-uqOeguQnsVTKjN4CUm_DKAjRsf3GvNl&amp;sz=w1000</v>
      </c>
      <c r="AD228" s="172" t="s">
        <v>624</v>
      </c>
      <c r="AE228" s="74" t="str">
        <f t="shared" si="11"/>
        <v>https://drive.google.com/thumbnail?id=1eSxlhhtsJOyik_7Sfm5xJHDz0O_y42HO&amp;sz=w1000</v>
      </c>
      <c r="AF228" s="141" t="s">
        <v>626</v>
      </c>
      <c r="AG228" s="73" t="str">
        <f t="shared" si="12"/>
        <v>https://drive.google.com/thumbnail?id=1mdyrvDZwnHDAJR9GoBxTgVEGuoFOKVP7&amp;sz=w1000</v>
      </c>
      <c r="AH228" s="141" t="s">
        <v>627</v>
      </c>
    </row>
    <row r="229" spans="1:34" ht="22.15" customHeight="1">
      <c r="A229" s="30">
        <v>45534</v>
      </c>
      <c r="B229" s="134" t="s">
        <v>69</v>
      </c>
      <c r="C229" s="48" t="s">
        <v>72</v>
      </c>
      <c r="D229" s="16" t="str" cm="1">
        <f t="array" ref="D229">_xlfn.XLOOKUP(1, (Table1[Project Name]=Table2[[#This Row],[Project ID]])*(Table1[Plot]=Table2[[#This Row],[Plot]]), Table1[Project ID])</f>
        <v>MJ-02</v>
      </c>
      <c r="E229" s="69">
        <v>276</v>
      </c>
      <c r="F229" s="70">
        <v>322</v>
      </c>
      <c r="G229" s="69">
        <f>Table2[[#This Row],[Time Elapsed]]+Table2[[#This Row],[Time Remaining]]</f>
        <v>598</v>
      </c>
      <c r="H229" s="2" t="s">
        <v>603</v>
      </c>
      <c r="I229" s="2" t="s">
        <v>604</v>
      </c>
      <c r="J229" s="13">
        <v>0.46110000000000001</v>
      </c>
      <c r="K229" s="148">
        <v>0.36799999999999999</v>
      </c>
      <c r="L229" s="13">
        <f>Table2[[#This Row],[Actual %]]-Table2[[#This Row],[Plan %]]</f>
        <v>-9.3100000000000016E-2</v>
      </c>
      <c r="M229" s="144" t="s">
        <v>605</v>
      </c>
      <c r="N229" s="12">
        <v>45265</v>
      </c>
      <c r="O229" s="12">
        <v>45265</v>
      </c>
      <c r="P229" s="12"/>
      <c r="Q229" s="12">
        <v>45540</v>
      </c>
      <c r="R229" s="2" t="s">
        <v>606</v>
      </c>
      <c r="S229" s="170" t="s">
        <v>607</v>
      </c>
      <c r="T229" s="149" t="s">
        <v>608</v>
      </c>
      <c r="U229" s="138">
        <v>85805249.480000004</v>
      </c>
      <c r="V229" s="138">
        <v>0</v>
      </c>
      <c r="W229" s="138">
        <f>Table2[[#This Row],[Construction Contract Amount]]+Table2[[#This Row],[Cumulative Variations]]</f>
        <v>85805249.480000004</v>
      </c>
      <c r="X229" s="138">
        <v>3799480.4617603999</v>
      </c>
      <c r="Y229" s="138">
        <v>0</v>
      </c>
      <c r="Z229" s="138">
        <f>Table2[[#This Row],[Final Contract Value]]+Table2[[#This Row],[Supervision Contract amount]]+Table2[[#This Row],[Authority Cost]]</f>
        <v>89604729.941760406</v>
      </c>
      <c r="AA229" s="138">
        <v>17180863.600000001</v>
      </c>
      <c r="AB229" s="138">
        <v>1117486.2997119301</v>
      </c>
      <c r="AC229" s="91" t="str">
        <f t="shared" si="10"/>
        <v>https://drive.google.com/thumbnail?id=1HbIMSG327H4IroIIbzG-UoNFRHW9d4tq&amp;sz=w1000</v>
      </c>
      <c r="AD229" s="172" t="s">
        <v>609</v>
      </c>
      <c r="AE229" s="74" t="str">
        <f t="shared" si="11"/>
        <v>https://drive.google.com/thumbnail?id=1j2tLIzNNUoZkZ243oPB10Uwaw2b3_A58&amp;sz=w1000</v>
      </c>
      <c r="AF229" s="172" t="s">
        <v>610</v>
      </c>
      <c r="AG229" s="73" t="str">
        <f t="shared" si="12"/>
        <v>https://drive.google.com/thumbnail?id=1j2tLIzNNUoZkZ243oPB10Uwaw2b3_A58&amp;sz=w1000</v>
      </c>
      <c r="AH229" s="172" t="s">
        <v>610</v>
      </c>
    </row>
    <row r="230" spans="1:34" ht="22.15" customHeight="1">
      <c r="A230" s="30">
        <v>45534</v>
      </c>
      <c r="B230" s="134" t="s">
        <v>69</v>
      </c>
      <c r="C230" s="48" t="s">
        <v>72</v>
      </c>
      <c r="D230" s="16" t="str" cm="1">
        <f t="array" ref="D230">_xlfn.XLOOKUP(1, (Table1[Project Name]=Table2[[#This Row],[Project ID]])*(Table1[Plot]=Table2[[#This Row],[Plot]]), Table1[Project ID])</f>
        <v>MJ-02</v>
      </c>
      <c r="E230" s="69">
        <v>276</v>
      </c>
      <c r="F230" s="70">
        <v>322</v>
      </c>
      <c r="G230" s="69">
        <f>Table2[[#This Row],[Time Elapsed]]+Table2[[#This Row],[Time Remaining]]</f>
        <v>598</v>
      </c>
      <c r="H230" s="2" t="s">
        <v>620</v>
      </c>
      <c r="I230" s="2" t="s">
        <v>621</v>
      </c>
      <c r="J230" s="13">
        <v>0.46110000000000001</v>
      </c>
      <c r="K230" s="148">
        <v>0.36799999999999999</v>
      </c>
      <c r="L230" s="13">
        <f>Table2[[#This Row],[Actual %]]-Table2[[#This Row],[Plan %]]</f>
        <v>-9.3100000000000016E-2</v>
      </c>
      <c r="M230" s="144" t="s">
        <v>611</v>
      </c>
      <c r="N230" s="12">
        <v>45503</v>
      </c>
      <c r="O230" s="12"/>
      <c r="P230" s="12">
        <v>45555</v>
      </c>
      <c r="Q230" s="12">
        <v>45540</v>
      </c>
      <c r="R230" s="2" t="s">
        <v>606</v>
      </c>
      <c r="S230" s="170" t="s">
        <v>607</v>
      </c>
      <c r="T230" s="149" t="s">
        <v>608</v>
      </c>
      <c r="U230" s="138">
        <v>85805249.480000004</v>
      </c>
      <c r="V230" s="138">
        <v>0</v>
      </c>
      <c r="W230" s="138">
        <f>Table2[[#This Row],[Construction Contract Amount]]+Table2[[#This Row],[Cumulative Variations]]</f>
        <v>85805249.480000004</v>
      </c>
      <c r="X230" s="138">
        <v>3799481.4617604041</v>
      </c>
      <c r="Y230" s="138">
        <v>0</v>
      </c>
      <c r="Z230" s="138">
        <f>Table2[[#This Row],[Final Contract Value]]+Table2[[#This Row],[Supervision Contract amount]]+Table2[[#This Row],[Authority Cost]]</f>
        <v>89604730.941760406</v>
      </c>
      <c r="AA230" s="138">
        <v>17180863.600000001</v>
      </c>
      <c r="AB230" s="138">
        <v>1117487.2997119252</v>
      </c>
      <c r="AC230" s="91" t="str">
        <f t="shared" si="10"/>
        <v>https://drive.google.com/thumbnail?id=1HbIMSG327H4IroIIbzG-UoNFRHW9d4tq&amp;sz=w1000</v>
      </c>
      <c r="AD230" s="172" t="s">
        <v>609</v>
      </c>
      <c r="AE230" s="74" t="str">
        <f t="shared" si="11"/>
        <v>https://drive.google.com/thumbnail?id=1j2tLIzNNUoZkZ243oPB10Uwaw2b3_A58&amp;sz=w1000</v>
      </c>
      <c r="AF230" s="172" t="s">
        <v>610</v>
      </c>
      <c r="AG230" s="73" t="str">
        <f t="shared" si="12"/>
        <v>https://drive.google.com/thumbnail?id=1j2tLIzNNUoZkZ243oPB10Uwaw2b3_A58&amp;sz=w1000</v>
      </c>
      <c r="AH230" s="172" t="s">
        <v>610</v>
      </c>
    </row>
    <row r="231" spans="1:34" ht="22.15" customHeight="1">
      <c r="A231" s="30">
        <v>45534</v>
      </c>
      <c r="B231" s="134" t="s">
        <v>69</v>
      </c>
      <c r="C231" s="48" t="s">
        <v>72</v>
      </c>
      <c r="D231" s="16" t="str" cm="1">
        <f t="array" ref="D231">_xlfn.XLOOKUP(1, (Table1[Project Name]=Table2[[#This Row],[Project ID]])*(Table1[Plot]=Table2[[#This Row],[Plot]]), Table1[Project ID])</f>
        <v>MJ-02</v>
      </c>
      <c r="E231" s="69">
        <v>276</v>
      </c>
      <c r="F231" s="70">
        <v>322</v>
      </c>
      <c r="G231" s="69">
        <f>Table2[[#This Row],[Time Elapsed]]+Table2[[#This Row],[Time Remaining]]</f>
        <v>598</v>
      </c>
      <c r="H231" s="2" t="s">
        <v>603</v>
      </c>
      <c r="I231" s="2" t="s">
        <v>621</v>
      </c>
      <c r="J231" s="13">
        <v>0.46110000000000001</v>
      </c>
      <c r="K231" s="148">
        <v>0.36799999999999999</v>
      </c>
      <c r="L231" s="13">
        <f>Table2[[#This Row],[Actual %]]-Table2[[#This Row],[Plan %]]</f>
        <v>-9.3100000000000016E-2</v>
      </c>
      <c r="M231" s="144" t="s">
        <v>612</v>
      </c>
      <c r="N231" s="12">
        <v>45539</v>
      </c>
      <c r="O231" s="12"/>
      <c r="P231" s="12">
        <v>45616</v>
      </c>
      <c r="Q231" s="12">
        <v>45540</v>
      </c>
      <c r="R231" s="2" t="s">
        <v>606</v>
      </c>
      <c r="S231" s="170" t="s">
        <v>607</v>
      </c>
      <c r="T231" s="149" t="s">
        <v>608</v>
      </c>
      <c r="U231" s="138">
        <v>85805249.480000004</v>
      </c>
      <c r="V231" s="138">
        <v>0</v>
      </c>
      <c r="W231" s="138">
        <f>Table2[[#This Row],[Construction Contract Amount]]+Table2[[#This Row],[Cumulative Variations]]</f>
        <v>85805249.480000004</v>
      </c>
      <c r="X231" s="138">
        <v>3799481.4617604041</v>
      </c>
      <c r="Y231" s="138">
        <v>0</v>
      </c>
      <c r="Z231" s="138">
        <f>Table2[[#This Row],[Final Contract Value]]+Table2[[#This Row],[Supervision Contract amount]]+Table2[[#This Row],[Authority Cost]]</f>
        <v>89604730.941760406</v>
      </c>
      <c r="AA231" s="138">
        <v>17180863.600000001</v>
      </c>
      <c r="AB231" s="138">
        <v>1117487.2997119252</v>
      </c>
      <c r="AC231" s="91" t="str">
        <f t="shared" si="10"/>
        <v>https://drive.google.com/thumbnail?id=1HbIMSG327H4IroIIbzG-UoNFRHW9d4tq&amp;sz=w1000</v>
      </c>
      <c r="AD231" s="172" t="s">
        <v>609</v>
      </c>
      <c r="AE231" s="74" t="str">
        <f t="shared" si="11"/>
        <v>https://drive.google.com/thumbnail?id=1j2tLIzNNUoZkZ243oPB10Uwaw2b3_A58&amp;sz=w1000</v>
      </c>
      <c r="AF231" s="172" t="s">
        <v>610</v>
      </c>
      <c r="AG231" s="73" t="str">
        <f t="shared" si="12"/>
        <v>https://drive.google.com/thumbnail?id=1j2tLIzNNUoZkZ243oPB10Uwaw2b3_A58&amp;sz=w1000</v>
      </c>
      <c r="AH231" s="172" t="s">
        <v>610</v>
      </c>
    </row>
    <row r="232" spans="1:34" ht="22.15" customHeight="1">
      <c r="A232" s="30">
        <v>45534</v>
      </c>
      <c r="B232" s="134" t="s">
        <v>69</v>
      </c>
      <c r="C232" s="48" t="s">
        <v>72</v>
      </c>
      <c r="D232" s="16" t="str" cm="1">
        <f t="array" ref="D232">_xlfn.XLOOKUP(1, (Table1[Project Name]=Table2[[#This Row],[Project ID]])*(Table1[Plot]=Table2[[#This Row],[Plot]]), Table1[Project ID])</f>
        <v>MJ-02</v>
      </c>
      <c r="E232" s="69">
        <v>276</v>
      </c>
      <c r="F232" s="70">
        <v>322</v>
      </c>
      <c r="G232" s="69">
        <f>Table2[[#This Row],[Time Elapsed]]+Table2[[#This Row],[Time Remaining]]</f>
        <v>598</v>
      </c>
      <c r="H232" s="2" t="s">
        <v>603</v>
      </c>
      <c r="I232" s="2" t="s">
        <v>621</v>
      </c>
      <c r="J232" s="13">
        <v>0.46110000000000001</v>
      </c>
      <c r="K232" s="148">
        <v>0.36799999999999999</v>
      </c>
      <c r="L232" s="13">
        <f>Table2[[#This Row],[Actual %]]-Table2[[#This Row],[Plan %]]</f>
        <v>-9.3100000000000016E-2</v>
      </c>
      <c r="M232" s="144" t="s">
        <v>613</v>
      </c>
      <c r="N232" s="12">
        <v>45856</v>
      </c>
      <c r="O232" s="12"/>
      <c r="P232" s="12">
        <v>45856</v>
      </c>
      <c r="Q232" s="12">
        <v>45540</v>
      </c>
      <c r="R232" s="2" t="s">
        <v>606</v>
      </c>
      <c r="S232" s="170" t="s">
        <v>607</v>
      </c>
      <c r="T232" s="149" t="s">
        <v>608</v>
      </c>
      <c r="U232" s="138">
        <v>85805249.480000004</v>
      </c>
      <c r="V232" s="138">
        <v>0</v>
      </c>
      <c r="W232" s="138">
        <f>Table2[[#This Row],[Construction Contract Amount]]+Table2[[#This Row],[Cumulative Variations]]</f>
        <v>85805249.480000004</v>
      </c>
      <c r="X232" s="138">
        <v>3799481.4617604041</v>
      </c>
      <c r="Y232" s="138">
        <v>0</v>
      </c>
      <c r="Z232" s="138">
        <f>Table2[[#This Row],[Final Contract Value]]+Table2[[#This Row],[Supervision Contract amount]]+Table2[[#This Row],[Authority Cost]]</f>
        <v>89604730.941760406</v>
      </c>
      <c r="AA232" s="138">
        <v>17180863.600000001</v>
      </c>
      <c r="AB232" s="138">
        <v>1117487.2997119252</v>
      </c>
      <c r="AC232" s="91" t="str">
        <f t="shared" si="10"/>
        <v>https://drive.google.com/thumbnail?id=1HbIMSG327H4IroIIbzG-UoNFRHW9d4tq&amp;sz=w1000</v>
      </c>
      <c r="AD232" s="172" t="s">
        <v>609</v>
      </c>
      <c r="AE232" s="74" t="str">
        <f t="shared" si="11"/>
        <v>https://drive.google.com/thumbnail?id=1j2tLIzNNUoZkZ243oPB10Uwaw2b3_A58&amp;sz=w1000</v>
      </c>
      <c r="AF232" s="172" t="s">
        <v>610</v>
      </c>
      <c r="AG232" s="73" t="str">
        <f t="shared" si="12"/>
        <v>https://drive.google.com/thumbnail?id=1j2tLIzNNUoZkZ243oPB10Uwaw2b3_A58&amp;sz=w1000</v>
      </c>
      <c r="AH232" s="172" t="s">
        <v>610</v>
      </c>
    </row>
    <row r="233" spans="1:34" ht="22.15" customHeight="1">
      <c r="A233" s="30">
        <v>45534</v>
      </c>
      <c r="B233" s="134" t="s">
        <v>69</v>
      </c>
      <c r="C233" s="48" t="s">
        <v>72</v>
      </c>
      <c r="D233" s="16" t="str" cm="1">
        <f t="array" ref="D233">_xlfn.XLOOKUP(1, (Table1[Project Name]=Table2[[#This Row],[Project ID]])*(Table1[Plot]=Table2[[#This Row],[Plot]]), Table1[Project ID])</f>
        <v>MJ-02</v>
      </c>
      <c r="E233" s="69">
        <v>276</v>
      </c>
      <c r="F233" s="70">
        <v>322</v>
      </c>
      <c r="G233" s="69">
        <f>Table2[[#This Row],[Time Elapsed]]+Table2[[#This Row],[Time Remaining]]</f>
        <v>598</v>
      </c>
      <c r="H233" s="2" t="s">
        <v>603</v>
      </c>
      <c r="I233" s="2" t="s">
        <v>621</v>
      </c>
      <c r="J233" s="13">
        <v>0.46110000000000001</v>
      </c>
      <c r="K233" s="148">
        <v>0.36799999999999999</v>
      </c>
      <c r="L233" s="13">
        <f>Table2[[#This Row],[Actual %]]-Table2[[#This Row],[Plan %]]</f>
        <v>-9.3100000000000016E-2</v>
      </c>
      <c r="M233" s="144" t="s">
        <v>614</v>
      </c>
      <c r="N233" s="12">
        <v>45861</v>
      </c>
      <c r="O233" s="12"/>
      <c r="P233" s="12">
        <v>45861</v>
      </c>
      <c r="Q233" s="12">
        <v>45540</v>
      </c>
      <c r="R233" s="2" t="s">
        <v>606</v>
      </c>
      <c r="S233" s="170" t="s">
        <v>607</v>
      </c>
      <c r="T233" s="149" t="s">
        <v>616</v>
      </c>
      <c r="U233" s="138">
        <v>85805249.480000004</v>
      </c>
      <c r="V233" s="138">
        <v>0</v>
      </c>
      <c r="W233" s="138">
        <f>Table2[[#This Row],[Construction Contract Amount]]+Table2[[#This Row],[Cumulative Variations]]</f>
        <v>85805249.480000004</v>
      </c>
      <c r="X233" s="138">
        <v>3799481.4617604041</v>
      </c>
      <c r="Y233" s="138">
        <v>0</v>
      </c>
      <c r="Z233" s="138">
        <f>Table2[[#This Row],[Final Contract Value]]+Table2[[#This Row],[Supervision Contract amount]]+Table2[[#This Row],[Authority Cost]]</f>
        <v>89604730.941760406</v>
      </c>
      <c r="AA233" s="138">
        <v>17180863.600000001</v>
      </c>
      <c r="AB233" s="138">
        <v>1117487.2997119252</v>
      </c>
      <c r="AC233" s="91" t="str">
        <f t="shared" si="10"/>
        <v>https://drive.google.com/thumbnail?id=1HbIMSG327H4IroIIbzG-UoNFRHW9d4tq&amp;sz=w1000</v>
      </c>
      <c r="AD233" s="172" t="s">
        <v>609</v>
      </c>
      <c r="AE233" s="74" t="str">
        <f t="shared" si="11"/>
        <v>https://drive.google.com/thumbnail?id=1j2tLIzNNUoZkZ243oPB10Uwaw2b3_A58&amp;sz=w1000</v>
      </c>
      <c r="AF233" s="172" t="s">
        <v>610</v>
      </c>
      <c r="AG233" s="73" t="str">
        <f t="shared" si="12"/>
        <v>https://drive.google.com/thumbnail?id=1j2tLIzNNUoZkZ243oPB10Uwaw2b3_A58&amp;sz=w1000</v>
      </c>
      <c r="AH233" s="172" t="s">
        <v>610</v>
      </c>
    </row>
    <row r="234" spans="1:34" ht="22.15" customHeight="1">
      <c r="A234" s="30">
        <v>45534</v>
      </c>
      <c r="B234" s="134" t="s">
        <v>69</v>
      </c>
      <c r="C234" s="48" t="s">
        <v>72</v>
      </c>
      <c r="D234" s="16" t="str" cm="1">
        <f t="array" ref="D234">_xlfn.XLOOKUP(1, (Table1[Project Name]=Table2[[#This Row],[Project ID]])*(Table1[Plot]=Table2[[#This Row],[Plot]]), Table1[Project ID])</f>
        <v>MJ-02</v>
      </c>
      <c r="E234" s="69">
        <v>276</v>
      </c>
      <c r="F234" s="70">
        <v>322</v>
      </c>
      <c r="G234" s="69">
        <f>Table2[[#This Row],[Time Elapsed]]+Table2[[#This Row],[Time Remaining]]</f>
        <v>598</v>
      </c>
      <c r="H234" s="2" t="s">
        <v>603</v>
      </c>
      <c r="I234" s="2" t="s">
        <v>621</v>
      </c>
      <c r="J234" s="13">
        <v>0.46110000000000001</v>
      </c>
      <c r="K234" s="148">
        <v>0.36799999999999999</v>
      </c>
      <c r="L234" s="13">
        <f>Table2[[#This Row],[Actual %]]-Table2[[#This Row],[Plan %]]</f>
        <v>-9.3100000000000016E-2</v>
      </c>
      <c r="M234" s="144" t="s">
        <v>615</v>
      </c>
      <c r="N234" s="12">
        <v>45868</v>
      </c>
      <c r="O234" s="12"/>
      <c r="P234" s="12">
        <v>45862</v>
      </c>
      <c r="Q234" s="12">
        <v>45540</v>
      </c>
      <c r="R234" s="2" t="s">
        <v>606</v>
      </c>
      <c r="S234" s="170" t="s">
        <v>607</v>
      </c>
      <c r="T234" s="149" t="s">
        <v>616</v>
      </c>
      <c r="U234" s="138">
        <v>85805249.480000004</v>
      </c>
      <c r="V234" s="138">
        <v>0</v>
      </c>
      <c r="W234" s="138">
        <f>Table2[[#This Row],[Construction Contract Amount]]+Table2[[#This Row],[Cumulative Variations]]</f>
        <v>85805249.480000004</v>
      </c>
      <c r="X234" s="138">
        <v>3799481.4617604041</v>
      </c>
      <c r="Y234" s="138">
        <v>0</v>
      </c>
      <c r="Z234" s="138">
        <f>Table2[[#This Row],[Final Contract Value]]+Table2[[#This Row],[Supervision Contract amount]]+Table2[[#This Row],[Authority Cost]]</f>
        <v>89604730.941760406</v>
      </c>
      <c r="AA234" s="138">
        <v>17180863.600000001</v>
      </c>
      <c r="AB234" s="138">
        <v>1117487.2997119252</v>
      </c>
      <c r="AC234" s="91" t="str">
        <f t="shared" si="10"/>
        <v>https://drive.google.com/thumbnail?id=1HbIMSG327H4IroIIbzG-UoNFRHW9d4tq&amp;sz=w1000</v>
      </c>
      <c r="AD234" s="172" t="s">
        <v>609</v>
      </c>
      <c r="AE234" s="74" t="str">
        <f t="shared" si="11"/>
        <v>https://drive.google.com/thumbnail?id=1j2tLIzNNUoZkZ243oPB10Uwaw2b3_A58&amp;sz=w1000</v>
      </c>
      <c r="AF234" s="172" t="s">
        <v>610</v>
      </c>
      <c r="AG234" s="73" t="str">
        <f t="shared" si="12"/>
        <v>https://drive.google.com/thumbnail?id=1j2tLIzNNUoZkZ243oPB10Uwaw2b3_A58&amp;sz=w1000</v>
      </c>
      <c r="AH234" s="172" t="s">
        <v>610</v>
      </c>
    </row>
    <row r="235" spans="1:34" ht="22.15" customHeight="1">
      <c r="A235" s="30">
        <v>45534</v>
      </c>
      <c r="B235" s="17" t="s">
        <v>82</v>
      </c>
      <c r="C235" s="48" t="s">
        <v>85</v>
      </c>
      <c r="D235" s="16" t="str" cm="1">
        <f t="array" ref="D235">_xlfn.XLOOKUP(1, (Table1[Project Name]=Table2[[#This Row],[Project ID]])*(Table1[Plot]=Table2[[#This Row],[Plot]]), Table1[Project ID])</f>
        <v>MJ-03</v>
      </c>
      <c r="E235" s="69">
        <v>276</v>
      </c>
      <c r="F235" s="70">
        <v>322</v>
      </c>
      <c r="G235" s="69">
        <f>Table2[[#This Row],[Time Elapsed]]+Table2[[#This Row],[Time Remaining]]</f>
        <v>598</v>
      </c>
      <c r="H235" s="2" t="s">
        <v>628</v>
      </c>
      <c r="I235" s="2" t="s">
        <v>316</v>
      </c>
      <c r="J235" s="13">
        <v>0.45350000000000001</v>
      </c>
      <c r="K235" s="148">
        <v>0.23</v>
      </c>
      <c r="L235" s="13">
        <f>Table2[[#This Row],[Actual %]]-Table2[[#This Row],[Plan %]]</f>
        <v>-0.2235</v>
      </c>
      <c r="M235" s="144" t="s">
        <v>285</v>
      </c>
      <c r="N235" s="12">
        <v>45265</v>
      </c>
      <c r="O235" s="12">
        <v>45265</v>
      </c>
      <c r="P235" s="12"/>
      <c r="Q235" s="12">
        <v>45540</v>
      </c>
      <c r="R235" s="2" t="s">
        <v>617</v>
      </c>
      <c r="S235" s="170" t="s">
        <v>618</v>
      </c>
      <c r="T235" s="149" t="s">
        <v>619</v>
      </c>
      <c r="U235" s="150">
        <v>78195477.459999993</v>
      </c>
      <c r="V235" s="138">
        <v>0</v>
      </c>
      <c r="W235" s="36">
        <f>Table2[[#This Row],[Construction Contract Amount]]+Table2[[#This Row],[Cumulative Variations]]</f>
        <v>78195477.459999993</v>
      </c>
      <c r="X235" s="138">
        <v>3462517.5382396001</v>
      </c>
      <c r="Y235" s="138">
        <v>0</v>
      </c>
      <c r="Z235" s="36">
        <f>Table2[[#This Row],[Final Contract Value]]+Table2[[#This Row],[Supervision Contract amount]]+Table2[[#This Row],[Authority Cost]]</f>
        <v>81657994.998239592</v>
      </c>
      <c r="AA235" s="138">
        <v>4774958.1100000003</v>
      </c>
      <c r="AB235" s="36">
        <v>1018380.20028807</v>
      </c>
      <c r="AC235" s="91" t="str">
        <f t="shared" si="10"/>
        <v>https://drive.google.com/thumbnail?id=1d7EUl2nVrW2pVWhjsLWPCnuUAtvGF_0w&amp;sz=w1000</v>
      </c>
      <c r="AD235" s="172" t="s">
        <v>630</v>
      </c>
      <c r="AE235" s="74" t="str">
        <f t="shared" si="11"/>
        <v>https://drive.google.com/thumbnail?id=1Mz-UnKO6rFVDA_Sts8kV4Nb6AFgcY8xZ&amp;sz=w1000</v>
      </c>
      <c r="AF235" s="172" t="s">
        <v>631</v>
      </c>
      <c r="AG235" s="73" t="str">
        <f t="shared" si="12"/>
        <v>https://drive.google.com/thumbnail?id=1ISoQA3fZJl3c0SFy1tNoIXbnwnuAAjGb&amp;sz=w1000</v>
      </c>
      <c r="AH235" s="172" t="s">
        <v>632</v>
      </c>
    </row>
    <row r="236" spans="1:34" ht="22.15" customHeight="1">
      <c r="A236" s="30">
        <v>45534</v>
      </c>
      <c r="B236" s="17" t="s">
        <v>82</v>
      </c>
      <c r="C236" s="48" t="s">
        <v>85</v>
      </c>
      <c r="D236" s="16" t="str" cm="1">
        <f t="array" ref="D236">_xlfn.XLOOKUP(1, (Table1[Project Name]=Table2[[#This Row],[Project ID]])*(Table1[Plot]=Table2[[#This Row],[Plot]]), Table1[Project ID])</f>
        <v>MJ-03</v>
      </c>
      <c r="E236" s="69">
        <v>276</v>
      </c>
      <c r="F236" s="70">
        <v>322</v>
      </c>
      <c r="G236" s="69">
        <f>Table2[[#This Row],[Time Elapsed]]+Table2[[#This Row],[Time Remaining]]</f>
        <v>598</v>
      </c>
      <c r="H236" s="2" t="s">
        <v>622</v>
      </c>
      <c r="I236" s="2" t="s">
        <v>316</v>
      </c>
      <c r="J236" s="13">
        <v>0.45350000000000001</v>
      </c>
      <c r="K236" s="148">
        <v>0.23</v>
      </c>
      <c r="L236" s="13">
        <f>Table2[[#This Row],[Actual %]]-Table2[[#This Row],[Plan %]]</f>
        <v>-0.2235</v>
      </c>
      <c r="M236" s="144" t="s">
        <v>741</v>
      </c>
      <c r="N236" s="12">
        <v>45503</v>
      </c>
      <c r="O236" s="12"/>
      <c r="P236" s="12">
        <v>45555</v>
      </c>
      <c r="Q236" s="12">
        <v>45540</v>
      </c>
      <c r="R236" s="2" t="s">
        <v>617</v>
      </c>
      <c r="S236" s="170" t="s">
        <v>618</v>
      </c>
      <c r="T236" s="149" t="s">
        <v>619</v>
      </c>
      <c r="U236" s="150">
        <v>78195477.459999993</v>
      </c>
      <c r="V236" s="138">
        <v>0</v>
      </c>
      <c r="W236" s="36">
        <f>Table2[[#This Row],[Construction Contract Amount]]+Table2[[#This Row],[Cumulative Variations]]</f>
        <v>78195477.459999993</v>
      </c>
      <c r="X236" s="138">
        <v>3462518.5382395959</v>
      </c>
      <c r="Y236" s="138">
        <v>0</v>
      </c>
      <c r="Z236" s="36">
        <f>Table2[[#This Row],[Final Contract Value]]+Table2[[#This Row],[Supervision Contract amount]]+Table2[[#This Row],[Authority Cost]]</f>
        <v>81657995.998239592</v>
      </c>
      <c r="AA236" s="138">
        <v>4774958.1100000003</v>
      </c>
      <c r="AB236" s="36">
        <v>1018381.2002880748</v>
      </c>
      <c r="AC236" s="91" t="str">
        <f t="shared" si="10"/>
        <v>https://drive.google.com/thumbnail?id=1d7EUl2nVrW2pVWhjsLWPCnuUAtvGF_0w&amp;sz=w1000</v>
      </c>
      <c r="AD236" s="172" t="s">
        <v>630</v>
      </c>
      <c r="AE236" s="74" t="str">
        <f t="shared" si="11"/>
        <v>https://drive.google.com/thumbnail?id=1Mz-UnKO6rFVDA_Sts8kV4Nb6AFgcY8xZ&amp;sz=w1000</v>
      </c>
      <c r="AF236" s="172" t="s">
        <v>631</v>
      </c>
      <c r="AG236" s="73" t="str">
        <f t="shared" si="12"/>
        <v>https://drive.google.com/thumbnail?id=1ISoQA3fZJl3c0SFy1tNoIXbnwnuAAjGb&amp;sz=w1000</v>
      </c>
      <c r="AH236" s="172" t="s">
        <v>632</v>
      </c>
    </row>
    <row r="237" spans="1:34" ht="22.15" customHeight="1">
      <c r="A237" s="30">
        <v>45534</v>
      </c>
      <c r="B237" s="17" t="s">
        <v>82</v>
      </c>
      <c r="C237" s="48" t="s">
        <v>85</v>
      </c>
      <c r="D237" s="16" t="str" cm="1">
        <f t="array" ref="D237">_xlfn.XLOOKUP(1, (Table1[Project Name]=Table2[[#This Row],[Project ID]])*(Table1[Plot]=Table2[[#This Row],[Plot]]), Table1[Project ID])</f>
        <v>MJ-03</v>
      </c>
      <c r="E237" s="69">
        <v>276</v>
      </c>
      <c r="F237" s="70">
        <v>322</v>
      </c>
      <c r="G237" s="69">
        <f>Table2[[#This Row],[Time Elapsed]]+Table2[[#This Row],[Time Remaining]]</f>
        <v>598</v>
      </c>
      <c r="H237" s="2" t="s">
        <v>629</v>
      </c>
      <c r="I237" s="2" t="s">
        <v>316</v>
      </c>
      <c r="J237" s="13">
        <v>0.45350000000000001</v>
      </c>
      <c r="K237" s="148">
        <v>0.23</v>
      </c>
      <c r="L237" s="13">
        <f>Table2[[#This Row],[Actual %]]-Table2[[#This Row],[Plan %]]</f>
        <v>-0.2235</v>
      </c>
      <c r="M237" s="144" t="s">
        <v>737</v>
      </c>
      <c r="N237" s="12">
        <v>45857</v>
      </c>
      <c r="O237" s="12"/>
      <c r="P237" s="12">
        <v>45981</v>
      </c>
      <c r="Q237" s="12">
        <v>45540</v>
      </c>
      <c r="R237" s="2" t="s">
        <v>617</v>
      </c>
      <c r="S237" s="170" t="s">
        <v>618</v>
      </c>
      <c r="T237" s="149" t="s">
        <v>619</v>
      </c>
      <c r="U237" s="150">
        <v>78195477.459999993</v>
      </c>
      <c r="V237" s="138">
        <v>0</v>
      </c>
      <c r="W237" s="36">
        <f>Table2[[#This Row],[Construction Contract Amount]]+Table2[[#This Row],[Cumulative Variations]]</f>
        <v>78195477.459999993</v>
      </c>
      <c r="X237" s="138">
        <v>3462518.5382395959</v>
      </c>
      <c r="Y237" s="138">
        <v>0</v>
      </c>
      <c r="Z237" s="36">
        <f>Table2[[#This Row],[Final Contract Value]]+Table2[[#This Row],[Supervision Contract amount]]+Table2[[#This Row],[Authority Cost]]</f>
        <v>81657995.998239592</v>
      </c>
      <c r="AA237" s="138">
        <v>4774958.1100000003</v>
      </c>
      <c r="AB237" s="36">
        <v>1018381.2002880748</v>
      </c>
      <c r="AC237" s="91" t="str">
        <f t="shared" si="10"/>
        <v>https://drive.google.com/thumbnail?id=1d7EUl2nVrW2pVWhjsLWPCnuUAtvGF_0w&amp;sz=w1000</v>
      </c>
      <c r="AD237" s="172" t="s">
        <v>630</v>
      </c>
      <c r="AE237" s="74" t="str">
        <f t="shared" si="11"/>
        <v>https://drive.google.com/thumbnail?id=1Mz-UnKO6rFVDA_Sts8kV4Nb6AFgcY8xZ&amp;sz=w1000</v>
      </c>
      <c r="AF237" s="172" t="s">
        <v>631</v>
      </c>
      <c r="AG237" s="73" t="str">
        <f t="shared" si="12"/>
        <v>https://drive.google.com/thumbnail?id=1ISoQA3fZJl3c0SFy1tNoIXbnwnuAAjGb&amp;sz=w1000</v>
      </c>
      <c r="AH237" s="172" t="s">
        <v>632</v>
      </c>
    </row>
    <row r="238" spans="1:34" ht="22.15" customHeight="1">
      <c r="A238" s="30">
        <v>45534</v>
      </c>
      <c r="B238" s="17" t="s">
        <v>82</v>
      </c>
      <c r="C238" s="48" t="s">
        <v>85</v>
      </c>
      <c r="D238" s="16" t="str" cm="1">
        <f t="array" ref="D238">_xlfn.XLOOKUP(1, (Table1[Project Name]=Table2[[#This Row],[Project ID]])*(Table1[Plot]=Table2[[#This Row],[Plot]]), Table1[Project ID])</f>
        <v>MJ-03</v>
      </c>
      <c r="E238" s="69">
        <v>276</v>
      </c>
      <c r="F238" s="70">
        <v>322</v>
      </c>
      <c r="G238" s="69">
        <f>Table2[[#This Row],[Time Elapsed]]+Table2[[#This Row],[Time Remaining]]</f>
        <v>598</v>
      </c>
      <c r="H238" s="2" t="s">
        <v>628</v>
      </c>
      <c r="I238" s="2" t="s">
        <v>316</v>
      </c>
      <c r="J238" s="13">
        <v>0.45350000000000001</v>
      </c>
      <c r="K238" s="148">
        <v>0.23</v>
      </c>
      <c r="L238" s="13">
        <f>Table2[[#This Row],[Actual %]]-Table2[[#This Row],[Plan %]]</f>
        <v>-0.2235</v>
      </c>
      <c r="M238" s="144" t="s">
        <v>334</v>
      </c>
      <c r="N238" s="12">
        <v>45862</v>
      </c>
      <c r="O238" s="12"/>
      <c r="P238" s="12">
        <v>46011</v>
      </c>
      <c r="Q238" s="12">
        <v>45540</v>
      </c>
      <c r="R238" s="2" t="s">
        <v>617</v>
      </c>
      <c r="S238" s="170" t="s">
        <v>618</v>
      </c>
      <c r="T238" s="149" t="s">
        <v>619</v>
      </c>
      <c r="U238" s="150">
        <v>78195477.459999993</v>
      </c>
      <c r="V238" s="138">
        <v>0</v>
      </c>
      <c r="W238" s="36">
        <f>Table2[[#This Row],[Construction Contract Amount]]+Table2[[#This Row],[Cumulative Variations]]</f>
        <v>78195477.459999993</v>
      </c>
      <c r="X238" s="138">
        <v>3462518.5382395959</v>
      </c>
      <c r="Y238" s="138">
        <v>0</v>
      </c>
      <c r="Z238" s="36">
        <f>Table2[[#This Row],[Final Contract Value]]+Table2[[#This Row],[Supervision Contract amount]]+Table2[[#This Row],[Authority Cost]]</f>
        <v>81657995.998239592</v>
      </c>
      <c r="AA238" s="138">
        <v>4774958.1100000003</v>
      </c>
      <c r="AB238" s="36">
        <v>1018381.2002880748</v>
      </c>
      <c r="AC238" s="91" t="str">
        <f t="shared" si="10"/>
        <v>https://drive.google.com/thumbnail?id=1d7EUl2nVrW2pVWhjsLWPCnuUAtvGF_0w&amp;sz=w1000</v>
      </c>
      <c r="AD238" s="172" t="s">
        <v>630</v>
      </c>
      <c r="AE238" s="74" t="str">
        <f t="shared" si="11"/>
        <v>https://drive.google.com/thumbnail?id=1Mz-UnKO6rFVDA_Sts8kV4Nb6AFgcY8xZ&amp;sz=w1000</v>
      </c>
      <c r="AF238" s="172" t="s">
        <v>631</v>
      </c>
      <c r="AG238" s="73" t="str">
        <f t="shared" si="12"/>
        <v>https://drive.google.com/thumbnail?id=1ISoQA3fZJl3c0SFy1tNoIXbnwnuAAjGb&amp;sz=w1000</v>
      </c>
      <c r="AH238" s="172" t="s">
        <v>632</v>
      </c>
    </row>
    <row r="239" spans="1:34" ht="22.15" customHeight="1">
      <c r="A239" s="30">
        <v>45534</v>
      </c>
      <c r="B239" s="17" t="s">
        <v>82</v>
      </c>
      <c r="C239" s="48" t="s">
        <v>85</v>
      </c>
      <c r="D239" s="16" t="str" cm="1">
        <f t="array" ref="D239">_xlfn.XLOOKUP(1, (Table1[Project Name]=Table2[[#This Row],[Project ID]])*(Table1[Plot]=Table2[[#This Row],[Plot]]), Table1[Project ID])</f>
        <v>MJ-03</v>
      </c>
      <c r="E239" s="69">
        <v>276</v>
      </c>
      <c r="F239" s="70">
        <v>322</v>
      </c>
      <c r="G239" s="69">
        <f>Table2[[#This Row],[Time Elapsed]]+Table2[[#This Row],[Time Remaining]]</f>
        <v>598</v>
      </c>
      <c r="H239" s="2" t="s">
        <v>628</v>
      </c>
      <c r="I239" s="2" t="s">
        <v>316</v>
      </c>
      <c r="J239" s="13">
        <v>0.45350000000000001</v>
      </c>
      <c r="K239" s="148">
        <v>0.23</v>
      </c>
      <c r="L239" s="13">
        <f>Table2[[#This Row],[Actual %]]-Table2[[#This Row],[Plan %]]</f>
        <v>-0.2235</v>
      </c>
      <c r="M239" s="144" t="s">
        <v>738</v>
      </c>
      <c r="N239" s="12">
        <v>45862</v>
      </c>
      <c r="O239" s="12"/>
      <c r="P239" s="12">
        <v>46011</v>
      </c>
      <c r="Q239" s="12">
        <v>45540</v>
      </c>
      <c r="R239" s="2" t="s">
        <v>617</v>
      </c>
      <c r="S239" s="170" t="s">
        <v>618</v>
      </c>
      <c r="T239" s="149" t="s">
        <v>619</v>
      </c>
      <c r="U239" s="150">
        <v>78195477.459999993</v>
      </c>
      <c r="V239" s="138">
        <v>0</v>
      </c>
      <c r="W239" s="36">
        <f>Table2[[#This Row],[Construction Contract Amount]]+Table2[[#This Row],[Cumulative Variations]]</f>
        <v>78195477.459999993</v>
      </c>
      <c r="X239" s="138">
        <v>3462518.5382395959</v>
      </c>
      <c r="Y239" s="138">
        <v>0</v>
      </c>
      <c r="Z239" s="36">
        <f>Table2[[#This Row],[Final Contract Value]]+Table2[[#This Row],[Supervision Contract amount]]+Table2[[#This Row],[Authority Cost]]</f>
        <v>81657995.998239592</v>
      </c>
      <c r="AA239" s="138">
        <v>4774958.1100000003</v>
      </c>
      <c r="AB239" s="36">
        <v>1018381.2002880748</v>
      </c>
      <c r="AC239" s="91" t="str">
        <f t="shared" si="10"/>
        <v>https://drive.google.com/thumbnail?id=1d7EUl2nVrW2pVWhjsLWPCnuUAtvGF_0w&amp;sz=w1000</v>
      </c>
      <c r="AD239" s="172" t="s">
        <v>630</v>
      </c>
      <c r="AE239" s="74" t="str">
        <f t="shared" si="11"/>
        <v>https://drive.google.com/thumbnail?id=1Mz-UnKO6rFVDA_Sts8kV4Nb6AFgcY8xZ&amp;sz=w1000</v>
      </c>
      <c r="AF239" s="172" t="s">
        <v>631</v>
      </c>
      <c r="AG239" s="73" t="str">
        <f t="shared" si="12"/>
        <v>https://drive.google.com/thumbnail?id=1ISoQA3fZJl3c0SFy1tNoIXbnwnuAAjGb&amp;sz=w1000</v>
      </c>
      <c r="AH239" s="172" t="s">
        <v>632</v>
      </c>
    </row>
    <row r="240" spans="1:34" ht="22.15" customHeight="1">
      <c r="A240" s="30">
        <v>45534</v>
      </c>
      <c r="B240" s="17" t="s">
        <v>82</v>
      </c>
      <c r="C240" s="48" t="s">
        <v>85</v>
      </c>
      <c r="D240" s="16" t="str" cm="1">
        <f t="array" ref="D240">_xlfn.XLOOKUP(1, (Table1[Project Name]=Table2[[#This Row],[Project ID]])*(Table1[Plot]=Table2[[#This Row],[Plot]]), Table1[Project ID])</f>
        <v>MJ-03</v>
      </c>
      <c r="E240" s="69">
        <v>276</v>
      </c>
      <c r="F240" s="70">
        <v>322</v>
      </c>
      <c r="G240" s="69">
        <f>Table2[[#This Row],[Time Elapsed]]+Table2[[#This Row],[Time Remaining]]</f>
        <v>598</v>
      </c>
      <c r="H240" s="2" t="s">
        <v>628</v>
      </c>
      <c r="I240" s="2" t="s">
        <v>316</v>
      </c>
      <c r="J240" s="13">
        <v>0.45350000000000001</v>
      </c>
      <c r="K240" s="148">
        <v>0.23</v>
      </c>
      <c r="L240" s="13">
        <f>Table2[[#This Row],[Actual %]]-Table2[[#This Row],[Plan %]]</f>
        <v>-0.2235</v>
      </c>
      <c r="M240" s="144" t="s">
        <v>740</v>
      </c>
      <c r="N240" s="12">
        <v>45862</v>
      </c>
      <c r="O240" s="12"/>
      <c r="P240" s="12">
        <v>46015</v>
      </c>
      <c r="Q240" s="12">
        <v>45540</v>
      </c>
      <c r="R240" s="2" t="s">
        <v>617</v>
      </c>
      <c r="S240" s="170" t="s">
        <v>618</v>
      </c>
      <c r="T240" s="149" t="s">
        <v>619</v>
      </c>
      <c r="U240" s="150">
        <v>78195477.459999993</v>
      </c>
      <c r="V240" s="138">
        <v>0</v>
      </c>
      <c r="W240" s="36">
        <f>Table2[[#This Row],[Construction Contract Amount]]+Table2[[#This Row],[Cumulative Variations]]</f>
        <v>78195477.459999993</v>
      </c>
      <c r="X240" s="138">
        <v>3462518.5382395959</v>
      </c>
      <c r="Y240" s="138">
        <v>0</v>
      </c>
      <c r="Z240" s="36">
        <f>Table2[[#This Row],[Final Contract Value]]+Table2[[#This Row],[Supervision Contract amount]]+Table2[[#This Row],[Authority Cost]]</f>
        <v>81657995.998239592</v>
      </c>
      <c r="AA240" s="138">
        <v>4774958.1100000003</v>
      </c>
      <c r="AB240" s="36">
        <v>1018381.2002880748</v>
      </c>
      <c r="AC240" s="91" t="str">
        <f t="shared" si="10"/>
        <v>https://drive.google.com/thumbnail?id=1d7EUl2nVrW2pVWhjsLWPCnuUAtvGF_0w&amp;sz=w1000</v>
      </c>
      <c r="AD240" s="172" t="s">
        <v>630</v>
      </c>
      <c r="AE240" s="74" t="str">
        <f t="shared" si="11"/>
        <v>https://drive.google.com/thumbnail?id=1Mz-UnKO6rFVDA_Sts8kV4Nb6AFgcY8xZ&amp;sz=w1000</v>
      </c>
      <c r="AF240" s="172" t="s">
        <v>631</v>
      </c>
      <c r="AG240" s="73" t="str">
        <f t="shared" si="12"/>
        <v>https://drive.google.com/thumbnail?id=1ISoQA3fZJl3c0SFy1tNoIXbnwnuAAjGb&amp;sz=w1000</v>
      </c>
      <c r="AH240" s="172" t="s">
        <v>632</v>
      </c>
    </row>
    <row r="241" spans="1:34" ht="22.15" customHeight="1">
      <c r="A241" s="30">
        <v>45534</v>
      </c>
      <c r="B241" s="134" t="s">
        <v>101</v>
      </c>
      <c r="C241" s="48" t="s">
        <v>12</v>
      </c>
      <c r="D241" s="16" t="str" cm="1">
        <f t="array" ref="D241">_xlfn.XLOOKUP(1, (Table1[Project Name]=Table2[[#This Row],[Project ID]])*(Table1[Plot]=Table2[[#This Row],[Plot]]), Table1[Project ID])</f>
        <v>MJ-08</v>
      </c>
      <c r="E241" s="69">
        <v>46</v>
      </c>
      <c r="F241" s="70">
        <v>747</v>
      </c>
      <c r="G241" s="69">
        <f>Table2[[#This Row],[Time Elapsed]]+Table2[[#This Row],[Time Remaining]]</f>
        <v>793</v>
      </c>
      <c r="H241" s="136" t="s">
        <v>633</v>
      </c>
      <c r="I241" s="136" t="s">
        <v>634</v>
      </c>
      <c r="J241" s="13">
        <v>0</v>
      </c>
      <c r="K241" s="148">
        <v>0</v>
      </c>
      <c r="L241" s="13">
        <f>Table2[[#This Row],[Actual %]]-Table2[[#This Row],[Plan %]]</f>
        <v>0</v>
      </c>
      <c r="M241" s="142" t="s">
        <v>639</v>
      </c>
      <c r="N241" s="12">
        <v>45496</v>
      </c>
      <c r="O241" s="12">
        <v>45496</v>
      </c>
      <c r="P241" s="12"/>
      <c r="Q241" s="12">
        <v>45541</v>
      </c>
      <c r="R241" s="136" t="s">
        <v>640</v>
      </c>
      <c r="S241" s="136" t="s">
        <v>346</v>
      </c>
      <c r="T241" s="143" t="s">
        <v>641</v>
      </c>
      <c r="U241" s="151">
        <v>117010730</v>
      </c>
      <c r="V241" s="36"/>
      <c r="W241" s="36">
        <f>Table2[[#This Row],[Construction Contract Amount]]+Table2[[#This Row],[Cumulative Variations]]</f>
        <v>117010730</v>
      </c>
      <c r="X241" s="151">
        <v>3645800</v>
      </c>
      <c r="Y241" s="152">
        <v>0</v>
      </c>
      <c r="Z241" s="36">
        <f>Table2[[#This Row],[Final Contract Value]]+Table2[[#This Row],[Supervision Contract amount]]+Table2[[#This Row],[Authority Cost]]</f>
        <v>120656530</v>
      </c>
      <c r="AA241" s="36"/>
      <c r="AB241" s="36"/>
      <c r="AC241" s="91" t="str">
        <f t="shared" si="10"/>
        <v>https://drive.google.com/thumbnail?id=1l032NhkgI8VXW1YdwE6IVXJ95axS_1_N&amp;sz=w1000</v>
      </c>
      <c r="AD241" s="172" t="s">
        <v>657</v>
      </c>
      <c r="AE241" s="74" t="str">
        <f t="shared" si="11"/>
        <v>https://drive.google.com/thumbnail?id=1iRpGkfGlUpy_9sZc0sYjyX4pKKrv-yKh&amp;sz=w1000</v>
      </c>
      <c r="AF241" s="172" t="s">
        <v>658</v>
      </c>
      <c r="AG241" s="73" t="str">
        <f t="shared" si="12"/>
        <v>https://drive.google.com/thumbnail?id=1XZELMJDN7oiWnhqZnzMAEUGGr7oqakya&amp;sz=w1000</v>
      </c>
      <c r="AH241" s="172" t="s">
        <v>659</v>
      </c>
    </row>
    <row r="242" spans="1:34" ht="22.15" customHeight="1">
      <c r="A242" s="30">
        <v>45534</v>
      </c>
      <c r="B242" s="134" t="s">
        <v>101</v>
      </c>
      <c r="C242" s="48" t="s">
        <v>12</v>
      </c>
      <c r="D242" s="16" t="str" cm="1">
        <f t="array" ref="D242">_xlfn.XLOOKUP(1, (Table1[Project Name]=Table2[[#This Row],[Project ID]])*(Table1[Plot]=Table2[[#This Row],[Plot]]), Table1[Project ID])</f>
        <v>MJ-08</v>
      </c>
      <c r="E242" s="69">
        <v>46</v>
      </c>
      <c r="F242" s="70">
        <v>747</v>
      </c>
      <c r="G242" s="69">
        <f>Table2[[#This Row],[Time Elapsed]]+Table2[[#This Row],[Time Remaining]]</f>
        <v>793</v>
      </c>
      <c r="H242" s="136" t="s">
        <v>633</v>
      </c>
      <c r="I242" s="136" t="s">
        <v>634</v>
      </c>
      <c r="J242" s="13">
        <v>0</v>
      </c>
      <c r="K242" s="148">
        <v>0</v>
      </c>
      <c r="L242" s="13">
        <f>Table2[[#This Row],[Actual %]]-Table2[[#This Row],[Plan %]]</f>
        <v>0</v>
      </c>
      <c r="M242" s="144" t="s">
        <v>642</v>
      </c>
      <c r="N242" s="12">
        <v>45519</v>
      </c>
      <c r="O242" s="12">
        <v>45519</v>
      </c>
      <c r="P242" s="12"/>
      <c r="Q242" s="12">
        <v>45541</v>
      </c>
      <c r="R242" s="136" t="s">
        <v>640</v>
      </c>
      <c r="S242" s="136" t="s">
        <v>346</v>
      </c>
      <c r="T242" s="143" t="s">
        <v>641</v>
      </c>
      <c r="U242" s="151">
        <v>117010730</v>
      </c>
      <c r="V242" s="36"/>
      <c r="W242" s="36">
        <f>Table2[[#This Row],[Construction Contract Amount]]+Table2[[#This Row],[Cumulative Variations]]</f>
        <v>117010730</v>
      </c>
      <c r="X242" s="151">
        <v>3645800</v>
      </c>
      <c r="Y242" s="152">
        <v>0</v>
      </c>
      <c r="Z242" s="36">
        <f>Table2[[#This Row],[Final Contract Value]]+Table2[[#This Row],[Supervision Contract amount]]+Table2[[#This Row],[Authority Cost]]</f>
        <v>120656530</v>
      </c>
      <c r="AA242" s="36"/>
      <c r="AB242" s="36"/>
      <c r="AC242" s="91" t="str">
        <f t="shared" si="10"/>
        <v>https://drive.google.com/thumbnail?id=1l032NhkgI8VXW1YdwE6IVXJ95axS_1_N&amp;sz=w1000</v>
      </c>
      <c r="AD242" s="172" t="s">
        <v>657</v>
      </c>
      <c r="AE242" s="74" t="str">
        <f t="shared" si="11"/>
        <v>https://drive.google.com/thumbnail?id=1iRpGkfGlUpy_9sZc0sYjyX4pKKrv-yKh&amp;sz=w1000</v>
      </c>
      <c r="AF242" s="172" t="s">
        <v>658</v>
      </c>
      <c r="AG242" s="73" t="str">
        <f t="shared" si="12"/>
        <v>https://drive.google.com/thumbnail?id=1XZELMJDN7oiWnhqZnzMAEUGGr7oqakya&amp;sz=w1000</v>
      </c>
      <c r="AH242" s="172" t="s">
        <v>659</v>
      </c>
    </row>
    <row r="243" spans="1:34" ht="22.15" customHeight="1">
      <c r="A243" s="30">
        <v>45534</v>
      </c>
      <c r="B243" s="134" t="s">
        <v>101</v>
      </c>
      <c r="C243" s="48" t="s">
        <v>12</v>
      </c>
      <c r="D243" s="16" t="str" cm="1">
        <f t="array" ref="D243">_xlfn.XLOOKUP(1, (Table1[Project Name]=Table2[[#This Row],[Project ID]])*(Table1[Plot]=Table2[[#This Row],[Plot]]), Table1[Project ID])</f>
        <v>MJ-08</v>
      </c>
      <c r="E243" s="69">
        <v>46</v>
      </c>
      <c r="F243" s="70">
        <v>747</v>
      </c>
      <c r="G243" s="69">
        <f>Table2[[#This Row],[Time Elapsed]]+Table2[[#This Row],[Time Remaining]]</f>
        <v>793</v>
      </c>
      <c r="H243" s="136" t="s">
        <v>635</v>
      </c>
      <c r="I243" s="136" t="s">
        <v>634</v>
      </c>
      <c r="J243" s="13">
        <v>0</v>
      </c>
      <c r="K243" s="148">
        <v>0</v>
      </c>
      <c r="L243" s="13">
        <f>Table2[[#This Row],[Actual %]]-Table2[[#This Row],[Plan %]]</f>
        <v>0</v>
      </c>
      <c r="M243" s="144" t="s">
        <v>643</v>
      </c>
      <c r="N243" s="12">
        <v>45558</v>
      </c>
      <c r="O243" s="12"/>
      <c r="P243" s="12">
        <v>45558</v>
      </c>
      <c r="Q243" s="12">
        <v>45541</v>
      </c>
      <c r="R243" s="136" t="s">
        <v>640</v>
      </c>
      <c r="S243" s="136" t="s">
        <v>346</v>
      </c>
      <c r="T243" s="143" t="s">
        <v>641</v>
      </c>
      <c r="U243" s="151">
        <v>117010730</v>
      </c>
      <c r="V243" s="36"/>
      <c r="W243" s="36">
        <f>Table2[[#This Row],[Construction Contract Amount]]+Table2[[#This Row],[Cumulative Variations]]</f>
        <v>117010730</v>
      </c>
      <c r="X243" s="151">
        <v>3645800</v>
      </c>
      <c r="Y243" s="152">
        <v>0</v>
      </c>
      <c r="Z243" s="36">
        <f>Table2[[#This Row],[Final Contract Value]]+Table2[[#This Row],[Supervision Contract amount]]+Table2[[#This Row],[Authority Cost]]</f>
        <v>120656530</v>
      </c>
      <c r="AA243" s="36"/>
      <c r="AB243" s="36"/>
      <c r="AC243" s="91" t="str">
        <f t="shared" si="10"/>
        <v>https://drive.google.com/thumbnail?id=1l032NhkgI8VXW1YdwE6IVXJ95axS_1_N&amp;sz=w1000</v>
      </c>
      <c r="AD243" s="172" t="s">
        <v>657</v>
      </c>
      <c r="AE243" s="74" t="str">
        <f t="shared" si="11"/>
        <v>https://drive.google.com/thumbnail?id=1iRpGkfGlUpy_9sZc0sYjyX4pKKrv-yKh&amp;sz=w1000</v>
      </c>
      <c r="AF243" s="172" t="s">
        <v>658</v>
      </c>
      <c r="AG243" s="73" t="str">
        <f t="shared" si="12"/>
        <v>https://drive.google.com/thumbnail?id=1XZELMJDN7oiWnhqZnzMAEUGGr7oqakya&amp;sz=w1000</v>
      </c>
      <c r="AH243" s="172" t="s">
        <v>659</v>
      </c>
    </row>
    <row r="244" spans="1:34" ht="22.15" customHeight="1">
      <c r="A244" s="30">
        <v>45534</v>
      </c>
      <c r="B244" s="134" t="s">
        <v>101</v>
      </c>
      <c r="C244" s="48" t="s">
        <v>12</v>
      </c>
      <c r="D244" s="16" t="str" cm="1">
        <f t="array" ref="D244">_xlfn.XLOOKUP(1, (Table1[Project Name]=Table2[[#This Row],[Project ID]])*(Table1[Plot]=Table2[[#This Row],[Plot]]), Table1[Project ID])</f>
        <v>MJ-08</v>
      </c>
      <c r="E244" s="69">
        <v>46</v>
      </c>
      <c r="F244" s="70">
        <v>747</v>
      </c>
      <c r="G244" s="69">
        <f>Table2[[#This Row],[Time Elapsed]]+Table2[[#This Row],[Time Remaining]]</f>
        <v>793</v>
      </c>
      <c r="H244" s="136" t="s">
        <v>633</v>
      </c>
      <c r="I244" s="136" t="s">
        <v>634</v>
      </c>
      <c r="J244" s="13">
        <v>0</v>
      </c>
      <c r="K244" s="148">
        <v>0</v>
      </c>
      <c r="L244" s="13">
        <f>Table2[[#This Row],[Actual %]]-Table2[[#This Row],[Plan %]]</f>
        <v>0</v>
      </c>
      <c r="M244" s="144" t="s">
        <v>644</v>
      </c>
      <c r="N244" s="12">
        <v>46053</v>
      </c>
      <c r="O244" s="12"/>
      <c r="P244" s="12">
        <v>46053</v>
      </c>
      <c r="Q244" s="12">
        <v>45541</v>
      </c>
      <c r="R244" s="136" t="s">
        <v>640</v>
      </c>
      <c r="S244" s="136" t="s">
        <v>346</v>
      </c>
      <c r="T244" s="143" t="s">
        <v>641</v>
      </c>
      <c r="U244" s="151">
        <v>117010730</v>
      </c>
      <c r="V244" s="36"/>
      <c r="W244" s="36">
        <f>Table2[[#This Row],[Construction Contract Amount]]+Table2[[#This Row],[Cumulative Variations]]</f>
        <v>117010730</v>
      </c>
      <c r="X244" s="151">
        <v>3645800</v>
      </c>
      <c r="Y244" s="152">
        <v>0</v>
      </c>
      <c r="Z244" s="36">
        <f>Table2[[#This Row],[Final Contract Value]]+Table2[[#This Row],[Supervision Contract amount]]+Table2[[#This Row],[Authority Cost]]</f>
        <v>120656530</v>
      </c>
      <c r="AA244" s="36"/>
      <c r="AB244" s="36"/>
      <c r="AC244" s="91" t="str">
        <f t="shared" si="10"/>
        <v>https://drive.google.com/thumbnail?id=1l032NhkgI8VXW1YdwE6IVXJ95axS_1_N&amp;sz=w1000</v>
      </c>
      <c r="AD244" s="172" t="s">
        <v>657</v>
      </c>
      <c r="AE244" s="74" t="str">
        <f t="shared" si="11"/>
        <v>https://drive.google.com/thumbnail?id=1iRpGkfGlUpy_9sZc0sYjyX4pKKrv-yKh&amp;sz=w1000</v>
      </c>
      <c r="AF244" s="172" t="s">
        <v>658</v>
      </c>
      <c r="AG244" s="73" t="str">
        <f t="shared" si="12"/>
        <v>https://drive.google.com/thumbnail?id=1XZELMJDN7oiWnhqZnzMAEUGGr7oqakya&amp;sz=w1000</v>
      </c>
      <c r="AH244" s="172" t="s">
        <v>659</v>
      </c>
    </row>
    <row r="245" spans="1:34" ht="22.15" customHeight="1">
      <c r="A245" s="30">
        <v>45534</v>
      </c>
      <c r="B245" s="134" t="s">
        <v>101</v>
      </c>
      <c r="C245" s="48" t="s">
        <v>12</v>
      </c>
      <c r="D245" s="16" t="str" cm="1">
        <f t="array" ref="D245">_xlfn.XLOOKUP(1, (Table1[Project Name]=Table2[[#This Row],[Project ID]])*(Table1[Plot]=Table2[[#This Row],[Plot]]), Table1[Project ID])</f>
        <v>MJ-08</v>
      </c>
      <c r="E245" s="69">
        <v>46</v>
      </c>
      <c r="F245" s="70">
        <v>747</v>
      </c>
      <c r="G245" s="69">
        <f>Table2[[#This Row],[Time Elapsed]]+Table2[[#This Row],[Time Remaining]]</f>
        <v>793</v>
      </c>
      <c r="H245" s="136" t="s">
        <v>635</v>
      </c>
      <c r="I245" s="136" t="s">
        <v>634</v>
      </c>
      <c r="J245" s="13">
        <v>0</v>
      </c>
      <c r="K245" s="148">
        <v>0</v>
      </c>
      <c r="L245" s="13">
        <f>Table2[[#This Row],[Actual %]]-Table2[[#This Row],[Plan %]]</f>
        <v>0</v>
      </c>
      <c r="M245" s="144" t="s">
        <v>645</v>
      </c>
      <c r="N245" s="12">
        <v>46280</v>
      </c>
      <c r="O245" s="12"/>
      <c r="P245" s="12">
        <v>46280</v>
      </c>
      <c r="Q245" s="12">
        <v>45541</v>
      </c>
      <c r="R245" s="136" t="s">
        <v>640</v>
      </c>
      <c r="S245" s="136" t="s">
        <v>346</v>
      </c>
      <c r="T245" s="143" t="s">
        <v>641</v>
      </c>
      <c r="U245" s="151">
        <v>117010730</v>
      </c>
      <c r="V245" s="36"/>
      <c r="W245" s="36">
        <f>Table2[[#This Row],[Construction Contract Amount]]+Table2[[#This Row],[Cumulative Variations]]</f>
        <v>117010730</v>
      </c>
      <c r="X245" s="151">
        <v>3645800</v>
      </c>
      <c r="Y245" s="152">
        <v>0</v>
      </c>
      <c r="Z245" s="36">
        <f>Table2[[#This Row],[Final Contract Value]]+Table2[[#This Row],[Supervision Contract amount]]+Table2[[#This Row],[Authority Cost]]</f>
        <v>120656530</v>
      </c>
      <c r="AA245" s="36"/>
      <c r="AB245" s="36"/>
      <c r="AC245" s="91" t="str">
        <f t="shared" si="10"/>
        <v>https://drive.google.com/thumbnail?id=1l032NhkgI8VXW1YdwE6IVXJ95axS_1_N&amp;sz=w1000</v>
      </c>
      <c r="AD245" s="172" t="s">
        <v>657</v>
      </c>
      <c r="AE245" s="74" t="str">
        <f t="shared" si="11"/>
        <v>https://drive.google.com/thumbnail?id=1iRpGkfGlUpy_9sZc0sYjyX4pKKrv-yKh&amp;sz=w1000</v>
      </c>
      <c r="AF245" s="172" t="s">
        <v>658</v>
      </c>
      <c r="AG245" s="73" t="str">
        <f t="shared" si="12"/>
        <v>https://drive.google.com/thumbnail?id=1XZELMJDN7oiWnhqZnzMAEUGGr7oqakya&amp;sz=w1000</v>
      </c>
      <c r="AH245" s="172" t="s">
        <v>659</v>
      </c>
    </row>
    <row r="246" spans="1:34" ht="22.15" customHeight="1">
      <c r="A246" s="30">
        <v>45534</v>
      </c>
      <c r="B246" s="134" t="s">
        <v>101</v>
      </c>
      <c r="C246" s="48" t="s">
        <v>12</v>
      </c>
      <c r="D246" s="16" t="str" cm="1">
        <f t="array" ref="D246">_xlfn.XLOOKUP(1, (Table1[Project Name]=Table2[[#This Row],[Project ID]])*(Table1[Plot]=Table2[[#This Row],[Plot]]), Table1[Project ID])</f>
        <v>MJ-08</v>
      </c>
      <c r="E246" s="69">
        <v>46</v>
      </c>
      <c r="F246" s="70">
        <v>747</v>
      </c>
      <c r="G246" s="69">
        <f>Table2[[#This Row],[Time Elapsed]]+Table2[[#This Row],[Time Remaining]]</f>
        <v>793</v>
      </c>
      <c r="H246" s="136" t="s">
        <v>633</v>
      </c>
      <c r="I246" s="136" t="s">
        <v>634</v>
      </c>
      <c r="J246" s="13">
        <v>0</v>
      </c>
      <c r="K246" s="148">
        <v>0</v>
      </c>
      <c r="L246" s="13">
        <f>Table2[[#This Row],[Actual %]]-Table2[[#This Row],[Plan %]]</f>
        <v>0</v>
      </c>
      <c r="M246" s="144" t="s">
        <v>646</v>
      </c>
      <c r="N246" s="12">
        <v>45500</v>
      </c>
      <c r="O246" s="12"/>
      <c r="P246" s="12">
        <v>45500</v>
      </c>
      <c r="Q246" s="12">
        <v>45541</v>
      </c>
      <c r="R246" s="136" t="s">
        <v>640</v>
      </c>
      <c r="S246" s="136" t="s">
        <v>346</v>
      </c>
      <c r="T246" s="143" t="s">
        <v>641</v>
      </c>
      <c r="U246" s="151">
        <v>117010730</v>
      </c>
      <c r="V246" s="36"/>
      <c r="W246" s="36">
        <f>Table2[[#This Row],[Construction Contract Amount]]+Table2[[#This Row],[Cumulative Variations]]</f>
        <v>117010730</v>
      </c>
      <c r="X246" s="151">
        <v>3645800</v>
      </c>
      <c r="Y246" s="152">
        <v>0</v>
      </c>
      <c r="Z246" s="36">
        <f>Table2[[#This Row],[Final Contract Value]]+Table2[[#This Row],[Supervision Contract amount]]+Table2[[#This Row],[Authority Cost]]</f>
        <v>120656530</v>
      </c>
      <c r="AA246" s="36"/>
      <c r="AB246" s="36"/>
      <c r="AC246" s="91" t="str">
        <f t="shared" si="10"/>
        <v>https://drive.google.com/thumbnail?id=1l032NhkgI8VXW1YdwE6IVXJ95axS_1_N&amp;sz=w1000</v>
      </c>
      <c r="AD246" s="172" t="s">
        <v>657</v>
      </c>
      <c r="AE246" s="74" t="str">
        <f t="shared" si="11"/>
        <v>https://drive.google.com/thumbnail?id=1iRpGkfGlUpy_9sZc0sYjyX4pKKrv-yKh&amp;sz=w1000</v>
      </c>
      <c r="AF246" s="172" t="s">
        <v>658</v>
      </c>
      <c r="AG246" s="73" t="str">
        <f t="shared" si="12"/>
        <v>https://drive.google.com/thumbnail?id=1XZELMJDN7oiWnhqZnzMAEUGGr7oqakya&amp;sz=w1000</v>
      </c>
      <c r="AH246" s="172" t="s">
        <v>659</v>
      </c>
    </row>
    <row r="247" spans="1:34" ht="22.15" customHeight="1">
      <c r="A247" s="30">
        <v>45534</v>
      </c>
      <c r="B247" s="134" t="s">
        <v>101</v>
      </c>
      <c r="C247" s="48" t="s">
        <v>12</v>
      </c>
      <c r="D247" s="16" t="str" cm="1">
        <f t="array" ref="D247">_xlfn.XLOOKUP(1, (Table1[Project Name]=Table2[[#This Row],[Project ID]])*(Table1[Plot]=Table2[[#This Row],[Plot]]), Table1[Project ID])</f>
        <v>MJ-08</v>
      </c>
      <c r="E247" s="69">
        <v>46</v>
      </c>
      <c r="F247" s="70">
        <v>747</v>
      </c>
      <c r="G247" s="69">
        <f>Table2[[#This Row],[Time Elapsed]]+Table2[[#This Row],[Time Remaining]]</f>
        <v>793</v>
      </c>
      <c r="H247" s="136" t="s">
        <v>635</v>
      </c>
      <c r="I247" s="136" t="s">
        <v>634</v>
      </c>
      <c r="J247" s="13">
        <v>0</v>
      </c>
      <c r="K247" s="148">
        <v>0</v>
      </c>
      <c r="L247" s="13">
        <f>Table2[[#This Row],[Actual %]]-Table2[[#This Row],[Plan %]]</f>
        <v>0</v>
      </c>
      <c r="M247" s="144" t="s">
        <v>647</v>
      </c>
      <c r="N247" s="12">
        <v>46328</v>
      </c>
      <c r="O247" s="12"/>
      <c r="P247" s="12">
        <v>46328</v>
      </c>
      <c r="Q247" s="12">
        <v>45541</v>
      </c>
      <c r="R247" s="136" t="s">
        <v>640</v>
      </c>
      <c r="S247" s="136" t="s">
        <v>346</v>
      </c>
      <c r="T247" s="143" t="s">
        <v>641</v>
      </c>
      <c r="U247" s="151">
        <v>117010730</v>
      </c>
      <c r="V247" s="36"/>
      <c r="W247" s="36">
        <f>Table2[[#This Row],[Construction Contract Amount]]+Table2[[#This Row],[Cumulative Variations]]</f>
        <v>117010730</v>
      </c>
      <c r="X247" s="151">
        <v>3645800</v>
      </c>
      <c r="Y247" s="152">
        <v>0</v>
      </c>
      <c r="Z247" s="36">
        <f>Table2[[#This Row],[Final Contract Value]]+Table2[[#This Row],[Supervision Contract amount]]+Table2[[#This Row],[Authority Cost]]</f>
        <v>120656530</v>
      </c>
      <c r="AA247" s="36"/>
      <c r="AB247" s="36"/>
      <c r="AC247" s="91" t="str">
        <f t="shared" si="10"/>
        <v>https://drive.google.com/thumbnail?id=1l032NhkgI8VXW1YdwE6IVXJ95axS_1_N&amp;sz=w1000</v>
      </c>
      <c r="AD247" s="172" t="s">
        <v>657</v>
      </c>
      <c r="AE247" s="74" t="str">
        <f t="shared" si="11"/>
        <v>https://drive.google.com/thumbnail?id=1iRpGkfGlUpy_9sZc0sYjyX4pKKrv-yKh&amp;sz=w1000</v>
      </c>
      <c r="AF247" s="172" t="s">
        <v>658</v>
      </c>
      <c r="AG247" s="73" t="str">
        <f t="shared" si="12"/>
        <v>https://drive.google.com/thumbnail?id=1XZELMJDN7oiWnhqZnzMAEUGGr7oqakya&amp;sz=w1000</v>
      </c>
      <c r="AH247" s="172" t="s">
        <v>659</v>
      </c>
    </row>
    <row r="248" spans="1:34" ht="22.15" customHeight="1">
      <c r="A248" s="30">
        <v>45534</v>
      </c>
      <c r="B248" s="134" t="s">
        <v>101</v>
      </c>
      <c r="C248" s="48" t="s">
        <v>12</v>
      </c>
      <c r="D248" s="16" t="str" cm="1">
        <f t="array" ref="D248">_xlfn.XLOOKUP(1, (Table1[Project Name]=Table2[[#This Row],[Project ID]])*(Table1[Plot]=Table2[[#This Row],[Plot]]), Table1[Project ID])</f>
        <v>MJ-08</v>
      </c>
      <c r="E248" s="69">
        <v>46</v>
      </c>
      <c r="F248" s="70">
        <v>747</v>
      </c>
      <c r="G248" s="69">
        <f>Table2[[#This Row],[Time Elapsed]]+Table2[[#This Row],[Time Remaining]]</f>
        <v>793</v>
      </c>
      <c r="H248" s="136" t="s">
        <v>633</v>
      </c>
      <c r="I248" s="136" t="s">
        <v>634</v>
      </c>
      <c r="J248" s="13">
        <v>0</v>
      </c>
      <c r="K248" s="148">
        <v>0</v>
      </c>
      <c r="L248" s="13">
        <f>Table2[[#This Row],[Actual %]]-Table2[[#This Row],[Plan %]]</f>
        <v>0</v>
      </c>
      <c r="M248" s="144" t="s">
        <v>648</v>
      </c>
      <c r="N248" s="12">
        <v>45789</v>
      </c>
      <c r="O248" s="12"/>
      <c r="P248" s="12">
        <v>45789</v>
      </c>
      <c r="Q248" s="12">
        <v>45541</v>
      </c>
      <c r="R248" s="136" t="s">
        <v>640</v>
      </c>
      <c r="S248" s="136" t="s">
        <v>346</v>
      </c>
      <c r="T248" s="143" t="s">
        <v>641</v>
      </c>
      <c r="U248" s="151">
        <v>117010730</v>
      </c>
      <c r="V248" s="36"/>
      <c r="W248" s="36">
        <f>Table2[[#This Row],[Construction Contract Amount]]+Table2[[#This Row],[Cumulative Variations]]</f>
        <v>117010730</v>
      </c>
      <c r="X248" s="151">
        <v>3645800</v>
      </c>
      <c r="Y248" s="152">
        <v>0</v>
      </c>
      <c r="Z248" s="36">
        <f>Table2[[#This Row],[Final Contract Value]]+Table2[[#This Row],[Supervision Contract amount]]+Table2[[#This Row],[Authority Cost]]</f>
        <v>120656530</v>
      </c>
      <c r="AA248" s="36"/>
      <c r="AB248" s="36"/>
      <c r="AC248" s="91" t="str">
        <f t="shared" si="10"/>
        <v>https://drive.google.com/thumbnail?id=1l032NhkgI8VXW1YdwE6IVXJ95axS_1_N&amp;sz=w1000</v>
      </c>
      <c r="AD248" s="172" t="s">
        <v>657</v>
      </c>
      <c r="AE248" s="74" t="str">
        <f t="shared" si="11"/>
        <v>https://drive.google.com/thumbnail?id=1iRpGkfGlUpy_9sZc0sYjyX4pKKrv-yKh&amp;sz=w1000</v>
      </c>
      <c r="AF248" s="172" t="s">
        <v>658</v>
      </c>
      <c r="AG248" s="73" t="str">
        <f t="shared" si="12"/>
        <v>https://drive.google.com/thumbnail?id=1XZELMJDN7oiWnhqZnzMAEUGGr7oqakya&amp;sz=w1000</v>
      </c>
      <c r="AH248" s="172" t="s">
        <v>659</v>
      </c>
    </row>
    <row r="249" spans="1:34" ht="22.15" customHeight="1">
      <c r="A249" s="30">
        <v>45534</v>
      </c>
      <c r="B249" s="134" t="s">
        <v>101</v>
      </c>
      <c r="C249" s="48" t="s">
        <v>12</v>
      </c>
      <c r="D249" s="16" t="str" cm="1">
        <f t="array" ref="D249">_xlfn.XLOOKUP(1, (Table1[Project Name]=Table2[[#This Row],[Project ID]])*(Table1[Plot]=Table2[[#This Row],[Plot]]), Table1[Project ID])</f>
        <v>MJ-08</v>
      </c>
      <c r="E249" s="69">
        <v>46</v>
      </c>
      <c r="F249" s="70">
        <v>747</v>
      </c>
      <c r="G249" s="69">
        <f>Table2[[#This Row],[Time Elapsed]]+Table2[[#This Row],[Time Remaining]]</f>
        <v>793</v>
      </c>
      <c r="H249" s="136" t="s">
        <v>635</v>
      </c>
      <c r="I249" s="136" t="s">
        <v>634</v>
      </c>
      <c r="J249" s="13">
        <v>0</v>
      </c>
      <c r="K249" s="148">
        <v>0</v>
      </c>
      <c r="L249" s="13">
        <f>Table2[[#This Row],[Actual %]]-Table2[[#This Row],[Plan %]]</f>
        <v>0</v>
      </c>
      <c r="M249" s="144" t="s">
        <v>282</v>
      </c>
      <c r="N249" s="12">
        <v>46126</v>
      </c>
      <c r="O249" s="12"/>
      <c r="P249" s="12">
        <v>46126</v>
      </c>
      <c r="Q249" s="12">
        <v>45541</v>
      </c>
      <c r="R249" s="136" t="s">
        <v>640</v>
      </c>
      <c r="S249" s="136" t="s">
        <v>346</v>
      </c>
      <c r="T249" s="143" t="s">
        <v>641</v>
      </c>
      <c r="U249" s="151">
        <v>117010730</v>
      </c>
      <c r="V249" s="36"/>
      <c r="W249" s="36">
        <f>Table2[[#This Row],[Construction Contract Amount]]+Table2[[#This Row],[Cumulative Variations]]</f>
        <v>117010730</v>
      </c>
      <c r="X249" s="151">
        <v>3645800</v>
      </c>
      <c r="Y249" s="152">
        <v>0</v>
      </c>
      <c r="Z249" s="36">
        <f>Table2[[#This Row],[Final Contract Value]]+Table2[[#This Row],[Supervision Contract amount]]+Table2[[#This Row],[Authority Cost]]</f>
        <v>120656530</v>
      </c>
      <c r="AA249" s="36"/>
      <c r="AB249" s="36"/>
      <c r="AC249" s="91" t="str">
        <f t="shared" si="10"/>
        <v>https://drive.google.com/thumbnail?id=1l032NhkgI8VXW1YdwE6IVXJ95axS_1_N&amp;sz=w1000</v>
      </c>
      <c r="AD249" s="172" t="s">
        <v>657</v>
      </c>
      <c r="AE249" s="74" t="str">
        <f t="shared" si="11"/>
        <v>https://drive.google.com/thumbnail?id=1iRpGkfGlUpy_9sZc0sYjyX4pKKrv-yKh&amp;sz=w1000</v>
      </c>
      <c r="AF249" s="172" t="s">
        <v>658</v>
      </c>
      <c r="AG249" s="73" t="str">
        <f t="shared" si="12"/>
        <v>https://drive.google.com/thumbnail?id=1XZELMJDN7oiWnhqZnzMAEUGGr7oqakya&amp;sz=w1000</v>
      </c>
      <c r="AH249" s="172" t="s">
        <v>659</v>
      </c>
    </row>
    <row r="250" spans="1:34" ht="22.15" customHeight="1">
      <c r="A250" s="30">
        <v>45534</v>
      </c>
      <c r="B250" s="134" t="s">
        <v>101</v>
      </c>
      <c r="C250" s="48" t="s">
        <v>12</v>
      </c>
      <c r="D250" s="16" t="str" cm="1">
        <f t="array" ref="D250">_xlfn.XLOOKUP(1, (Table1[Project Name]=Table2[[#This Row],[Project ID]])*(Table1[Plot]=Table2[[#This Row],[Plot]]), Table1[Project ID])</f>
        <v>MJ-08</v>
      </c>
      <c r="E250" s="69">
        <v>46</v>
      </c>
      <c r="F250" s="70">
        <v>747</v>
      </c>
      <c r="G250" s="69">
        <f>Table2[[#This Row],[Time Elapsed]]+Table2[[#This Row],[Time Remaining]]</f>
        <v>793</v>
      </c>
      <c r="H250" s="136" t="s">
        <v>633</v>
      </c>
      <c r="I250" s="136" t="s">
        <v>634</v>
      </c>
      <c r="J250" s="13">
        <v>0</v>
      </c>
      <c r="K250" s="148">
        <v>0</v>
      </c>
      <c r="L250" s="13">
        <f>Table2[[#This Row],[Actual %]]-Table2[[#This Row],[Plan %]]</f>
        <v>0</v>
      </c>
      <c r="M250" s="144" t="s">
        <v>283</v>
      </c>
      <c r="N250" s="12">
        <v>46286</v>
      </c>
      <c r="O250" s="12"/>
      <c r="P250" s="12">
        <v>46286</v>
      </c>
      <c r="Q250" s="12">
        <v>45541</v>
      </c>
      <c r="R250" s="136" t="s">
        <v>640</v>
      </c>
      <c r="S250" s="136" t="s">
        <v>346</v>
      </c>
      <c r="T250" s="143" t="s">
        <v>641</v>
      </c>
      <c r="U250" s="151">
        <v>117010730</v>
      </c>
      <c r="V250" s="36"/>
      <c r="W250" s="36">
        <f>Table2[[#This Row],[Construction Contract Amount]]+Table2[[#This Row],[Cumulative Variations]]</f>
        <v>117010730</v>
      </c>
      <c r="X250" s="151">
        <v>3645800</v>
      </c>
      <c r="Y250" s="152">
        <v>0</v>
      </c>
      <c r="Z250" s="36">
        <f>Table2[[#This Row],[Final Contract Value]]+Table2[[#This Row],[Supervision Contract amount]]+Table2[[#This Row],[Authority Cost]]</f>
        <v>120656530</v>
      </c>
      <c r="AA250" s="36"/>
      <c r="AB250" s="36"/>
      <c r="AC250" s="91" t="str">
        <f t="shared" si="10"/>
        <v>https://drive.google.com/thumbnail?id=1l032NhkgI8VXW1YdwE6IVXJ95axS_1_N&amp;sz=w1000</v>
      </c>
      <c r="AD250" s="172" t="s">
        <v>657</v>
      </c>
      <c r="AE250" s="74" t="str">
        <f t="shared" si="11"/>
        <v>https://drive.google.com/thumbnail?id=1iRpGkfGlUpy_9sZc0sYjyX4pKKrv-yKh&amp;sz=w1000</v>
      </c>
      <c r="AF250" s="172" t="s">
        <v>658</v>
      </c>
      <c r="AG250" s="73" t="str">
        <f t="shared" si="12"/>
        <v>https://drive.google.com/thumbnail?id=1XZELMJDN7oiWnhqZnzMAEUGGr7oqakya&amp;sz=w1000</v>
      </c>
      <c r="AH250" s="172" t="s">
        <v>659</v>
      </c>
    </row>
    <row r="251" spans="1:34" ht="22.15" customHeight="1">
      <c r="A251" s="30">
        <v>45534</v>
      </c>
      <c r="B251" s="134" t="s">
        <v>101</v>
      </c>
      <c r="C251" s="48" t="s">
        <v>12</v>
      </c>
      <c r="D251" s="16" t="str" cm="1">
        <f t="array" ref="D251">_xlfn.XLOOKUP(1, (Table1[Project Name]=Table2[[#This Row],[Project ID]])*(Table1[Plot]=Table2[[#This Row],[Plot]]), Table1[Project ID])</f>
        <v>MJ-08</v>
      </c>
      <c r="E251" s="69">
        <v>46</v>
      </c>
      <c r="F251" s="70">
        <v>747</v>
      </c>
      <c r="G251" s="69">
        <f>Table2[[#This Row],[Time Elapsed]]+Table2[[#This Row],[Time Remaining]]</f>
        <v>793</v>
      </c>
      <c r="H251" s="136" t="s">
        <v>635</v>
      </c>
      <c r="I251" s="136" t="s">
        <v>634</v>
      </c>
      <c r="J251" s="13">
        <v>0</v>
      </c>
      <c r="K251" s="148">
        <v>0</v>
      </c>
      <c r="L251" s="13">
        <f>Table2[[#This Row],[Actual %]]-Table2[[#This Row],[Plan %]]</f>
        <v>0</v>
      </c>
      <c r="M251" s="144" t="s">
        <v>649</v>
      </c>
      <c r="N251" s="12">
        <v>46304</v>
      </c>
      <c r="O251" s="12"/>
      <c r="P251" s="12">
        <v>46304</v>
      </c>
      <c r="Q251" s="12">
        <v>45541</v>
      </c>
      <c r="R251" s="136" t="s">
        <v>640</v>
      </c>
      <c r="S251" s="136" t="s">
        <v>346</v>
      </c>
      <c r="T251" s="143" t="s">
        <v>641</v>
      </c>
      <c r="U251" s="151">
        <v>117010730</v>
      </c>
      <c r="V251" s="36"/>
      <c r="W251" s="36">
        <f>Table2[[#This Row],[Construction Contract Amount]]+Table2[[#This Row],[Cumulative Variations]]</f>
        <v>117010730</v>
      </c>
      <c r="X251" s="151">
        <v>3645800</v>
      </c>
      <c r="Y251" s="152">
        <v>0</v>
      </c>
      <c r="Z251" s="36">
        <f>Table2[[#This Row],[Final Contract Value]]+Table2[[#This Row],[Supervision Contract amount]]+Table2[[#This Row],[Authority Cost]]</f>
        <v>120656530</v>
      </c>
      <c r="AA251" s="36"/>
      <c r="AB251" s="36"/>
      <c r="AC251" s="91" t="str">
        <f t="shared" si="10"/>
        <v>https://drive.google.com/thumbnail?id=1l032NhkgI8VXW1YdwE6IVXJ95axS_1_N&amp;sz=w1000</v>
      </c>
      <c r="AD251" s="172" t="s">
        <v>657</v>
      </c>
      <c r="AE251" s="74" t="str">
        <f t="shared" si="11"/>
        <v>https://drive.google.com/thumbnail?id=1iRpGkfGlUpy_9sZc0sYjyX4pKKrv-yKh&amp;sz=w1000</v>
      </c>
      <c r="AF251" s="172" t="s">
        <v>658</v>
      </c>
      <c r="AG251" s="73" t="str">
        <f t="shared" si="12"/>
        <v>https://drive.google.com/thumbnail?id=1XZELMJDN7oiWnhqZnzMAEUGGr7oqakya&amp;sz=w1000</v>
      </c>
      <c r="AH251" s="172" t="s">
        <v>659</v>
      </c>
    </row>
    <row r="252" spans="1:34" ht="22.15" customHeight="1">
      <c r="A252" s="30">
        <v>45534</v>
      </c>
      <c r="B252" s="134" t="s">
        <v>101</v>
      </c>
      <c r="C252" s="48" t="s">
        <v>12</v>
      </c>
      <c r="D252" s="16" t="str" cm="1">
        <f t="array" ref="D252">_xlfn.XLOOKUP(1, (Table1[Project Name]=Table2[[#This Row],[Project ID]])*(Table1[Plot]=Table2[[#This Row],[Plot]]), Table1[Project ID])</f>
        <v>MJ-08</v>
      </c>
      <c r="E252" s="69">
        <v>46</v>
      </c>
      <c r="F252" s="70">
        <v>747</v>
      </c>
      <c r="G252" s="69">
        <f>Table2[[#This Row],[Time Elapsed]]+Table2[[#This Row],[Time Remaining]]</f>
        <v>793</v>
      </c>
      <c r="H252" s="136" t="s">
        <v>633</v>
      </c>
      <c r="I252" s="136" t="s">
        <v>634</v>
      </c>
      <c r="J252" s="13">
        <v>0</v>
      </c>
      <c r="K252" s="148">
        <v>0</v>
      </c>
      <c r="L252" s="13">
        <f>Table2[[#This Row],[Actual %]]-Table2[[#This Row],[Plan %]]</f>
        <v>0</v>
      </c>
      <c r="M252" s="144" t="s">
        <v>284</v>
      </c>
      <c r="N252" s="12">
        <v>46288</v>
      </c>
      <c r="O252" s="12"/>
      <c r="P252" s="12">
        <v>46288</v>
      </c>
      <c r="Q252" s="12">
        <v>45541</v>
      </c>
      <c r="R252" s="136" t="s">
        <v>640</v>
      </c>
      <c r="S252" s="136" t="s">
        <v>346</v>
      </c>
      <c r="T252" s="143" t="s">
        <v>641</v>
      </c>
      <c r="U252" s="151">
        <v>117010730</v>
      </c>
      <c r="V252" s="36"/>
      <c r="W252" s="36">
        <f>Table2[[#This Row],[Construction Contract Amount]]+Table2[[#This Row],[Cumulative Variations]]</f>
        <v>117010730</v>
      </c>
      <c r="X252" s="151">
        <v>3645800</v>
      </c>
      <c r="Y252" s="152">
        <v>0</v>
      </c>
      <c r="Z252" s="36">
        <f>Table2[[#This Row],[Final Contract Value]]+Table2[[#This Row],[Supervision Contract amount]]+Table2[[#This Row],[Authority Cost]]</f>
        <v>120656530</v>
      </c>
      <c r="AA252" s="36"/>
      <c r="AB252" s="36"/>
      <c r="AC252" s="91" t="str">
        <f t="shared" si="10"/>
        <v>https://drive.google.com/thumbnail?id=1l032NhkgI8VXW1YdwE6IVXJ95axS_1_N&amp;sz=w1000</v>
      </c>
      <c r="AD252" s="172" t="s">
        <v>657</v>
      </c>
      <c r="AE252" s="74" t="str">
        <f t="shared" si="11"/>
        <v>https://drive.google.com/thumbnail?id=1iRpGkfGlUpy_9sZc0sYjyX4pKKrv-yKh&amp;sz=w1000</v>
      </c>
      <c r="AF252" s="172" t="s">
        <v>658</v>
      </c>
      <c r="AG252" s="73" t="str">
        <f t="shared" si="12"/>
        <v>https://drive.google.com/thumbnail?id=1XZELMJDN7oiWnhqZnzMAEUGGr7oqakya&amp;sz=w1000</v>
      </c>
      <c r="AH252" s="172" t="s">
        <v>659</v>
      </c>
    </row>
    <row r="253" spans="1:34" ht="22.15" customHeight="1">
      <c r="A253" s="30">
        <v>45534</v>
      </c>
      <c r="B253" s="134" t="s">
        <v>106</v>
      </c>
      <c r="C253" s="48" t="s">
        <v>109</v>
      </c>
      <c r="D253" s="16" t="str" cm="1">
        <f t="array" ref="D253">_xlfn.XLOOKUP(1, (Table1[Project Name]=Table2[[#This Row],[Project ID]])*(Table1[Plot]=Table2[[#This Row],[Plot]]), Table1[Project ID])</f>
        <v>MJ-09</v>
      </c>
      <c r="E253" s="69">
        <v>46</v>
      </c>
      <c r="F253" s="70">
        <v>747</v>
      </c>
      <c r="G253" s="69">
        <f>Table2[[#This Row],[Time Elapsed]]+Table2[[#This Row],[Time Remaining]]</f>
        <v>793</v>
      </c>
      <c r="H253" s="136" t="s">
        <v>636</v>
      </c>
      <c r="I253" s="136" t="s">
        <v>634</v>
      </c>
      <c r="J253" s="13">
        <v>0</v>
      </c>
      <c r="K253" s="148">
        <v>0</v>
      </c>
      <c r="L253" s="13">
        <f>Table2[[#This Row],[Actual %]]-Table2[[#This Row],[Plan %]]</f>
        <v>0</v>
      </c>
      <c r="M253" s="142" t="s">
        <v>639</v>
      </c>
      <c r="N253" s="12">
        <v>45496</v>
      </c>
      <c r="O253" s="12">
        <v>45496</v>
      </c>
      <c r="P253" s="12"/>
      <c r="Q253" s="12">
        <v>45541</v>
      </c>
      <c r="R253" s="136" t="s">
        <v>640</v>
      </c>
      <c r="S253" s="136" t="s">
        <v>346</v>
      </c>
      <c r="T253" s="143" t="s">
        <v>641</v>
      </c>
      <c r="U253" s="151">
        <v>356759501</v>
      </c>
      <c r="V253" s="36"/>
      <c r="W253" s="36">
        <f>Table2[[#This Row],[Construction Contract Amount]]+Table2[[#This Row],[Cumulative Variations]]</f>
        <v>356759501</v>
      </c>
      <c r="X253" s="151">
        <v>3645800</v>
      </c>
      <c r="Y253" s="152">
        <v>0</v>
      </c>
      <c r="Z253" s="36">
        <f>Table2[[#This Row],[Final Contract Value]]+Table2[[#This Row],[Supervision Contract amount]]+Table2[[#This Row],[Authority Cost]]</f>
        <v>360405301</v>
      </c>
      <c r="AA253" s="36"/>
      <c r="AB253" s="36"/>
      <c r="AC253" s="91" t="str">
        <f t="shared" si="10"/>
        <v>https://drive.google.com/thumbnail?id=1CGnDxWakVhMcyf3ArpxC0Xg8NB2NJ04m&amp;sz=w1000</v>
      </c>
      <c r="AD253" s="172" t="s">
        <v>660</v>
      </c>
      <c r="AE253" s="74" t="str">
        <f t="shared" si="11"/>
        <v>https://drive.google.com/thumbnail?id=1hmXY9RLSychgJTsAJz7iOoJsrTTIp1VT&amp;sz=w1000</v>
      </c>
      <c r="AF253" s="172" t="s">
        <v>661</v>
      </c>
      <c r="AG253" s="73" t="str">
        <f t="shared" si="12"/>
        <v>https://drive.google.com/thumbnail?id=1E_lw9TkbspjWKBlfCTRgy2po44C1TCJP&amp;sz=w1000</v>
      </c>
      <c r="AH253" s="172" t="s">
        <v>662</v>
      </c>
    </row>
    <row r="254" spans="1:34" ht="22.15" customHeight="1">
      <c r="A254" s="30">
        <v>45534</v>
      </c>
      <c r="B254" s="134" t="s">
        <v>106</v>
      </c>
      <c r="C254" s="48" t="s">
        <v>109</v>
      </c>
      <c r="D254" s="16" t="str" cm="1">
        <f t="array" ref="D254">_xlfn.XLOOKUP(1, (Table1[Project Name]=Table2[[#This Row],[Project ID]])*(Table1[Plot]=Table2[[#This Row],[Plot]]), Table1[Project ID])</f>
        <v>MJ-09</v>
      </c>
      <c r="E254" s="69">
        <v>46</v>
      </c>
      <c r="F254" s="70">
        <v>747</v>
      </c>
      <c r="G254" s="69">
        <f>Table2[[#This Row],[Time Elapsed]]+Table2[[#This Row],[Time Remaining]]</f>
        <v>793</v>
      </c>
      <c r="H254" s="136" t="s">
        <v>637</v>
      </c>
      <c r="I254" s="136" t="s">
        <v>634</v>
      </c>
      <c r="J254" s="13">
        <v>0</v>
      </c>
      <c r="K254" s="148">
        <v>0</v>
      </c>
      <c r="L254" s="13">
        <f>Table2[[#This Row],[Actual %]]-Table2[[#This Row],[Plan %]]</f>
        <v>0</v>
      </c>
      <c r="M254" s="142" t="s">
        <v>642</v>
      </c>
      <c r="N254" s="12">
        <v>45519</v>
      </c>
      <c r="O254" s="12">
        <v>45451</v>
      </c>
      <c r="P254" s="12"/>
      <c r="Q254" s="12">
        <v>45541</v>
      </c>
      <c r="R254" s="136" t="s">
        <v>640</v>
      </c>
      <c r="S254" s="136" t="s">
        <v>346</v>
      </c>
      <c r="T254" s="143" t="s">
        <v>641</v>
      </c>
      <c r="U254" s="151">
        <v>356759501</v>
      </c>
      <c r="V254" s="36"/>
      <c r="W254" s="36">
        <f>Table2[[#This Row],[Construction Contract Amount]]+Table2[[#This Row],[Cumulative Variations]]</f>
        <v>356759501</v>
      </c>
      <c r="X254" s="151">
        <v>3645800</v>
      </c>
      <c r="Y254" s="152">
        <v>0</v>
      </c>
      <c r="Z254" s="36">
        <f>Table2[[#This Row],[Final Contract Value]]+Table2[[#This Row],[Supervision Contract amount]]+Table2[[#This Row],[Authority Cost]]</f>
        <v>360405301</v>
      </c>
      <c r="AA254" s="36"/>
      <c r="AB254" s="36"/>
      <c r="AC254" s="91" t="str">
        <f t="shared" si="10"/>
        <v>https://drive.google.com/thumbnail?id=1CGnDxWakVhMcyf3ArpxC0Xg8NB2NJ04m&amp;sz=w1000</v>
      </c>
      <c r="AD254" s="172" t="s">
        <v>660</v>
      </c>
      <c r="AE254" s="74" t="str">
        <f t="shared" si="11"/>
        <v>https://drive.google.com/thumbnail?id=1hmXY9RLSychgJTsAJz7iOoJsrTTIp1VT&amp;sz=w1000</v>
      </c>
      <c r="AF254" s="172" t="s">
        <v>661</v>
      </c>
      <c r="AG254" s="73" t="str">
        <f t="shared" si="12"/>
        <v>https://drive.google.com/thumbnail?id=1E_lw9TkbspjWKBlfCTRgy2po44C1TCJP&amp;sz=w1000</v>
      </c>
      <c r="AH254" s="172" t="s">
        <v>662</v>
      </c>
    </row>
    <row r="255" spans="1:34" ht="22.15" customHeight="1">
      <c r="A255" s="30">
        <v>45534</v>
      </c>
      <c r="B255" s="134" t="s">
        <v>106</v>
      </c>
      <c r="C255" s="48" t="s">
        <v>109</v>
      </c>
      <c r="D255" s="16" t="str" cm="1">
        <f t="array" ref="D255">_xlfn.XLOOKUP(1, (Table1[Project Name]=Table2[[#This Row],[Project ID]])*(Table1[Plot]=Table2[[#This Row],[Plot]]), Table1[Project ID])</f>
        <v>MJ-09</v>
      </c>
      <c r="E255" s="69">
        <v>46</v>
      </c>
      <c r="F255" s="70">
        <v>747</v>
      </c>
      <c r="G255" s="69">
        <f>Table2[[#This Row],[Time Elapsed]]+Table2[[#This Row],[Time Remaining]]</f>
        <v>793</v>
      </c>
      <c r="H255" s="136" t="s">
        <v>636</v>
      </c>
      <c r="I255" s="136" t="s">
        <v>634</v>
      </c>
      <c r="J255" s="13">
        <v>0</v>
      </c>
      <c r="K255" s="148">
        <v>0</v>
      </c>
      <c r="L255" s="13">
        <f>Table2[[#This Row],[Actual %]]-Table2[[#This Row],[Plan %]]</f>
        <v>0</v>
      </c>
      <c r="M255" s="142" t="s">
        <v>643</v>
      </c>
      <c r="N255" s="12">
        <v>46288</v>
      </c>
      <c r="O255" s="12"/>
      <c r="P255" s="12">
        <v>46288</v>
      </c>
      <c r="Q255" s="12">
        <v>45541</v>
      </c>
      <c r="R255" s="136" t="s">
        <v>640</v>
      </c>
      <c r="S255" s="136" t="s">
        <v>346</v>
      </c>
      <c r="T255" s="143" t="s">
        <v>641</v>
      </c>
      <c r="U255" s="151">
        <v>356759501</v>
      </c>
      <c r="V255" s="36"/>
      <c r="W255" s="36">
        <f>Table2[[#This Row],[Construction Contract Amount]]+Table2[[#This Row],[Cumulative Variations]]</f>
        <v>356759501</v>
      </c>
      <c r="X255" s="151">
        <v>3645800</v>
      </c>
      <c r="Y255" s="152">
        <v>0</v>
      </c>
      <c r="Z255" s="36">
        <f>Table2[[#This Row],[Final Contract Value]]+Table2[[#This Row],[Supervision Contract amount]]+Table2[[#This Row],[Authority Cost]]</f>
        <v>360405301</v>
      </c>
      <c r="AA255" s="36"/>
      <c r="AB255" s="36"/>
      <c r="AC255" s="91" t="str">
        <f t="shared" si="10"/>
        <v>https://drive.google.com/thumbnail?id=1CGnDxWakVhMcyf3ArpxC0Xg8NB2NJ04m&amp;sz=w1000</v>
      </c>
      <c r="AD255" s="172" t="s">
        <v>660</v>
      </c>
      <c r="AE255" s="74" t="str">
        <f t="shared" si="11"/>
        <v>https://drive.google.com/thumbnail?id=1hmXY9RLSychgJTsAJz7iOoJsrTTIp1VT&amp;sz=w1000</v>
      </c>
      <c r="AF255" s="172" t="s">
        <v>661</v>
      </c>
      <c r="AG255" s="73" t="str">
        <f t="shared" si="12"/>
        <v>https://drive.google.com/thumbnail?id=1E_lw9TkbspjWKBlfCTRgy2po44C1TCJP&amp;sz=w1000</v>
      </c>
      <c r="AH255" s="172" t="s">
        <v>662</v>
      </c>
    </row>
    <row r="256" spans="1:34" ht="22.15" customHeight="1">
      <c r="A256" s="30">
        <v>45534</v>
      </c>
      <c r="B256" s="134" t="s">
        <v>106</v>
      </c>
      <c r="C256" s="48" t="s">
        <v>109</v>
      </c>
      <c r="D256" s="16" t="str" cm="1">
        <f t="array" ref="D256">_xlfn.XLOOKUP(1, (Table1[Project Name]=Table2[[#This Row],[Project ID]])*(Table1[Plot]=Table2[[#This Row],[Plot]]), Table1[Project ID])</f>
        <v>MJ-09</v>
      </c>
      <c r="E256" s="69">
        <v>46</v>
      </c>
      <c r="F256" s="70">
        <v>747</v>
      </c>
      <c r="G256" s="69">
        <f>Table2[[#This Row],[Time Elapsed]]+Table2[[#This Row],[Time Remaining]]</f>
        <v>793</v>
      </c>
      <c r="H256" s="136" t="s">
        <v>637</v>
      </c>
      <c r="I256" s="136" t="s">
        <v>634</v>
      </c>
      <c r="J256" s="13">
        <v>0</v>
      </c>
      <c r="K256" s="148">
        <v>0</v>
      </c>
      <c r="L256" s="13">
        <f>Table2[[#This Row],[Actual %]]-Table2[[#This Row],[Plan %]]</f>
        <v>0</v>
      </c>
      <c r="M256" s="142" t="s">
        <v>644</v>
      </c>
      <c r="N256" s="12">
        <v>46053</v>
      </c>
      <c r="O256" s="12"/>
      <c r="P256" s="12">
        <v>46053</v>
      </c>
      <c r="Q256" s="12">
        <v>45541</v>
      </c>
      <c r="R256" s="136" t="s">
        <v>640</v>
      </c>
      <c r="S256" s="136" t="s">
        <v>346</v>
      </c>
      <c r="T256" s="143" t="s">
        <v>641</v>
      </c>
      <c r="U256" s="151">
        <v>356759501</v>
      </c>
      <c r="V256" s="36"/>
      <c r="W256" s="36">
        <f>Table2[[#This Row],[Construction Contract Amount]]+Table2[[#This Row],[Cumulative Variations]]</f>
        <v>356759501</v>
      </c>
      <c r="X256" s="151">
        <v>3645800</v>
      </c>
      <c r="Y256" s="152">
        <v>0</v>
      </c>
      <c r="Z256" s="36">
        <f>Table2[[#This Row],[Final Contract Value]]+Table2[[#This Row],[Supervision Contract amount]]+Table2[[#This Row],[Authority Cost]]</f>
        <v>360405301</v>
      </c>
      <c r="AA256" s="36"/>
      <c r="AB256" s="36"/>
      <c r="AC256" s="91" t="str">
        <f t="shared" si="10"/>
        <v>https://drive.google.com/thumbnail?id=1CGnDxWakVhMcyf3ArpxC0Xg8NB2NJ04m&amp;sz=w1000</v>
      </c>
      <c r="AD256" s="172" t="s">
        <v>660</v>
      </c>
      <c r="AE256" s="74" t="str">
        <f t="shared" si="11"/>
        <v>https://drive.google.com/thumbnail?id=1hmXY9RLSychgJTsAJz7iOoJsrTTIp1VT&amp;sz=w1000</v>
      </c>
      <c r="AF256" s="172" t="s">
        <v>661</v>
      </c>
      <c r="AG256" s="73" t="str">
        <f t="shared" si="12"/>
        <v>https://drive.google.com/thumbnail?id=1E_lw9TkbspjWKBlfCTRgy2po44C1TCJP&amp;sz=w1000</v>
      </c>
      <c r="AH256" s="172" t="s">
        <v>662</v>
      </c>
    </row>
    <row r="257" spans="1:34" ht="22.15" customHeight="1">
      <c r="A257" s="30">
        <v>45534</v>
      </c>
      <c r="B257" s="134" t="s">
        <v>106</v>
      </c>
      <c r="C257" s="48" t="s">
        <v>109</v>
      </c>
      <c r="D257" s="16" t="str" cm="1">
        <f t="array" ref="D257">_xlfn.XLOOKUP(1, (Table1[Project Name]=Table2[[#This Row],[Project ID]])*(Table1[Plot]=Table2[[#This Row],[Plot]]), Table1[Project ID])</f>
        <v>MJ-09</v>
      </c>
      <c r="E257" s="69">
        <v>46</v>
      </c>
      <c r="F257" s="70">
        <v>747</v>
      </c>
      <c r="G257" s="69">
        <f>Table2[[#This Row],[Time Elapsed]]+Table2[[#This Row],[Time Remaining]]</f>
        <v>793</v>
      </c>
      <c r="H257" s="136" t="s">
        <v>636</v>
      </c>
      <c r="I257" s="136" t="s">
        <v>634</v>
      </c>
      <c r="J257" s="13">
        <v>0</v>
      </c>
      <c r="K257" s="148">
        <v>0</v>
      </c>
      <c r="L257" s="13">
        <f>Table2[[#This Row],[Actual %]]-Table2[[#This Row],[Plan %]]</f>
        <v>0</v>
      </c>
      <c r="M257" s="142" t="s">
        <v>650</v>
      </c>
      <c r="N257" s="12">
        <v>46280</v>
      </c>
      <c r="O257" s="12"/>
      <c r="P257" s="12">
        <v>46280</v>
      </c>
      <c r="Q257" s="12">
        <v>45541</v>
      </c>
      <c r="R257" s="136" t="s">
        <v>640</v>
      </c>
      <c r="S257" s="136" t="s">
        <v>346</v>
      </c>
      <c r="T257" s="143" t="s">
        <v>641</v>
      </c>
      <c r="U257" s="151">
        <v>356759501</v>
      </c>
      <c r="V257" s="36"/>
      <c r="W257" s="36">
        <f>Table2[[#This Row],[Construction Contract Amount]]+Table2[[#This Row],[Cumulative Variations]]</f>
        <v>356759501</v>
      </c>
      <c r="X257" s="151">
        <v>3645800</v>
      </c>
      <c r="Y257" s="152">
        <v>0</v>
      </c>
      <c r="Z257" s="36">
        <f>Table2[[#This Row],[Final Contract Value]]+Table2[[#This Row],[Supervision Contract amount]]+Table2[[#This Row],[Authority Cost]]</f>
        <v>360405301</v>
      </c>
      <c r="AA257" s="36"/>
      <c r="AB257" s="36"/>
      <c r="AC257" s="91" t="str">
        <f t="shared" si="10"/>
        <v>https://drive.google.com/thumbnail?id=1CGnDxWakVhMcyf3ArpxC0Xg8NB2NJ04m&amp;sz=w1000</v>
      </c>
      <c r="AD257" s="172" t="s">
        <v>660</v>
      </c>
      <c r="AE257" s="74" t="str">
        <f t="shared" si="11"/>
        <v>https://drive.google.com/thumbnail?id=1hmXY9RLSychgJTsAJz7iOoJsrTTIp1VT&amp;sz=w1000</v>
      </c>
      <c r="AF257" s="172" t="s">
        <v>661</v>
      </c>
      <c r="AG257" s="73" t="str">
        <f t="shared" si="12"/>
        <v>https://drive.google.com/thumbnail?id=1E_lw9TkbspjWKBlfCTRgy2po44C1TCJP&amp;sz=w1000</v>
      </c>
      <c r="AH257" s="172" t="s">
        <v>662</v>
      </c>
    </row>
    <row r="258" spans="1:34" ht="22.15" customHeight="1">
      <c r="A258" s="30">
        <v>45534</v>
      </c>
      <c r="B258" s="134" t="s">
        <v>106</v>
      </c>
      <c r="C258" s="48" t="s">
        <v>109</v>
      </c>
      <c r="D258" s="16" t="str" cm="1">
        <f t="array" ref="D258">_xlfn.XLOOKUP(1, (Table1[Project Name]=Table2[[#This Row],[Project ID]])*(Table1[Plot]=Table2[[#This Row],[Plot]]), Table1[Project ID])</f>
        <v>MJ-09</v>
      </c>
      <c r="E258" s="69">
        <v>46</v>
      </c>
      <c r="F258" s="70">
        <v>747</v>
      </c>
      <c r="G258" s="69">
        <f>Table2[[#This Row],[Time Elapsed]]+Table2[[#This Row],[Time Remaining]]</f>
        <v>793</v>
      </c>
      <c r="H258" s="136" t="s">
        <v>637</v>
      </c>
      <c r="I258" s="136" t="s">
        <v>634</v>
      </c>
      <c r="J258" s="13">
        <v>0</v>
      </c>
      <c r="K258" s="148">
        <v>0</v>
      </c>
      <c r="L258" s="13">
        <f>Table2[[#This Row],[Actual %]]-Table2[[#This Row],[Plan %]]</f>
        <v>0</v>
      </c>
      <c r="M258" s="142" t="s">
        <v>651</v>
      </c>
      <c r="N258" s="12">
        <v>46090</v>
      </c>
      <c r="O258" s="12"/>
      <c r="P258" s="12">
        <v>46090</v>
      </c>
      <c r="Q258" s="12">
        <v>45541</v>
      </c>
      <c r="R258" s="136" t="s">
        <v>640</v>
      </c>
      <c r="S258" s="136" t="s">
        <v>346</v>
      </c>
      <c r="T258" s="143" t="s">
        <v>641</v>
      </c>
      <c r="U258" s="151">
        <v>356759501</v>
      </c>
      <c r="V258" s="36"/>
      <c r="W258" s="36">
        <f>Table2[[#This Row],[Construction Contract Amount]]+Table2[[#This Row],[Cumulative Variations]]</f>
        <v>356759501</v>
      </c>
      <c r="X258" s="151">
        <v>3645800</v>
      </c>
      <c r="Y258" s="152">
        <v>0</v>
      </c>
      <c r="Z258" s="36">
        <f>Table2[[#This Row],[Final Contract Value]]+Table2[[#This Row],[Supervision Contract amount]]+Table2[[#This Row],[Authority Cost]]</f>
        <v>360405301</v>
      </c>
      <c r="AA258" s="36"/>
      <c r="AB258" s="36"/>
      <c r="AC258" s="91" t="str">
        <f t="shared" ref="AC258:AC321" si="13">CONCATENATE("https://drive.google.com/thumbnail?id=", MID(AD258, FIND("/d/", AD258) + 3, FIND("/view", AD258) - FIND("/d/", AD258) - 3), "&amp;sz=w1000")</f>
        <v>https://drive.google.com/thumbnail?id=1CGnDxWakVhMcyf3ArpxC0Xg8NB2NJ04m&amp;sz=w1000</v>
      </c>
      <c r="AD258" s="172" t="s">
        <v>660</v>
      </c>
      <c r="AE258" s="74" t="str">
        <f t="shared" ref="AE258:AE321" si="14">CONCATENATE("https://drive.google.com/thumbnail?id=", MID(AF258, FIND("/d/", AF258) + 3, FIND("/view", AF258) - FIND("/d/", AF258) - 3), "&amp;sz=w1000")</f>
        <v>https://drive.google.com/thumbnail?id=1hmXY9RLSychgJTsAJz7iOoJsrTTIp1VT&amp;sz=w1000</v>
      </c>
      <c r="AF258" s="172" t="s">
        <v>661</v>
      </c>
      <c r="AG258" s="73" t="str">
        <f t="shared" ref="AG258:AG321" si="15">CONCATENATE("https://drive.google.com/thumbnail?id=", MID(AH258, FIND("/d/", AH258) + 3, FIND("/view", AH258) - FIND("/d/", AH258) - 3), "&amp;sz=w1000")</f>
        <v>https://drive.google.com/thumbnail?id=1E_lw9TkbspjWKBlfCTRgy2po44C1TCJP&amp;sz=w1000</v>
      </c>
      <c r="AH258" s="172" t="s">
        <v>662</v>
      </c>
    </row>
    <row r="259" spans="1:34" ht="22.15" customHeight="1">
      <c r="A259" s="30">
        <v>45534</v>
      </c>
      <c r="B259" s="134" t="s">
        <v>106</v>
      </c>
      <c r="C259" s="48" t="s">
        <v>109</v>
      </c>
      <c r="D259" s="16" t="str" cm="1">
        <f t="array" ref="D259">_xlfn.XLOOKUP(1, (Table1[Project Name]=Table2[[#This Row],[Project ID]])*(Table1[Plot]=Table2[[#This Row],[Plot]]), Table1[Project ID])</f>
        <v>MJ-09</v>
      </c>
      <c r="E259" s="69">
        <v>46</v>
      </c>
      <c r="F259" s="70">
        <v>747</v>
      </c>
      <c r="G259" s="69">
        <f>Table2[[#This Row],[Time Elapsed]]+Table2[[#This Row],[Time Remaining]]</f>
        <v>793</v>
      </c>
      <c r="H259" s="136" t="s">
        <v>636</v>
      </c>
      <c r="I259" s="136" t="s">
        <v>634</v>
      </c>
      <c r="J259" s="13">
        <v>0</v>
      </c>
      <c r="K259" s="148">
        <v>0</v>
      </c>
      <c r="L259" s="13">
        <f>Table2[[#This Row],[Actual %]]-Table2[[#This Row],[Plan %]]</f>
        <v>0</v>
      </c>
      <c r="M259" s="142" t="s">
        <v>652</v>
      </c>
      <c r="N259" s="12">
        <v>46212</v>
      </c>
      <c r="O259" s="12"/>
      <c r="P259" s="12">
        <v>46212</v>
      </c>
      <c r="Q259" s="12">
        <v>45541</v>
      </c>
      <c r="R259" s="136" t="s">
        <v>640</v>
      </c>
      <c r="S259" s="136" t="s">
        <v>346</v>
      </c>
      <c r="T259" s="143" t="s">
        <v>641</v>
      </c>
      <c r="U259" s="151">
        <v>356759501</v>
      </c>
      <c r="V259" s="36"/>
      <c r="W259" s="36">
        <f>Table2[[#This Row],[Construction Contract Amount]]+Table2[[#This Row],[Cumulative Variations]]</f>
        <v>356759501</v>
      </c>
      <c r="X259" s="151">
        <v>3645800</v>
      </c>
      <c r="Y259" s="152">
        <v>0</v>
      </c>
      <c r="Z259" s="36">
        <f>Table2[[#This Row],[Final Contract Value]]+Table2[[#This Row],[Supervision Contract amount]]+Table2[[#This Row],[Authority Cost]]</f>
        <v>360405301</v>
      </c>
      <c r="AA259" s="36"/>
      <c r="AB259" s="36"/>
      <c r="AC259" s="91" t="str">
        <f t="shared" si="13"/>
        <v>https://drive.google.com/thumbnail?id=1CGnDxWakVhMcyf3ArpxC0Xg8NB2NJ04m&amp;sz=w1000</v>
      </c>
      <c r="AD259" s="172" t="s">
        <v>660</v>
      </c>
      <c r="AE259" s="74" t="str">
        <f t="shared" si="14"/>
        <v>https://drive.google.com/thumbnail?id=1hmXY9RLSychgJTsAJz7iOoJsrTTIp1VT&amp;sz=w1000</v>
      </c>
      <c r="AF259" s="172" t="s">
        <v>661</v>
      </c>
      <c r="AG259" s="73" t="str">
        <f t="shared" si="15"/>
        <v>https://drive.google.com/thumbnail?id=1E_lw9TkbspjWKBlfCTRgy2po44C1TCJP&amp;sz=w1000</v>
      </c>
      <c r="AH259" s="172" t="s">
        <v>662</v>
      </c>
    </row>
    <row r="260" spans="1:34" ht="22.15" customHeight="1">
      <c r="A260" s="30">
        <v>45534</v>
      </c>
      <c r="B260" s="134" t="s">
        <v>106</v>
      </c>
      <c r="C260" s="48" t="s">
        <v>109</v>
      </c>
      <c r="D260" s="16" t="str" cm="1">
        <f t="array" ref="D260">_xlfn.XLOOKUP(1, (Table1[Project Name]=Table2[[#This Row],[Project ID]])*(Table1[Plot]=Table2[[#This Row],[Plot]]), Table1[Project ID])</f>
        <v>MJ-09</v>
      </c>
      <c r="E260" s="69">
        <v>46</v>
      </c>
      <c r="F260" s="70">
        <v>747</v>
      </c>
      <c r="G260" s="69">
        <f>Table2[[#This Row],[Time Elapsed]]+Table2[[#This Row],[Time Remaining]]</f>
        <v>793</v>
      </c>
      <c r="H260" s="136" t="s">
        <v>637</v>
      </c>
      <c r="I260" s="136" t="s">
        <v>634</v>
      </c>
      <c r="J260" s="13">
        <v>0</v>
      </c>
      <c r="K260" s="148">
        <v>0</v>
      </c>
      <c r="L260" s="13">
        <f>Table2[[#This Row],[Actual %]]-Table2[[#This Row],[Plan %]]</f>
        <v>0</v>
      </c>
      <c r="M260" s="142" t="s">
        <v>653</v>
      </c>
      <c r="N260" s="12">
        <v>46031</v>
      </c>
      <c r="O260" s="12"/>
      <c r="P260" s="12">
        <v>46031</v>
      </c>
      <c r="Q260" s="12">
        <v>45541</v>
      </c>
      <c r="R260" s="136" t="s">
        <v>640</v>
      </c>
      <c r="S260" s="136" t="s">
        <v>346</v>
      </c>
      <c r="T260" s="143" t="s">
        <v>641</v>
      </c>
      <c r="U260" s="151">
        <v>356759501</v>
      </c>
      <c r="V260" s="36"/>
      <c r="W260" s="36">
        <f>Table2[[#This Row],[Construction Contract Amount]]+Table2[[#This Row],[Cumulative Variations]]</f>
        <v>356759501</v>
      </c>
      <c r="X260" s="151">
        <v>3645800</v>
      </c>
      <c r="Y260" s="152">
        <v>0</v>
      </c>
      <c r="Z260" s="36">
        <f>Table2[[#This Row],[Final Contract Value]]+Table2[[#This Row],[Supervision Contract amount]]+Table2[[#This Row],[Authority Cost]]</f>
        <v>360405301</v>
      </c>
      <c r="AA260" s="36"/>
      <c r="AB260" s="36"/>
      <c r="AC260" s="91" t="str">
        <f t="shared" si="13"/>
        <v>https://drive.google.com/thumbnail?id=1CGnDxWakVhMcyf3ArpxC0Xg8NB2NJ04m&amp;sz=w1000</v>
      </c>
      <c r="AD260" s="172" t="s">
        <v>660</v>
      </c>
      <c r="AE260" s="74" t="str">
        <f t="shared" si="14"/>
        <v>https://drive.google.com/thumbnail?id=1hmXY9RLSychgJTsAJz7iOoJsrTTIp1VT&amp;sz=w1000</v>
      </c>
      <c r="AF260" s="172" t="s">
        <v>661</v>
      </c>
      <c r="AG260" s="73" t="str">
        <f t="shared" si="15"/>
        <v>https://drive.google.com/thumbnail?id=1E_lw9TkbspjWKBlfCTRgy2po44C1TCJP&amp;sz=w1000</v>
      </c>
      <c r="AH260" s="172" t="s">
        <v>662</v>
      </c>
    </row>
    <row r="261" spans="1:34" ht="22.15" customHeight="1">
      <c r="A261" s="30">
        <v>45534</v>
      </c>
      <c r="B261" s="134" t="s">
        <v>106</v>
      </c>
      <c r="C261" s="48" t="s">
        <v>109</v>
      </c>
      <c r="D261" s="16" t="str" cm="1">
        <f t="array" ref="D261">_xlfn.XLOOKUP(1, (Table1[Project Name]=Table2[[#This Row],[Project ID]])*(Table1[Plot]=Table2[[#This Row],[Plot]]), Table1[Project ID])</f>
        <v>MJ-09</v>
      </c>
      <c r="E261" s="69">
        <v>46</v>
      </c>
      <c r="F261" s="70">
        <v>747</v>
      </c>
      <c r="G261" s="69">
        <f>Table2[[#This Row],[Time Elapsed]]+Table2[[#This Row],[Time Remaining]]</f>
        <v>793</v>
      </c>
      <c r="H261" s="136" t="s">
        <v>636</v>
      </c>
      <c r="I261" s="136" t="s">
        <v>634</v>
      </c>
      <c r="J261" s="13">
        <v>0</v>
      </c>
      <c r="K261" s="148">
        <v>0</v>
      </c>
      <c r="L261" s="13">
        <f>Table2[[#This Row],[Actual %]]-Table2[[#This Row],[Plan %]]</f>
        <v>0</v>
      </c>
      <c r="M261" s="142" t="s">
        <v>654</v>
      </c>
      <c r="N261" s="12">
        <v>46225</v>
      </c>
      <c r="O261" s="12"/>
      <c r="P261" s="12">
        <v>46225</v>
      </c>
      <c r="Q261" s="12">
        <v>45541</v>
      </c>
      <c r="R261" s="136" t="s">
        <v>640</v>
      </c>
      <c r="S261" s="136" t="s">
        <v>346</v>
      </c>
      <c r="T261" s="143" t="s">
        <v>641</v>
      </c>
      <c r="U261" s="151">
        <v>356759501</v>
      </c>
      <c r="V261" s="36"/>
      <c r="W261" s="36">
        <f>Table2[[#This Row],[Construction Contract Amount]]+Table2[[#This Row],[Cumulative Variations]]</f>
        <v>356759501</v>
      </c>
      <c r="X261" s="151">
        <v>3645800</v>
      </c>
      <c r="Y261" s="152">
        <v>0</v>
      </c>
      <c r="Z261" s="36">
        <f>Table2[[#This Row],[Final Contract Value]]+Table2[[#This Row],[Supervision Contract amount]]+Table2[[#This Row],[Authority Cost]]</f>
        <v>360405301</v>
      </c>
      <c r="AA261" s="36"/>
      <c r="AB261" s="36"/>
      <c r="AC261" s="91" t="str">
        <f t="shared" si="13"/>
        <v>https://drive.google.com/thumbnail?id=1CGnDxWakVhMcyf3ArpxC0Xg8NB2NJ04m&amp;sz=w1000</v>
      </c>
      <c r="AD261" s="172" t="s">
        <v>660</v>
      </c>
      <c r="AE261" s="74" t="str">
        <f t="shared" si="14"/>
        <v>https://drive.google.com/thumbnail?id=1hmXY9RLSychgJTsAJz7iOoJsrTTIp1VT&amp;sz=w1000</v>
      </c>
      <c r="AF261" s="172" t="s">
        <v>661</v>
      </c>
      <c r="AG261" s="73" t="str">
        <f t="shared" si="15"/>
        <v>https://drive.google.com/thumbnail?id=1E_lw9TkbspjWKBlfCTRgy2po44C1TCJP&amp;sz=w1000</v>
      </c>
      <c r="AH261" s="172" t="s">
        <v>662</v>
      </c>
    </row>
    <row r="262" spans="1:34" ht="22.15" customHeight="1">
      <c r="A262" s="30">
        <v>45534</v>
      </c>
      <c r="B262" s="134" t="s">
        <v>106</v>
      </c>
      <c r="C262" s="48" t="s">
        <v>109</v>
      </c>
      <c r="D262" s="16" t="str" cm="1">
        <f t="array" ref="D262">_xlfn.XLOOKUP(1, (Table1[Project Name]=Table2[[#This Row],[Project ID]])*(Table1[Plot]=Table2[[#This Row],[Plot]]), Table1[Project ID])</f>
        <v>MJ-09</v>
      </c>
      <c r="E262" s="69">
        <v>46</v>
      </c>
      <c r="F262" s="70">
        <v>747</v>
      </c>
      <c r="G262" s="69">
        <f>Table2[[#This Row],[Time Elapsed]]+Table2[[#This Row],[Time Remaining]]</f>
        <v>793</v>
      </c>
      <c r="H262" s="136" t="s">
        <v>637</v>
      </c>
      <c r="I262" s="136" t="s">
        <v>634</v>
      </c>
      <c r="J262" s="13">
        <v>0</v>
      </c>
      <c r="K262" s="148">
        <v>0</v>
      </c>
      <c r="L262" s="13">
        <f>Table2[[#This Row],[Actual %]]-Table2[[#This Row],[Plan %]]</f>
        <v>0</v>
      </c>
      <c r="M262" s="142" t="s">
        <v>655</v>
      </c>
      <c r="N262" s="12">
        <v>46234</v>
      </c>
      <c r="O262" s="12"/>
      <c r="P262" s="12">
        <v>46234</v>
      </c>
      <c r="Q262" s="12">
        <v>45541</v>
      </c>
      <c r="R262" s="136" t="s">
        <v>640</v>
      </c>
      <c r="S262" s="136" t="s">
        <v>346</v>
      </c>
      <c r="T262" s="143" t="s">
        <v>641</v>
      </c>
      <c r="U262" s="151">
        <v>356759501</v>
      </c>
      <c r="V262" s="36"/>
      <c r="W262" s="36">
        <f>Table2[[#This Row],[Construction Contract Amount]]+Table2[[#This Row],[Cumulative Variations]]</f>
        <v>356759501</v>
      </c>
      <c r="X262" s="151">
        <v>3645800</v>
      </c>
      <c r="Y262" s="152">
        <v>0</v>
      </c>
      <c r="Z262" s="36">
        <f>Table2[[#This Row],[Final Contract Value]]+Table2[[#This Row],[Supervision Contract amount]]+Table2[[#This Row],[Authority Cost]]</f>
        <v>360405301</v>
      </c>
      <c r="AA262" s="36"/>
      <c r="AB262" s="36"/>
      <c r="AC262" s="91" t="str">
        <f t="shared" si="13"/>
        <v>https://drive.google.com/thumbnail?id=1CGnDxWakVhMcyf3ArpxC0Xg8NB2NJ04m&amp;sz=w1000</v>
      </c>
      <c r="AD262" s="172" t="s">
        <v>660</v>
      </c>
      <c r="AE262" s="74" t="str">
        <f t="shared" si="14"/>
        <v>https://drive.google.com/thumbnail?id=1hmXY9RLSychgJTsAJz7iOoJsrTTIp1VT&amp;sz=w1000</v>
      </c>
      <c r="AF262" s="172" t="s">
        <v>661</v>
      </c>
      <c r="AG262" s="73" t="str">
        <f t="shared" si="15"/>
        <v>https://drive.google.com/thumbnail?id=1E_lw9TkbspjWKBlfCTRgy2po44C1TCJP&amp;sz=w1000</v>
      </c>
      <c r="AH262" s="172" t="s">
        <v>662</v>
      </c>
    </row>
    <row r="263" spans="1:34" ht="22.15" customHeight="1">
      <c r="A263" s="30">
        <v>45534</v>
      </c>
      <c r="B263" s="134" t="s">
        <v>106</v>
      </c>
      <c r="C263" s="48" t="s">
        <v>109</v>
      </c>
      <c r="D263" s="16" t="str" cm="1">
        <f t="array" ref="D263">_xlfn.XLOOKUP(1, (Table1[Project Name]=Table2[[#This Row],[Project ID]])*(Table1[Plot]=Table2[[#This Row],[Plot]]), Table1[Project ID])</f>
        <v>MJ-09</v>
      </c>
      <c r="E263" s="69">
        <v>46</v>
      </c>
      <c r="F263" s="70">
        <v>747</v>
      </c>
      <c r="G263" s="69">
        <f>Table2[[#This Row],[Time Elapsed]]+Table2[[#This Row],[Time Remaining]]</f>
        <v>793</v>
      </c>
      <c r="H263" s="136" t="s">
        <v>636</v>
      </c>
      <c r="I263" s="136" t="s">
        <v>634</v>
      </c>
      <c r="J263" s="13">
        <v>0</v>
      </c>
      <c r="K263" s="148">
        <v>0</v>
      </c>
      <c r="L263" s="13">
        <f>Table2[[#This Row],[Actual %]]-Table2[[#This Row],[Plan %]]</f>
        <v>0</v>
      </c>
      <c r="M263" s="142" t="s">
        <v>656</v>
      </c>
      <c r="N263" s="12">
        <v>45789</v>
      </c>
      <c r="O263" s="12"/>
      <c r="P263" s="12">
        <v>45789</v>
      </c>
      <c r="Q263" s="12">
        <v>45541</v>
      </c>
      <c r="R263" s="136" t="s">
        <v>640</v>
      </c>
      <c r="S263" s="136" t="s">
        <v>346</v>
      </c>
      <c r="T263" s="143" t="s">
        <v>641</v>
      </c>
      <c r="U263" s="151">
        <v>356759501</v>
      </c>
      <c r="V263" s="36"/>
      <c r="W263" s="36">
        <f>Table2[[#This Row],[Construction Contract Amount]]+Table2[[#This Row],[Cumulative Variations]]</f>
        <v>356759501</v>
      </c>
      <c r="X263" s="151">
        <v>3645800</v>
      </c>
      <c r="Y263" s="152">
        <v>0</v>
      </c>
      <c r="Z263" s="36">
        <f>Table2[[#This Row],[Final Contract Value]]+Table2[[#This Row],[Supervision Contract amount]]+Table2[[#This Row],[Authority Cost]]</f>
        <v>360405301</v>
      </c>
      <c r="AA263" s="36"/>
      <c r="AB263" s="36"/>
      <c r="AC263" s="91" t="str">
        <f t="shared" si="13"/>
        <v>https://drive.google.com/thumbnail?id=1CGnDxWakVhMcyf3ArpxC0Xg8NB2NJ04m&amp;sz=w1000</v>
      </c>
      <c r="AD263" s="172" t="s">
        <v>660</v>
      </c>
      <c r="AE263" s="74" t="str">
        <f t="shared" si="14"/>
        <v>https://drive.google.com/thumbnail?id=1hmXY9RLSychgJTsAJz7iOoJsrTTIp1VT&amp;sz=w1000</v>
      </c>
      <c r="AF263" s="172" t="s">
        <v>661</v>
      </c>
      <c r="AG263" s="73" t="str">
        <f t="shared" si="15"/>
        <v>https://drive.google.com/thumbnail?id=1E_lw9TkbspjWKBlfCTRgy2po44C1TCJP&amp;sz=w1000</v>
      </c>
      <c r="AH263" s="172" t="s">
        <v>662</v>
      </c>
    </row>
    <row r="264" spans="1:34" ht="22.15" customHeight="1">
      <c r="A264" s="30">
        <v>45534</v>
      </c>
      <c r="B264" s="134" t="s">
        <v>106</v>
      </c>
      <c r="C264" s="48" t="s">
        <v>109</v>
      </c>
      <c r="D264" s="16" t="str" cm="1">
        <f t="array" ref="D264">_xlfn.XLOOKUP(1, (Table1[Project Name]=Table2[[#This Row],[Project ID]])*(Table1[Plot]=Table2[[#This Row],[Plot]]), Table1[Project ID])</f>
        <v>MJ-09</v>
      </c>
      <c r="E264" s="69">
        <v>46</v>
      </c>
      <c r="F264" s="70">
        <v>747</v>
      </c>
      <c r="G264" s="69">
        <f>Table2[[#This Row],[Time Elapsed]]+Table2[[#This Row],[Time Remaining]]</f>
        <v>793</v>
      </c>
      <c r="H264" s="136" t="s">
        <v>637</v>
      </c>
      <c r="I264" s="136" t="s">
        <v>634</v>
      </c>
      <c r="J264" s="13">
        <v>0</v>
      </c>
      <c r="K264" s="148">
        <v>0</v>
      </c>
      <c r="L264" s="13">
        <f>Table2[[#This Row],[Actual %]]-Table2[[#This Row],[Plan %]]</f>
        <v>0</v>
      </c>
      <c r="M264" s="142" t="s">
        <v>282</v>
      </c>
      <c r="N264" s="12">
        <v>46126</v>
      </c>
      <c r="O264" s="12"/>
      <c r="P264" s="12">
        <v>46126</v>
      </c>
      <c r="Q264" s="12">
        <v>45541</v>
      </c>
      <c r="R264" s="136" t="s">
        <v>640</v>
      </c>
      <c r="S264" s="136" t="s">
        <v>346</v>
      </c>
      <c r="T264" s="143" t="s">
        <v>641</v>
      </c>
      <c r="U264" s="151">
        <v>356759501</v>
      </c>
      <c r="V264" s="36"/>
      <c r="W264" s="36">
        <f>Table2[[#This Row],[Construction Contract Amount]]+Table2[[#This Row],[Cumulative Variations]]</f>
        <v>356759501</v>
      </c>
      <c r="X264" s="151">
        <v>3645800</v>
      </c>
      <c r="Y264" s="152">
        <v>0</v>
      </c>
      <c r="Z264" s="36">
        <f>Table2[[#This Row],[Final Contract Value]]+Table2[[#This Row],[Supervision Contract amount]]+Table2[[#This Row],[Authority Cost]]</f>
        <v>360405301</v>
      </c>
      <c r="AA264" s="36"/>
      <c r="AB264" s="36"/>
      <c r="AC264" s="91" t="str">
        <f t="shared" si="13"/>
        <v>https://drive.google.com/thumbnail?id=1CGnDxWakVhMcyf3ArpxC0Xg8NB2NJ04m&amp;sz=w1000</v>
      </c>
      <c r="AD264" s="172" t="s">
        <v>660</v>
      </c>
      <c r="AE264" s="74" t="str">
        <f t="shared" si="14"/>
        <v>https://drive.google.com/thumbnail?id=1hmXY9RLSychgJTsAJz7iOoJsrTTIp1VT&amp;sz=w1000</v>
      </c>
      <c r="AF264" s="172" t="s">
        <v>661</v>
      </c>
      <c r="AG264" s="73" t="str">
        <f t="shared" si="15"/>
        <v>https://drive.google.com/thumbnail?id=1E_lw9TkbspjWKBlfCTRgy2po44C1TCJP&amp;sz=w1000</v>
      </c>
      <c r="AH264" s="172" t="s">
        <v>662</v>
      </c>
    </row>
    <row r="265" spans="1:34" ht="22.15" customHeight="1">
      <c r="A265" s="30">
        <v>45534</v>
      </c>
      <c r="B265" s="134" t="s">
        <v>106</v>
      </c>
      <c r="C265" s="48" t="s">
        <v>109</v>
      </c>
      <c r="D265" s="16" t="str" cm="1">
        <f t="array" ref="D265">_xlfn.XLOOKUP(1, (Table1[Project Name]=Table2[[#This Row],[Project ID]])*(Table1[Plot]=Table2[[#This Row],[Plot]]), Table1[Project ID])</f>
        <v>MJ-09</v>
      </c>
      <c r="E265" s="69">
        <v>46</v>
      </c>
      <c r="F265" s="70">
        <v>747</v>
      </c>
      <c r="G265" s="69">
        <f>Table2[[#This Row],[Time Elapsed]]+Table2[[#This Row],[Time Remaining]]</f>
        <v>793</v>
      </c>
      <c r="H265" s="136" t="s">
        <v>636</v>
      </c>
      <c r="I265" s="136" t="s">
        <v>634</v>
      </c>
      <c r="J265" s="13">
        <v>0</v>
      </c>
      <c r="K265" s="148">
        <v>0</v>
      </c>
      <c r="L265" s="13">
        <f>Table2[[#This Row],[Actual %]]-Table2[[#This Row],[Plan %]]</f>
        <v>0</v>
      </c>
      <c r="M265" s="142" t="s">
        <v>283</v>
      </c>
      <c r="N265" s="12">
        <v>46286</v>
      </c>
      <c r="O265" s="12"/>
      <c r="P265" s="12">
        <v>46286</v>
      </c>
      <c r="Q265" s="12">
        <v>45541</v>
      </c>
      <c r="R265" s="136" t="s">
        <v>640</v>
      </c>
      <c r="S265" s="136" t="s">
        <v>346</v>
      </c>
      <c r="T265" s="143" t="s">
        <v>641</v>
      </c>
      <c r="U265" s="151">
        <v>356759501</v>
      </c>
      <c r="V265" s="36"/>
      <c r="W265" s="36">
        <f>Table2[[#This Row],[Construction Contract Amount]]+Table2[[#This Row],[Cumulative Variations]]</f>
        <v>356759501</v>
      </c>
      <c r="X265" s="151">
        <v>3645800</v>
      </c>
      <c r="Y265" s="152">
        <v>0</v>
      </c>
      <c r="Z265" s="36">
        <f>Table2[[#This Row],[Final Contract Value]]+Table2[[#This Row],[Supervision Contract amount]]+Table2[[#This Row],[Authority Cost]]</f>
        <v>360405301</v>
      </c>
      <c r="AA265" s="36"/>
      <c r="AB265" s="36"/>
      <c r="AC265" s="91" t="str">
        <f t="shared" si="13"/>
        <v>https://drive.google.com/thumbnail?id=1CGnDxWakVhMcyf3ArpxC0Xg8NB2NJ04m&amp;sz=w1000</v>
      </c>
      <c r="AD265" s="172" t="s">
        <v>660</v>
      </c>
      <c r="AE265" s="74" t="str">
        <f t="shared" si="14"/>
        <v>https://drive.google.com/thumbnail?id=1hmXY9RLSychgJTsAJz7iOoJsrTTIp1VT&amp;sz=w1000</v>
      </c>
      <c r="AF265" s="172" t="s">
        <v>661</v>
      </c>
      <c r="AG265" s="73" t="str">
        <f t="shared" si="15"/>
        <v>https://drive.google.com/thumbnail?id=1E_lw9TkbspjWKBlfCTRgy2po44C1TCJP&amp;sz=w1000</v>
      </c>
      <c r="AH265" s="172" t="s">
        <v>662</v>
      </c>
    </row>
    <row r="266" spans="1:34" ht="22.15" customHeight="1">
      <c r="A266" s="30">
        <v>45534</v>
      </c>
      <c r="B266" s="134" t="s">
        <v>106</v>
      </c>
      <c r="C266" s="48" t="s">
        <v>109</v>
      </c>
      <c r="D266" s="16" t="str" cm="1">
        <f t="array" ref="D266">_xlfn.XLOOKUP(1, (Table1[Project Name]=Table2[[#This Row],[Project ID]])*(Table1[Plot]=Table2[[#This Row],[Plot]]), Table1[Project ID])</f>
        <v>MJ-09</v>
      </c>
      <c r="E266" s="69">
        <v>46</v>
      </c>
      <c r="F266" s="70">
        <v>747</v>
      </c>
      <c r="G266" s="69">
        <f>Table2[[#This Row],[Time Elapsed]]+Table2[[#This Row],[Time Remaining]]</f>
        <v>793</v>
      </c>
      <c r="H266" s="136" t="s">
        <v>637</v>
      </c>
      <c r="I266" s="136" t="s">
        <v>634</v>
      </c>
      <c r="J266" s="13">
        <v>0</v>
      </c>
      <c r="K266" s="148">
        <v>0</v>
      </c>
      <c r="L266" s="13">
        <f>Table2[[#This Row],[Actual %]]-Table2[[#This Row],[Plan %]]</f>
        <v>0</v>
      </c>
      <c r="M266" s="142" t="s">
        <v>649</v>
      </c>
      <c r="N266" s="12">
        <v>46304</v>
      </c>
      <c r="O266" s="12"/>
      <c r="P266" s="12">
        <v>46304</v>
      </c>
      <c r="Q266" s="12">
        <v>45541</v>
      </c>
      <c r="R266" s="136" t="s">
        <v>640</v>
      </c>
      <c r="S266" s="136" t="s">
        <v>346</v>
      </c>
      <c r="T266" s="143" t="s">
        <v>641</v>
      </c>
      <c r="U266" s="151">
        <v>356759501</v>
      </c>
      <c r="V266" s="36"/>
      <c r="W266" s="36">
        <f>Table2[[#This Row],[Construction Contract Amount]]+Table2[[#This Row],[Cumulative Variations]]</f>
        <v>356759501</v>
      </c>
      <c r="X266" s="151">
        <v>3645800</v>
      </c>
      <c r="Y266" s="152">
        <v>0</v>
      </c>
      <c r="Z266" s="36">
        <f>Table2[[#This Row],[Final Contract Value]]+Table2[[#This Row],[Supervision Contract amount]]+Table2[[#This Row],[Authority Cost]]</f>
        <v>360405301</v>
      </c>
      <c r="AA266" s="36"/>
      <c r="AB266" s="36"/>
      <c r="AC266" s="91" t="str">
        <f t="shared" si="13"/>
        <v>https://drive.google.com/thumbnail?id=1CGnDxWakVhMcyf3ArpxC0Xg8NB2NJ04m&amp;sz=w1000</v>
      </c>
      <c r="AD266" s="172" t="s">
        <v>660</v>
      </c>
      <c r="AE266" s="74" t="str">
        <f t="shared" si="14"/>
        <v>https://drive.google.com/thumbnail?id=1hmXY9RLSychgJTsAJz7iOoJsrTTIp1VT&amp;sz=w1000</v>
      </c>
      <c r="AF266" s="172" t="s">
        <v>661</v>
      </c>
      <c r="AG266" s="73" t="str">
        <f t="shared" si="15"/>
        <v>https://drive.google.com/thumbnail?id=1E_lw9TkbspjWKBlfCTRgy2po44C1TCJP&amp;sz=w1000</v>
      </c>
      <c r="AH266" s="172" t="s">
        <v>662</v>
      </c>
    </row>
    <row r="267" spans="1:34" ht="22.15" customHeight="1">
      <c r="A267" s="30">
        <v>45534</v>
      </c>
      <c r="B267" s="134" t="s">
        <v>106</v>
      </c>
      <c r="C267" s="48" t="s">
        <v>109</v>
      </c>
      <c r="D267" s="16" t="str" cm="1">
        <f t="array" ref="D267">_xlfn.XLOOKUP(1, (Table1[Project Name]=Table2[[#This Row],[Project ID]])*(Table1[Plot]=Table2[[#This Row],[Plot]]), Table1[Project ID])</f>
        <v>MJ-09</v>
      </c>
      <c r="E267" s="69">
        <v>46</v>
      </c>
      <c r="F267" s="70">
        <v>747</v>
      </c>
      <c r="G267" s="69">
        <f>Table2[[#This Row],[Time Elapsed]]+Table2[[#This Row],[Time Remaining]]</f>
        <v>793</v>
      </c>
      <c r="H267" s="136" t="s">
        <v>638</v>
      </c>
      <c r="I267" s="136" t="s">
        <v>634</v>
      </c>
      <c r="J267" s="13">
        <v>0</v>
      </c>
      <c r="K267" s="148">
        <v>0</v>
      </c>
      <c r="L267" s="13">
        <f>Table2[[#This Row],[Actual %]]-Table2[[#This Row],[Plan %]]</f>
        <v>0</v>
      </c>
      <c r="M267" s="142" t="s">
        <v>284</v>
      </c>
      <c r="N267" s="12">
        <v>46288</v>
      </c>
      <c r="O267" s="12"/>
      <c r="P267" s="12">
        <v>46288</v>
      </c>
      <c r="Q267" s="12">
        <v>45541</v>
      </c>
      <c r="R267" s="136" t="s">
        <v>640</v>
      </c>
      <c r="S267" s="136" t="s">
        <v>346</v>
      </c>
      <c r="T267" s="143" t="s">
        <v>641</v>
      </c>
      <c r="U267" s="151">
        <v>356759501</v>
      </c>
      <c r="V267" s="36"/>
      <c r="W267" s="36">
        <f>Table2[[#This Row],[Construction Contract Amount]]+Table2[[#This Row],[Cumulative Variations]]</f>
        <v>356759501</v>
      </c>
      <c r="X267" s="151">
        <v>3645800</v>
      </c>
      <c r="Y267" s="152">
        <v>0</v>
      </c>
      <c r="Z267" s="36">
        <f>Table2[[#This Row],[Final Contract Value]]+Table2[[#This Row],[Supervision Contract amount]]+Table2[[#This Row],[Authority Cost]]</f>
        <v>360405301</v>
      </c>
      <c r="AA267" s="36"/>
      <c r="AB267" s="36"/>
      <c r="AC267" s="91" t="str">
        <f t="shared" si="13"/>
        <v>https://drive.google.com/thumbnail?id=1CGnDxWakVhMcyf3ArpxC0Xg8NB2NJ04m&amp;sz=w1000</v>
      </c>
      <c r="AD267" s="172" t="s">
        <v>660</v>
      </c>
      <c r="AE267" s="74" t="str">
        <f t="shared" si="14"/>
        <v>https://drive.google.com/thumbnail?id=1hmXY9RLSychgJTsAJz7iOoJsrTTIp1VT&amp;sz=w1000</v>
      </c>
      <c r="AF267" s="172" t="s">
        <v>661</v>
      </c>
      <c r="AG267" s="73" t="str">
        <f t="shared" si="15"/>
        <v>https://drive.google.com/thumbnail?id=1E_lw9TkbspjWKBlfCTRgy2po44C1TCJP&amp;sz=w1000</v>
      </c>
      <c r="AH267" s="172" t="s">
        <v>662</v>
      </c>
    </row>
    <row r="268" spans="1:34" ht="33" customHeight="1">
      <c r="A268" s="30">
        <v>45534</v>
      </c>
      <c r="B268" s="24" t="s">
        <v>96</v>
      </c>
      <c r="C268" s="2" t="s">
        <v>99</v>
      </c>
      <c r="D268" s="16" t="str" cm="1">
        <f t="array" ref="D268">_xlfn.XLOOKUP(1, (Table1[Project Name]=Table2[[#This Row],[Project ID]])*(Table1[Plot]=Table2[[#This Row],[Plot]]), Table1[Project ID])</f>
        <v>MJ-05</v>
      </c>
      <c r="E268" s="69">
        <v>96</v>
      </c>
      <c r="F268" s="70">
        <v>634</v>
      </c>
      <c r="G268" s="69">
        <f>Table2[[#This Row],[Time Elapsed]]+Table2[[#This Row],[Time Remaining]]</f>
        <v>730</v>
      </c>
      <c r="H268" s="136" t="s">
        <v>663</v>
      </c>
      <c r="I268" s="136" t="s">
        <v>664</v>
      </c>
      <c r="J268" s="13">
        <v>6.9800000000000001E-2</v>
      </c>
      <c r="K268" s="13">
        <v>7.5999999999999998E-2</v>
      </c>
      <c r="L268" s="13">
        <f>Table2[[#This Row],[Actual %]]-Table2[[#This Row],[Plan %]]</f>
        <v>6.1999999999999972E-3</v>
      </c>
      <c r="M268" s="144" t="s">
        <v>28</v>
      </c>
      <c r="N268" s="12">
        <v>45446</v>
      </c>
      <c r="O268" s="12">
        <v>45446</v>
      </c>
      <c r="P268" s="12"/>
      <c r="Q268" s="12">
        <v>45541</v>
      </c>
      <c r="R268" s="146" t="s">
        <v>667</v>
      </c>
      <c r="S268" s="146" t="s">
        <v>668</v>
      </c>
      <c r="T268" s="143" t="s">
        <v>669</v>
      </c>
      <c r="U268" s="153">
        <v>130388712.65000001</v>
      </c>
      <c r="V268" s="154">
        <v>0</v>
      </c>
      <c r="W268" s="36">
        <f>Table2[[#This Row],[Construction Contract Amount]]+Table2[[#This Row],[Cumulative Variations]]</f>
        <v>130388712.65000001</v>
      </c>
      <c r="X268" s="36">
        <v>4662507.03</v>
      </c>
      <c r="Y268" s="36">
        <v>0</v>
      </c>
      <c r="Z268" s="36">
        <f>Table2[[#This Row],[Final Contract Value]]+Table2[[#This Row],[Supervision Contract amount]]+Table2[[#This Row],[Authority Cost]]</f>
        <v>135051219.68000001</v>
      </c>
      <c r="AA268" s="140">
        <v>13053810</v>
      </c>
      <c r="AB268" s="139"/>
      <c r="AC268" s="91" t="str">
        <f t="shared" si="13"/>
        <v>https://drive.google.com/thumbnail?id=1zxbs_azC4N6-X3OZD0Sz6VP6Xjewm9-8&amp;sz=w1000</v>
      </c>
      <c r="AD268" s="173" t="s">
        <v>673</v>
      </c>
      <c r="AE268" s="74" t="str">
        <f t="shared" si="14"/>
        <v>https://drive.google.com/thumbnail?id=1tQyDFiR7dq4GijMcq4Q92uVh9nI1y4mw&amp;sz=w1000</v>
      </c>
      <c r="AF268" s="173" t="s">
        <v>674</v>
      </c>
      <c r="AG268" s="73" t="str">
        <f t="shared" si="15"/>
        <v>https://drive.google.com/thumbnail?id=1KD8Xfrs6ZPDDeNsgaKv-b1oJyOORtcmH&amp;sz=w1000</v>
      </c>
      <c r="AH268" s="173" t="s">
        <v>675</v>
      </c>
    </row>
    <row r="269" spans="1:34" ht="22.15" customHeight="1">
      <c r="A269" s="30">
        <v>45534</v>
      </c>
      <c r="B269" s="24" t="s">
        <v>96</v>
      </c>
      <c r="C269" s="2" t="s">
        <v>99</v>
      </c>
      <c r="D269" s="16" t="str" cm="1">
        <f t="array" ref="D269">_xlfn.XLOOKUP(1, (Table1[Project Name]=Table2[[#This Row],[Project ID]])*(Table1[Plot]=Table2[[#This Row],[Plot]]), Table1[Project ID])</f>
        <v>MJ-05</v>
      </c>
      <c r="E269" s="69">
        <v>96</v>
      </c>
      <c r="F269" s="70">
        <v>634</v>
      </c>
      <c r="G269" s="69">
        <f>Table2[[#This Row],[Time Elapsed]]+Table2[[#This Row],[Time Remaining]]</f>
        <v>730</v>
      </c>
      <c r="H269" s="136" t="s">
        <v>663</v>
      </c>
      <c r="I269" s="136" t="s">
        <v>664</v>
      </c>
      <c r="J269" s="13">
        <v>6.9800000000000001E-2</v>
      </c>
      <c r="K269" s="13">
        <v>7.5999999999999998E-2</v>
      </c>
      <c r="L269" s="13">
        <f>Table2[[#This Row],[Actual %]]-Table2[[#This Row],[Plan %]]</f>
        <v>6.1999999999999972E-3</v>
      </c>
      <c r="M269" s="144" t="s">
        <v>50</v>
      </c>
      <c r="N269" s="12">
        <v>45455</v>
      </c>
      <c r="O269" s="12">
        <v>45434</v>
      </c>
      <c r="P269" s="12"/>
      <c r="Q269" s="12">
        <v>45541</v>
      </c>
      <c r="R269" s="146" t="s">
        <v>667</v>
      </c>
      <c r="S269" s="146" t="s">
        <v>668</v>
      </c>
      <c r="T269" s="143" t="s">
        <v>669</v>
      </c>
      <c r="U269" s="153">
        <v>130388712.65000001</v>
      </c>
      <c r="V269" s="154">
        <v>0</v>
      </c>
      <c r="W269" s="36">
        <f>Table2[[#This Row],[Construction Contract Amount]]+Table2[[#This Row],[Cumulative Variations]]</f>
        <v>130388712.65000001</v>
      </c>
      <c r="X269" s="36">
        <v>4662507.03</v>
      </c>
      <c r="Y269" s="36">
        <v>0</v>
      </c>
      <c r="Z269" s="36">
        <f>Table2[[#This Row],[Final Contract Value]]+Table2[[#This Row],[Supervision Contract amount]]+Table2[[#This Row],[Authority Cost]]</f>
        <v>135051219.68000001</v>
      </c>
      <c r="AA269" s="140">
        <v>13053810</v>
      </c>
      <c r="AB269" s="139"/>
      <c r="AC269" s="91" t="str">
        <f t="shared" si="13"/>
        <v>https://drive.google.com/thumbnail?id=1zxbs_azC4N6-X3OZD0Sz6VP6Xjewm9-8&amp;sz=w1000</v>
      </c>
      <c r="AD269" s="173" t="s">
        <v>673</v>
      </c>
      <c r="AE269" s="74" t="str">
        <f t="shared" si="14"/>
        <v>https://drive.google.com/thumbnail?id=1tQyDFiR7dq4GijMcq4Q92uVh9nI1y4mw&amp;sz=w1000</v>
      </c>
      <c r="AF269" s="173" t="s">
        <v>674</v>
      </c>
      <c r="AG269" s="73" t="str">
        <f t="shared" si="15"/>
        <v>https://drive.google.com/thumbnail?id=1KD8Xfrs6ZPDDeNsgaKv-b1oJyOORtcmH&amp;sz=w1000</v>
      </c>
      <c r="AH269" s="173" t="s">
        <v>675</v>
      </c>
    </row>
    <row r="270" spans="1:34" ht="22.15" customHeight="1">
      <c r="A270" s="30">
        <v>45534</v>
      </c>
      <c r="B270" s="24" t="s">
        <v>96</v>
      </c>
      <c r="C270" s="2" t="s">
        <v>99</v>
      </c>
      <c r="D270" s="16" t="str" cm="1">
        <f t="array" ref="D270">_xlfn.XLOOKUP(1, (Table1[Project Name]=Table2[[#This Row],[Project ID]])*(Table1[Plot]=Table2[[#This Row],[Plot]]), Table1[Project ID])</f>
        <v>MJ-05</v>
      </c>
      <c r="E270" s="69">
        <v>96</v>
      </c>
      <c r="F270" s="70">
        <v>634</v>
      </c>
      <c r="G270" s="69">
        <f>Table2[[#This Row],[Time Elapsed]]+Table2[[#This Row],[Time Remaining]]</f>
        <v>730</v>
      </c>
      <c r="H270" s="136" t="s">
        <v>663</v>
      </c>
      <c r="I270" s="136" t="s">
        <v>664</v>
      </c>
      <c r="J270" s="13">
        <v>6.9800000000000001E-2</v>
      </c>
      <c r="K270" s="13">
        <v>7.5999999999999998E-2</v>
      </c>
      <c r="L270" s="13">
        <f>Table2[[#This Row],[Actual %]]-Table2[[#This Row],[Plan %]]</f>
        <v>6.1999999999999972E-3</v>
      </c>
      <c r="M270" s="144" t="s">
        <v>51</v>
      </c>
      <c r="N270" s="12">
        <v>45483</v>
      </c>
      <c r="O270" s="12">
        <v>45512</v>
      </c>
      <c r="P270" s="12">
        <v>45512</v>
      </c>
      <c r="Q270" s="12">
        <v>45541</v>
      </c>
      <c r="R270" s="146" t="s">
        <v>667</v>
      </c>
      <c r="S270" s="146" t="s">
        <v>668</v>
      </c>
      <c r="T270" s="143" t="s">
        <v>669</v>
      </c>
      <c r="U270" s="153">
        <v>130388712.65000001</v>
      </c>
      <c r="V270" s="154">
        <v>0</v>
      </c>
      <c r="W270" s="36">
        <f>Table2[[#This Row],[Construction Contract Amount]]+Table2[[#This Row],[Cumulative Variations]]</f>
        <v>130388712.65000001</v>
      </c>
      <c r="X270" s="36">
        <v>4662507.03</v>
      </c>
      <c r="Y270" s="36">
        <v>0</v>
      </c>
      <c r="Z270" s="36">
        <f>Table2[[#This Row],[Final Contract Value]]+Table2[[#This Row],[Supervision Contract amount]]+Table2[[#This Row],[Authority Cost]]</f>
        <v>135051219.68000001</v>
      </c>
      <c r="AA270" s="140">
        <v>13053810</v>
      </c>
      <c r="AB270" s="139"/>
      <c r="AC270" s="91" t="str">
        <f t="shared" si="13"/>
        <v>https://drive.google.com/thumbnail?id=1zxbs_azC4N6-X3OZD0Sz6VP6Xjewm9-8&amp;sz=w1000</v>
      </c>
      <c r="AD270" s="173" t="s">
        <v>673</v>
      </c>
      <c r="AE270" s="74" t="str">
        <f t="shared" si="14"/>
        <v>https://drive.google.com/thumbnail?id=1tQyDFiR7dq4GijMcq4Q92uVh9nI1y4mw&amp;sz=w1000</v>
      </c>
      <c r="AF270" s="173" t="s">
        <v>674</v>
      </c>
      <c r="AG270" s="73" t="str">
        <f t="shared" si="15"/>
        <v>https://drive.google.com/thumbnail?id=1KD8Xfrs6ZPDDeNsgaKv-b1oJyOORtcmH&amp;sz=w1000</v>
      </c>
      <c r="AH270" s="173" t="s">
        <v>675</v>
      </c>
    </row>
    <row r="271" spans="1:34" ht="22.15" customHeight="1">
      <c r="A271" s="30">
        <v>45534</v>
      </c>
      <c r="B271" s="24" t="s">
        <v>96</v>
      </c>
      <c r="C271" s="2" t="s">
        <v>99</v>
      </c>
      <c r="D271" s="16" t="str" cm="1">
        <f t="array" ref="D271">_xlfn.XLOOKUP(1, (Table1[Project Name]=Table2[[#This Row],[Project ID]])*(Table1[Plot]=Table2[[#This Row],[Plot]]), Table1[Project ID])</f>
        <v>MJ-05</v>
      </c>
      <c r="E271" s="69">
        <v>96</v>
      </c>
      <c r="F271" s="70">
        <v>634</v>
      </c>
      <c r="G271" s="69">
        <f>Table2[[#This Row],[Time Elapsed]]+Table2[[#This Row],[Time Remaining]]</f>
        <v>730</v>
      </c>
      <c r="H271" s="136" t="s">
        <v>663</v>
      </c>
      <c r="I271" s="136" t="s">
        <v>664</v>
      </c>
      <c r="J271" s="13">
        <v>6.9800000000000001E-2</v>
      </c>
      <c r="K271" s="13">
        <v>7.5999999999999998E-2</v>
      </c>
      <c r="L271" s="13">
        <f>Table2[[#This Row],[Actual %]]-Table2[[#This Row],[Plan %]]</f>
        <v>6.1999999999999972E-3</v>
      </c>
      <c r="M271" s="144" t="s">
        <v>275</v>
      </c>
      <c r="N271" s="12">
        <v>45563</v>
      </c>
      <c r="O271" s="12"/>
      <c r="P271" s="12">
        <v>45563</v>
      </c>
      <c r="Q271" s="12">
        <v>45541</v>
      </c>
      <c r="R271" s="146" t="s">
        <v>667</v>
      </c>
      <c r="S271" s="146" t="s">
        <v>668</v>
      </c>
      <c r="T271" s="143" t="s">
        <v>669</v>
      </c>
      <c r="U271" s="153">
        <v>130388712.65000001</v>
      </c>
      <c r="V271" s="154">
        <v>0</v>
      </c>
      <c r="W271" s="36">
        <f>Table2[[#This Row],[Construction Contract Amount]]+Table2[[#This Row],[Cumulative Variations]]</f>
        <v>130388712.65000001</v>
      </c>
      <c r="X271" s="36">
        <v>4662507.03</v>
      </c>
      <c r="Y271" s="36">
        <v>0</v>
      </c>
      <c r="Z271" s="36">
        <f>Table2[[#This Row],[Final Contract Value]]+Table2[[#This Row],[Supervision Contract amount]]+Table2[[#This Row],[Authority Cost]]</f>
        <v>135051219.68000001</v>
      </c>
      <c r="AA271" s="140">
        <v>13053810</v>
      </c>
      <c r="AB271" s="139"/>
      <c r="AC271" s="91" t="str">
        <f t="shared" si="13"/>
        <v>https://drive.google.com/thumbnail?id=1zxbs_azC4N6-X3OZD0Sz6VP6Xjewm9-8&amp;sz=w1000</v>
      </c>
      <c r="AD271" s="173" t="s">
        <v>673</v>
      </c>
      <c r="AE271" s="74" t="str">
        <f t="shared" si="14"/>
        <v>https://drive.google.com/thumbnail?id=1tQyDFiR7dq4GijMcq4Q92uVh9nI1y4mw&amp;sz=w1000</v>
      </c>
      <c r="AF271" s="173" t="s">
        <v>674</v>
      </c>
      <c r="AG271" s="73" t="str">
        <f t="shared" si="15"/>
        <v>https://drive.google.com/thumbnail?id=1KD8Xfrs6ZPDDeNsgaKv-b1oJyOORtcmH&amp;sz=w1000</v>
      </c>
      <c r="AH271" s="173" t="s">
        <v>675</v>
      </c>
    </row>
    <row r="272" spans="1:34" ht="22.15" customHeight="1">
      <c r="A272" s="30">
        <v>45534</v>
      </c>
      <c r="B272" s="24" t="s">
        <v>96</v>
      </c>
      <c r="C272" s="2" t="s">
        <v>99</v>
      </c>
      <c r="D272" s="16" t="str" cm="1">
        <f t="array" ref="D272">_xlfn.XLOOKUP(1, (Table1[Project Name]=Table2[[#This Row],[Project ID]])*(Table1[Plot]=Table2[[#This Row],[Plot]]), Table1[Project ID])</f>
        <v>MJ-05</v>
      </c>
      <c r="E272" s="69">
        <v>96</v>
      </c>
      <c r="F272" s="70">
        <v>634</v>
      </c>
      <c r="G272" s="69">
        <f>Table2[[#This Row],[Time Elapsed]]+Table2[[#This Row],[Time Remaining]]</f>
        <v>730</v>
      </c>
      <c r="H272" s="136" t="s">
        <v>663</v>
      </c>
      <c r="I272" s="136" t="s">
        <v>664</v>
      </c>
      <c r="J272" s="13">
        <v>6.9800000000000001E-2</v>
      </c>
      <c r="K272" s="13">
        <v>7.5999999999999998E-2</v>
      </c>
      <c r="L272" s="13">
        <f>Table2[[#This Row],[Actual %]]-Table2[[#This Row],[Plan %]]</f>
        <v>6.1999999999999972E-3</v>
      </c>
      <c r="M272" s="144" t="s">
        <v>276</v>
      </c>
      <c r="N272" s="12">
        <v>45625</v>
      </c>
      <c r="O272" s="12"/>
      <c r="P272" s="12">
        <v>45625</v>
      </c>
      <c r="Q272" s="12">
        <v>45541</v>
      </c>
      <c r="R272" s="146" t="s">
        <v>667</v>
      </c>
      <c r="S272" s="146" t="s">
        <v>668</v>
      </c>
      <c r="T272" s="143" t="s">
        <v>669</v>
      </c>
      <c r="U272" s="153">
        <v>130388712.65000001</v>
      </c>
      <c r="V272" s="154">
        <v>0</v>
      </c>
      <c r="W272" s="36">
        <f>Table2[[#This Row],[Construction Contract Amount]]+Table2[[#This Row],[Cumulative Variations]]</f>
        <v>130388712.65000001</v>
      </c>
      <c r="X272" s="36">
        <v>4662507.03</v>
      </c>
      <c r="Y272" s="36">
        <v>0</v>
      </c>
      <c r="Z272" s="36">
        <f>Table2[[#This Row],[Final Contract Value]]+Table2[[#This Row],[Supervision Contract amount]]+Table2[[#This Row],[Authority Cost]]</f>
        <v>135051219.68000001</v>
      </c>
      <c r="AA272" s="140">
        <v>13053810</v>
      </c>
      <c r="AB272" s="139"/>
      <c r="AC272" s="91" t="str">
        <f t="shared" si="13"/>
        <v>https://drive.google.com/thumbnail?id=1zxbs_azC4N6-X3OZD0Sz6VP6Xjewm9-8&amp;sz=w1000</v>
      </c>
      <c r="AD272" s="173" t="s">
        <v>673</v>
      </c>
      <c r="AE272" s="74" t="str">
        <f t="shared" si="14"/>
        <v>https://drive.google.com/thumbnail?id=1tQyDFiR7dq4GijMcq4Q92uVh9nI1y4mw&amp;sz=w1000</v>
      </c>
      <c r="AF272" s="173" t="s">
        <v>674</v>
      </c>
      <c r="AG272" s="73" t="str">
        <f t="shared" si="15"/>
        <v>https://drive.google.com/thumbnail?id=1KD8Xfrs6ZPDDeNsgaKv-b1oJyOORtcmH&amp;sz=w1000</v>
      </c>
      <c r="AH272" s="173" t="s">
        <v>675</v>
      </c>
    </row>
    <row r="273" spans="1:34" ht="22.15" customHeight="1">
      <c r="A273" s="30">
        <v>45534</v>
      </c>
      <c r="B273" s="24" t="s">
        <v>96</v>
      </c>
      <c r="C273" s="2" t="s">
        <v>99</v>
      </c>
      <c r="D273" s="16" t="str" cm="1">
        <f t="array" ref="D273">_xlfn.XLOOKUP(1, (Table1[Project Name]=Table2[[#This Row],[Project ID]])*(Table1[Plot]=Table2[[#This Row],[Plot]]), Table1[Project ID])</f>
        <v>MJ-05</v>
      </c>
      <c r="E273" s="69">
        <v>96</v>
      </c>
      <c r="F273" s="70">
        <v>634</v>
      </c>
      <c r="G273" s="69">
        <f>Table2[[#This Row],[Time Elapsed]]+Table2[[#This Row],[Time Remaining]]</f>
        <v>730</v>
      </c>
      <c r="H273" s="136" t="s">
        <v>663</v>
      </c>
      <c r="I273" s="136" t="s">
        <v>664</v>
      </c>
      <c r="J273" s="13">
        <v>6.9800000000000001E-2</v>
      </c>
      <c r="K273" s="13">
        <v>7.5999999999999998E-2</v>
      </c>
      <c r="L273" s="13">
        <f>Table2[[#This Row],[Actual %]]-Table2[[#This Row],[Plan %]]</f>
        <v>6.1999999999999972E-3</v>
      </c>
      <c r="M273" s="144" t="s">
        <v>277</v>
      </c>
      <c r="N273" s="12">
        <v>45700</v>
      </c>
      <c r="O273" s="12"/>
      <c r="P273" s="12">
        <v>45700</v>
      </c>
      <c r="Q273" s="12">
        <v>45541</v>
      </c>
      <c r="R273" s="146" t="s">
        <v>667</v>
      </c>
      <c r="S273" s="146" t="s">
        <v>668</v>
      </c>
      <c r="T273" s="143" t="s">
        <v>669</v>
      </c>
      <c r="U273" s="153">
        <v>130388712.65000001</v>
      </c>
      <c r="V273" s="154">
        <v>0</v>
      </c>
      <c r="W273" s="36">
        <f>Table2[[#This Row],[Construction Contract Amount]]+Table2[[#This Row],[Cumulative Variations]]</f>
        <v>130388712.65000001</v>
      </c>
      <c r="X273" s="36">
        <v>4662507.03</v>
      </c>
      <c r="Y273" s="36">
        <v>0</v>
      </c>
      <c r="Z273" s="36">
        <f>Table2[[#This Row],[Final Contract Value]]+Table2[[#This Row],[Supervision Contract amount]]+Table2[[#This Row],[Authority Cost]]</f>
        <v>135051219.68000001</v>
      </c>
      <c r="AA273" s="140">
        <v>13053810</v>
      </c>
      <c r="AB273" s="139"/>
      <c r="AC273" s="91" t="str">
        <f t="shared" si="13"/>
        <v>https://drive.google.com/thumbnail?id=1zxbs_azC4N6-X3OZD0Sz6VP6Xjewm9-8&amp;sz=w1000</v>
      </c>
      <c r="AD273" s="173" t="s">
        <v>673</v>
      </c>
      <c r="AE273" s="74" t="str">
        <f t="shared" si="14"/>
        <v>https://drive.google.com/thumbnail?id=1tQyDFiR7dq4GijMcq4Q92uVh9nI1y4mw&amp;sz=w1000</v>
      </c>
      <c r="AF273" s="173" t="s">
        <v>674</v>
      </c>
      <c r="AG273" s="73" t="str">
        <f t="shared" si="15"/>
        <v>https://drive.google.com/thumbnail?id=1KD8Xfrs6ZPDDeNsgaKv-b1oJyOORtcmH&amp;sz=w1000</v>
      </c>
      <c r="AH273" s="173" t="s">
        <v>675</v>
      </c>
    </row>
    <row r="274" spans="1:34" ht="22.15" customHeight="1">
      <c r="A274" s="30">
        <v>45534</v>
      </c>
      <c r="B274" s="24" t="s">
        <v>96</v>
      </c>
      <c r="C274" s="2" t="s">
        <v>99</v>
      </c>
      <c r="D274" s="16" t="str" cm="1">
        <f t="array" ref="D274">_xlfn.XLOOKUP(1, (Table1[Project Name]=Table2[[#This Row],[Project ID]])*(Table1[Plot]=Table2[[#This Row],[Plot]]), Table1[Project ID])</f>
        <v>MJ-05</v>
      </c>
      <c r="E274" s="69">
        <v>96</v>
      </c>
      <c r="F274" s="70">
        <v>634</v>
      </c>
      <c r="G274" s="69">
        <f>Table2[[#This Row],[Time Elapsed]]+Table2[[#This Row],[Time Remaining]]</f>
        <v>730</v>
      </c>
      <c r="H274" s="136" t="s">
        <v>663</v>
      </c>
      <c r="I274" s="136" t="s">
        <v>664</v>
      </c>
      <c r="J274" s="13">
        <v>6.9800000000000001E-2</v>
      </c>
      <c r="K274" s="13">
        <v>7.5999999999999998E-2</v>
      </c>
      <c r="L274" s="13">
        <f>Table2[[#This Row],[Actual %]]-Table2[[#This Row],[Plan %]]</f>
        <v>6.1999999999999972E-3</v>
      </c>
      <c r="M274" s="144" t="s">
        <v>278</v>
      </c>
      <c r="N274" s="12">
        <v>45858</v>
      </c>
      <c r="O274" s="12"/>
      <c r="P274" s="12">
        <v>45858</v>
      </c>
      <c r="Q274" s="12">
        <v>45541</v>
      </c>
      <c r="R274" s="146" t="s">
        <v>667</v>
      </c>
      <c r="S274" s="146" t="s">
        <v>668</v>
      </c>
      <c r="T274" s="143" t="s">
        <v>669</v>
      </c>
      <c r="U274" s="153">
        <v>130388712.65000001</v>
      </c>
      <c r="V274" s="154">
        <v>0</v>
      </c>
      <c r="W274" s="36">
        <f>Table2[[#This Row],[Construction Contract Amount]]+Table2[[#This Row],[Cumulative Variations]]</f>
        <v>130388712.65000001</v>
      </c>
      <c r="X274" s="36">
        <v>4662507.03</v>
      </c>
      <c r="Y274" s="36">
        <v>0</v>
      </c>
      <c r="Z274" s="36">
        <f>Table2[[#This Row],[Final Contract Value]]+Table2[[#This Row],[Supervision Contract amount]]+Table2[[#This Row],[Authority Cost]]</f>
        <v>135051219.68000001</v>
      </c>
      <c r="AA274" s="140">
        <v>13053810</v>
      </c>
      <c r="AB274" s="139"/>
      <c r="AC274" s="91" t="str">
        <f t="shared" si="13"/>
        <v>https://drive.google.com/thumbnail?id=1zxbs_azC4N6-X3OZD0Sz6VP6Xjewm9-8&amp;sz=w1000</v>
      </c>
      <c r="AD274" s="173" t="s">
        <v>673</v>
      </c>
      <c r="AE274" s="74" t="str">
        <f t="shared" si="14"/>
        <v>https://drive.google.com/thumbnail?id=1tQyDFiR7dq4GijMcq4Q92uVh9nI1y4mw&amp;sz=w1000</v>
      </c>
      <c r="AF274" s="173" t="s">
        <v>674</v>
      </c>
      <c r="AG274" s="73" t="str">
        <f t="shared" si="15"/>
        <v>https://drive.google.com/thumbnail?id=1KD8Xfrs6ZPDDeNsgaKv-b1oJyOORtcmH&amp;sz=w1000</v>
      </c>
      <c r="AH274" s="173" t="s">
        <v>675</v>
      </c>
    </row>
    <row r="275" spans="1:34" ht="22.15" customHeight="1">
      <c r="A275" s="30">
        <v>45534</v>
      </c>
      <c r="B275" s="24" t="s">
        <v>96</v>
      </c>
      <c r="C275" s="2" t="s">
        <v>99</v>
      </c>
      <c r="D275" s="16" t="str" cm="1">
        <f t="array" ref="D275">_xlfn.XLOOKUP(1, (Table1[Project Name]=Table2[[#This Row],[Project ID]])*(Table1[Plot]=Table2[[#This Row],[Plot]]), Table1[Project ID])</f>
        <v>MJ-05</v>
      </c>
      <c r="E275" s="69">
        <v>96</v>
      </c>
      <c r="F275" s="70">
        <v>634</v>
      </c>
      <c r="G275" s="69">
        <f>Table2[[#This Row],[Time Elapsed]]+Table2[[#This Row],[Time Remaining]]</f>
        <v>730</v>
      </c>
      <c r="H275" s="136" t="s">
        <v>663</v>
      </c>
      <c r="I275" s="136" t="s">
        <v>664</v>
      </c>
      <c r="J275" s="13">
        <v>6.9800000000000001E-2</v>
      </c>
      <c r="K275" s="13">
        <v>7.5999999999999998E-2</v>
      </c>
      <c r="L275" s="13">
        <f>Table2[[#This Row],[Actual %]]-Table2[[#This Row],[Plan %]]</f>
        <v>6.1999999999999972E-3</v>
      </c>
      <c r="M275" s="144" t="s">
        <v>279</v>
      </c>
      <c r="N275" s="12">
        <v>45967</v>
      </c>
      <c r="O275" s="12"/>
      <c r="P275" s="12">
        <v>45967</v>
      </c>
      <c r="Q275" s="12">
        <v>45541</v>
      </c>
      <c r="R275" s="146" t="s">
        <v>667</v>
      </c>
      <c r="S275" s="146" t="s">
        <v>668</v>
      </c>
      <c r="T275" s="143" t="s">
        <v>669</v>
      </c>
      <c r="U275" s="153">
        <v>130388712.65000001</v>
      </c>
      <c r="V275" s="154">
        <v>0</v>
      </c>
      <c r="W275" s="36">
        <f>Table2[[#This Row],[Construction Contract Amount]]+Table2[[#This Row],[Cumulative Variations]]</f>
        <v>130388712.65000001</v>
      </c>
      <c r="X275" s="36">
        <v>4662507.03</v>
      </c>
      <c r="Y275" s="36">
        <v>0</v>
      </c>
      <c r="Z275" s="36">
        <f>Table2[[#This Row],[Final Contract Value]]+Table2[[#This Row],[Supervision Contract amount]]+Table2[[#This Row],[Authority Cost]]</f>
        <v>135051219.68000001</v>
      </c>
      <c r="AA275" s="140">
        <v>13053810</v>
      </c>
      <c r="AB275" s="139"/>
      <c r="AC275" s="91" t="str">
        <f t="shared" si="13"/>
        <v>https://drive.google.com/thumbnail?id=1zxbs_azC4N6-X3OZD0Sz6VP6Xjewm9-8&amp;sz=w1000</v>
      </c>
      <c r="AD275" s="173" t="s">
        <v>673</v>
      </c>
      <c r="AE275" s="74" t="str">
        <f t="shared" si="14"/>
        <v>https://drive.google.com/thumbnail?id=1tQyDFiR7dq4GijMcq4Q92uVh9nI1y4mw&amp;sz=w1000</v>
      </c>
      <c r="AF275" s="173" t="s">
        <v>674</v>
      </c>
      <c r="AG275" s="73" t="str">
        <f t="shared" si="15"/>
        <v>https://drive.google.com/thumbnail?id=1KD8Xfrs6ZPDDeNsgaKv-b1oJyOORtcmH&amp;sz=w1000</v>
      </c>
      <c r="AH275" s="173" t="s">
        <v>675</v>
      </c>
    </row>
    <row r="276" spans="1:34" ht="22.15" customHeight="1">
      <c r="A276" s="30">
        <v>45534</v>
      </c>
      <c r="B276" s="24" t="s">
        <v>96</v>
      </c>
      <c r="C276" s="2" t="s">
        <v>99</v>
      </c>
      <c r="D276" s="16" t="str" cm="1">
        <f t="array" ref="D276">_xlfn.XLOOKUP(1, (Table1[Project Name]=Table2[[#This Row],[Project ID]])*(Table1[Plot]=Table2[[#This Row],[Plot]]), Table1[Project ID])</f>
        <v>MJ-05</v>
      </c>
      <c r="E276" s="69">
        <v>96</v>
      </c>
      <c r="F276" s="70">
        <v>634</v>
      </c>
      <c r="G276" s="69">
        <f>Table2[[#This Row],[Time Elapsed]]+Table2[[#This Row],[Time Remaining]]</f>
        <v>730</v>
      </c>
      <c r="H276" s="136" t="s">
        <v>663</v>
      </c>
      <c r="I276" s="136" t="s">
        <v>664</v>
      </c>
      <c r="J276" s="13">
        <v>6.9800000000000001E-2</v>
      </c>
      <c r="K276" s="13">
        <v>7.5999999999999998E-2</v>
      </c>
      <c r="L276" s="13">
        <f>Table2[[#This Row],[Actual %]]-Table2[[#This Row],[Plan %]]</f>
        <v>6.1999999999999972E-3</v>
      </c>
      <c r="M276" s="144" t="s">
        <v>280</v>
      </c>
      <c r="N276" s="12">
        <v>46150</v>
      </c>
      <c r="O276" s="12"/>
      <c r="P276" s="12">
        <v>46150</v>
      </c>
      <c r="Q276" s="12">
        <v>45541</v>
      </c>
      <c r="R276" s="146" t="s">
        <v>667</v>
      </c>
      <c r="S276" s="146" t="s">
        <v>668</v>
      </c>
      <c r="T276" s="143" t="s">
        <v>669</v>
      </c>
      <c r="U276" s="153">
        <v>130388712.65000001</v>
      </c>
      <c r="V276" s="154">
        <v>0</v>
      </c>
      <c r="W276" s="36">
        <f>Table2[[#This Row],[Construction Contract Amount]]+Table2[[#This Row],[Cumulative Variations]]</f>
        <v>130388712.65000001</v>
      </c>
      <c r="X276" s="36">
        <v>4662507.03</v>
      </c>
      <c r="Y276" s="36">
        <v>0</v>
      </c>
      <c r="Z276" s="36">
        <f>Table2[[#This Row],[Final Contract Value]]+Table2[[#This Row],[Supervision Contract amount]]+Table2[[#This Row],[Authority Cost]]</f>
        <v>135051219.68000001</v>
      </c>
      <c r="AA276" s="140">
        <v>13053810</v>
      </c>
      <c r="AB276" s="139"/>
      <c r="AC276" s="91" t="str">
        <f t="shared" si="13"/>
        <v>https://drive.google.com/thumbnail?id=1zxbs_azC4N6-X3OZD0Sz6VP6Xjewm9-8&amp;sz=w1000</v>
      </c>
      <c r="AD276" s="173" t="s">
        <v>673</v>
      </c>
      <c r="AE276" s="74" t="str">
        <f t="shared" si="14"/>
        <v>https://drive.google.com/thumbnail?id=1tQyDFiR7dq4GijMcq4Q92uVh9nI1y4mw&amp;sz=w1000</v>
      </c>
      <c r="AF276" s="173" t="s">
        <v>674</v>
      </c>
      <c r="AG276" s="73" t="str">
        <f t="shared" si="15"/>
        <v>https://drive.google.com/thumbnail?id=1KD8Xfrs6ZPDDeNsgaKv-b1oJyOORtcmH&amp;sz=w1000</v>
      </c>
      <c r="AH276" s="173" t="s">
        <v>675</v>
      </c>
    </row>
    <row r="277" spans="1:34" ht="22.15" customHeight="1">
      <c r="A277" s="30">
        <v>45534</v>
      </c>
      <c r="B277" s="24" t="s">
        <v>96</v>
      </c>
      <c r="C277" s="2" t="s">
        <v>99</v>
      </c>
      <c r="D277" s="16" t="str" cm="1">
        <f t="array" ref="D277">_xlfn.XLOOKUP(1, (Table1[Project Name]=Table2[[#This Row],[Project ID]])*(Table1[Plot]=Table2[[#This Row],[Plot]]), Table1[Project ID])</f>
        <v>MJ-05</v>
      </c>
      <c r="E277" s="69">
        <v>96</v>
      </c>
      <c r="F277" s="70">
        <v>634</v>
      </c>
      <c r="G277" s="69">
        <f>Table2[[#This Row],[Time Elapsed]]+Table2[[#This Row],[Time Remaining]]</f>
        <v>730</v>
      </c>
      <c r="H277" s="136" t="s">
        <v>663</v>
      </c>
      <c r="I277" s="136" t="s">
        <v>664</v>
      </c>
      <c r="J277" s="13">
        <v>6.9800000000000001E-2</v>
      </c>
      <c r="K277" s="13">
        <v>7.5999999999999998E-2</v>
      </c>
      <c r="L277" s="13">
        <f>Table2[[#This Row],[Actual %]]-Table2[[#This Row],[Plan %]]</f>
        <v>6.1999999999999972E-3</v>
      </c>
      <c r="M277" s="144" t="s">
        <v>281</v>
      </c>
      <c r="N277" s="12">
        <v>46164</v>
      </c>
      <c r="O277" s="12"/>
      <c r="P277" s="12">
        <v>46164</v>
      </c>
      <c r="Q277" s="12">
        <v>45541</v>
      </c>
      <c r="R277" s="146" t="s">
        <v>667</v>
      </c>
      <c r="S277" s="146" t="s">
        <v>668</v>
      </c>
      <c r="T277" s="143" t="s">
        <v>669</v>
      </c>
      <c r="U277" s="153">
        <v>130388712.65000001</v>
      </c>
      <c r="V277" s="154">
        <v>0</v>
      </c>
      <c r="W277" s="36">
        <f>Table2[[#This Row],[Construction Contract Amount]]+Table2[[#This Row],[Cumulative Variations]]</f>
        <v>130388712.65000001</v>
      </c>
      <c r="X277" s="36">
        <v>4662507.03</v>
      </c>
      <c r="Y277" s="36">
        <v>0</v>
      </c>
      <c r="Z277" s="36">
        <f>Table2[[#This Row],[Final Contract Value]]+Table2[[#This Row],[Supervision Contract amount]]+Table2[[#This Row],[Authority Cost]]</f>
        <v>135051219.68000001</v>
      </c>
      <c r="AA277" s="140">
        <v>13053810</v>
      </c>
      <c r="AB277" s="139"/>
      <c r="AC277" s="91" t="str">
        <f t="shared" si="13"/>
        <v>https://drive.google.com/thumbnail?id=1zxbs_azC4N6-X3OZD0Sz6VP6Xjewm9-8&amp;sz=w1000</v>
      </c>
      <c r="AD277" s="173" t="s">
        <v>673</v>
      </c>
      <c r="AE277" s="74" t="str">
        <f t="shared" si="14"/>
        <v>https://drive.google.com/thumbnail?id=1tQyDFiR7dq4GijMcq4Q92uVh9nI1y4mw&amp;sz=w1000</v>
      </c>
      <c r="AF277" s="173" t="s">
        <v>674</v>
      </c>
      <c r="AG277" s="73" t="str">
        <f t="shared" si="15"/>
        <v>https://drive.google.com/thumbnail?id=1KD8Xfrs6ZPDDeNsgaKv-b1oJyOORtcmH&amp;sz=w1000</v>
      </c>
      <c r="AH277" s="173" t="s">
        <v>675</v>
      </c>
    </row>
    <row r="278" spans="1:34" ht="22.15" customHeight="1">
      <c r="A278" s="30">
        <v>45534</v>
      </c>
      <c r="B278" s="24" t="s">
        <v>96</v>
      </c>
      <c r="C278" s="2" t="s">
        <v>99</v>
      </c>
      <c r="D278" s="16" t="str" cm="1">
        <f t="array" ref="D278">_xlfn.XLOOKUP(1, (Table1[Project Name]=Table2[[#This Row],[Project ID]])*(Table1[Plot]=Table2[[#This Row],[Plot]]), Table1[Project ID])</f>
        <v>MJ-05</v>
      </c>
      <c r="E278" s="69">
        <v>96</v>
      </c>
      <c r="F278" s="70">
        <v>634</v>
      </c>
      <c r="G278" s="69">
        <f>Table2[[#This Row],[Time Elapsed]]+Table2[[#This Row],[Time Remaining]]</f>
        <v>730</v>
      </c>
      <c r="H278" s="136" t="s">
        <v>663</v>
      </c>
      <c r="I278" s="136" t="s">
        <v>664</v>
      </c>
      <c r="J278" s="13">
        <v>6.9800000000000001E-2</v>
      </c>
      <c r="K278" s="13">
        <v>7.5999999999999998E-2</v>
      </c>
      <c r="L278" s="13">
        <f>Table2[[#This Row],[Actual %]]-Table2[[#This Row],[Plan %]]</f>
        <v>6.1999999999999972E-3</v>
      </c>
      <c r="M278" s="144" t="s">
        <v>282</v>
      </c>
      <c r="N278" s="12">
        <v>46174</v>
      </c>
      <c r="O278" s="12"/>
      <c r="P278" s="12">
        <v>46174</v>
      </c>
      <c r="Q278" s="12">
        <v>45541</v>
      </c>
      <c r="R278" s="146" t="s">
        <v>667</v>
      </c>
      <c r="S278" s="146" t="s">
        <v>668</v>
      </c>
      <c r="T278" s="143" t="s">
        <v>669</v>
      </c>
      <c r="U278" s="153">
        <v>130388712.65000001</v>
      </c>
      <c r="V278" s="154">
        <v>0</v>
      </c>
      <c r="W278" s="36">
        <f>Table2[[#This Row],[Construction Contract Amount]]+Table2[[#This Row],[Cumulative Variations]]</f>
        <v>130388712.65000001</v>
      </c>
      <c r="X278" s="36">
        <v>4662507.03</v>
      </c>
      <c r="Y278" s="36">
        <v>0</v>
      </c>
      <c r="Z278" s="36">
        <f>Table2[[#This Row],[Final Contract Value]]+Table2[[#This Row],[Supervision Contract amount]]+Table2[[#This Row],[Authority Cost]]</f>
        <v>135051219.68000001</v>
      </c>
      <c r="AA278" s="140">
        <v>13053810</v>
      </c>
      <c r="AB278" s="139"/>
      <c r="AC278" s="91" t="str">
        <f t="shared" si="13"/>
        <v>https://drive.google.com/thumbnail?id=1zxbs_azC4N6-X3OZD0Sz6VP6Xjewm9-8&amp;sz=w1000</v>
      </c>
      <c r="AD278" s="173" t="s">
        <v>673</v>
      </c>
      <c r="AE278" s="74" t="str">
        <f t="shared" si="14"/>
        <v>https://drive.google.com/thumbnail?id=1tQyDFiR7dq4GijMcq4Q92uVh9nI1y4mw&amp;sz=w1000</v>
      </c>
      <c r="AF278" s="173" t="s">
        <v>674</v>
      </c>
      <c r="AG278" s="73" t="str">
        <f t="shared" si="15"/>
        <v>https://drive.google.com/thumbnail?id=1KD8Xfrs6ZPDDeNsgaKv-b1oJyOORtcmH&amp;sz=w1000</v>
      </c>
      <c r="AH278" s="173" t="s">
        <v>675</v>
      </c>
    </row>
    <row r="279" spans="1:34" ht="22.15" customHeight="1">
      <c r="A279" s="30">
        <v>45534</v>
      </c>
      <c r="B279" s="24" t="s">
        <v>96</v>
      </c>
      <c r="C279" s="2" t="s">
        <v>99</v>
      </c>
      <c r="D279" s="16" t="str" cm="1">
        <f t="array" ref="D279">_xlfn.XLOOKUP(1, (Table1[Project Name]=Table2[[#This Row],[Project ID]])*(Table1[Plot]=Table2[[#This Row],[Plot]]), Table1[Project ID])</f>
        <v>MJ-05</v>
      </c>
      <c r="E279" s="69">
        <v>96</v>
      </c>
      <c r="F279" s="70">
        <v>634</v>
      </c>
      <c r="G279" s="69">
        <f>Table2[[#This Row],[Time Elapsed]]+Table2[[#This Row],[Time Remaining]]</f>
        <v>730</v>
      </c>
      <c r="H279" s="136" t="s">
        <v>663</v>
      </c>
      <c r="I279" s="136" t="s">
        <v>664</v>
      </c>
      <c r="J279" s="13">
        <v>6.9800000000000001E-2</v>
      </c>
      <c r="K279" s="13">
        <v>7.5999999999999998E-2</v>
      </c>
      <c r="L279" s="13">
        <f>Table2[[#This Row],[Actual %]]-Table2[[#This Row],[Plan %]]</f>
        <v>6.1999999999999972E-3</v>
      </c>
      <c r="M279" s="144" t="s">
        <v>283</v>
      </c>
      <c r="N279" s="12">
        <v>46175</v>
      </c>
      <c r="O279" s="12"/>
      <c r="P279" s="12">
        <v>46175</v>
      </c>
      <c r="Q279" s="12">
        <v>45541</v>
      </c>
      <c r="R279" s="146" t="s">
        <v>667</v>
      </c>
      <c r="S279" s="146" t="s">
        <v>668</v>
      </c>
      <c r="T279" s="143" t="s">
        <v>669</v>
      </c>
      <c r="U279" s="153">
        <v>130388712.65000001</v>
      </c>
      <c r="V279" s="154">
        <v>0</v>
      </c>
      <c r="W279" s="36">
        <f>Table2[[#This Row],[Construction Contract Amount]]+Table2[[#This Row],[Cumulative Variations]]</f>
        <v>130388712.65000001</v>
      </c>
      <c r="X279" s="36">
        <v>4662507.03</v>
      </c>
      <c r="Y279" s="36">
        <v>0</v>
      </c>
      <c r="Z279" s="36">
        <f>Table2[[#This Row],[Final Contract Value]]+Table2[[#This Row],[Supervision Contract amount]]+Table2[[#This Row],[Authority Cost]]</f>
        <v>135051219.68000001</v>
      </c>
      <c r="AA279" s="140">
        <v>13053810</v>
      </c>
      <c r="AB279" s="139"/>
      <c r="AC279" s="91" t="str">
        <f t="shared" si="13"/>
        <v>https://drive.google.com/thumbnail?id=1zxbs_azC4N6-X3OZD0Sz6VP6Xjewm9-8&amp;sz=w1000</v>
      </c>
      <c r="AD279" s="173" t="s">
        <v>673</v>
      </c>
      <c r="AE279" s="74" t="str">
        <f t="shared" si="14"/>
        <v>https://drive.google.com/thumbnail?id=1tQyDFiR7dq4GijMcq4Q92uVh9nI1y4mw&amp;sz=w1000</v>
      </c>
      <c r="AF279" s="173" t="s">
        <v>674</v>
      </c>
      <c r="AG279" s="73" t="str">
        <f t="shared" si="15"/>
        <v>https://drive.google.com/thumbnail?id=1KD8Xfrs6ZPDDeNsgaKv-b1oJyOORtcmH&amp;sz=w1000</v>
      </c>
      <c r="AH279" s="173" t="s">
        <v>675</v>
      </c>
    </row>
    <row r="280" spans="1:34" ht="22.15" customHeight="1">
      <c r="A280" s="30">
        <v>45534</v>
      </c>
      <c r="B280" s="24" t="s">
        <v>96</v>
      </c>
      <c r="C280" s="2" t="s">
        <v>99</v>
      </c>
      <c r="D280" s="16" t="str" cm="1">
        <f t="array" ref="D280">_xlfn.XLOOKUP(1, (Table1[Project Name]=Table2[[#This Row],[Project ID]])*(Table1[Plot]=Table2[[#This Row],[Plot]]), Table1[Project ID])</f>
        <v>MJ-05</v>
      </c>
      <c r="E280" s="69">
        <v>96</v>
      </c>
      <c r="F280" s="70">
        <v>634</v>
      </c>
      <c r="G280" s="69">
        <f>Table2[[#This Row],[Time Elapsed]]+Table2[[#This Row],[Time Remaining]]</f>
        <v>730</v>
      </c>
      <c r="H280" s="136" t="s">
        <v>663</v>
      </c>
      <c r="I280" s="136" t="s">
        <v>664</v>
      </c>
      <c r="J280" s="13">
        <v>6.9800000000000001E-2</v>
      </c>
      <c r="K280" s="13">
        <v>7.5999999999999998E-2</v>
      </c>
      <c r="L280" s="13">
        <f>Table2[[#This Row],[Actual %]]-Table2[[#This Row],[Plan %]]</f>
        <v>6.1999999999999972E-3</v>
      </c>
      <c r="M280" s="144" t="s">
        <v>284</v>
      </c>
      <c r="N280" s="12">
        <v>46175</v>
      </c>
      <c r="O280" s="12"/>
      <c r="P280" s="12">
        <v>46175</v>
      </c>
      <c r="Q280" s="12">
        <v>45541</v>
      </c>
      <c r="R280" s="146" t="s">
        <v>667</v>
      </c>
      <c r="S280" s="146" t="s">
        <v>668</v>
      </c>
      <c r="T280" s="143" t="s">
        <v>669</v>
      </c>
      <c r="U280" s="153">
        <v>130388712.65000001</v>
      </c>
      <c r="V280" s="154">
        <v>0</v>
      </c>
      <c r="W280" s="36">
        <f>Table2[[#This Row],[Construction Contract Amount]]+Table2[[#This Row],[Cumulative Variations]]</f>
        <v>130388712.65000001</v>
      </c>
      <c r="X280" s="36">
        <v>4662507.03</v>
      </c>
      <c r="Y280" s="36">
        <v>0</v>
      </c>
      <c r="Z280" s="36">
        <f>Table2[[#This Row],[Final Contract Value]]+Table2[[#This Row],[Supervision Contract amount]]+Table2[[#This Row],[Authority Cost]]</f>
        <v>135051219.68000001</v>
      </c>
      <c r="AA280" s="140">
        <v>13053810</v>
      </c>
      <c r="AB280" s="139"/>
      <c r="AC280" s="91" t="str">
        <f t="shared" si="13"/>
        <v>https://drive.google.com/thumbnail?id=1_9wvDD0xzarupnO-MkGQjPWkgNEleRMr&amp;sz=w1000</v>
      </c>
      <c r="AD280" s="173" t="s">
        <v>676</v>
      </c>
      <c r="AE280" s="74" t="str">
        <f t="shared" si="14"/>
        <v>https://drive.google.com/thumbnail?id=1rhCvHfKmw2WQRnaHsokOte7r7Nl3uIJy&amp;sz=w1000</v>
      </c>
      <c r="AF280" s="173" t="s">
        <v>677</v>
      </c>
      <c r="AG280" s="73" t="str">
        <f t="shared" si="15"/>
        <v>https://drive.google.com/thumbnail?id=1XM56ViSsm-28H781ilJpgfRH-h3HxQCr&amp;sz=w1000</v>
      </c>
      <c r="AH280" s="173" t="s">
        <v>678</v>
      </c>
    </row>
    <row r="281" spans="1:34" ht="22.15" customHeight="1">
      <c r="A281" s="30">
        <v>45534</v>
      </c>
      <c r="B281" s="24" t="s">
        <v>75</v>
      </c>
      <c r="C281" s="2" t="s">
        <v>78</v>
      </c>
      <c r="D281" s="16" t="str" cm="1">
        <f t="array" ref="D281">_xlfn.XLOOKUP(1, (Table1[Project Name]=Table2[[#This Row],[Project ID]])*(Table1[Plot]=Table2[[#This Row],[Plot]]), Table1[Project ID])</f>
        <v>MJ-04</v>
      </c>
      <c r="E281" s="69">
        <v>96</v>
      </c>
      <c r="F281" s="70">
        <v>634</v>
      </c>
      <c r="G281" s="69">
        <f>Table2[[#This Row],[Time Elapsed]]+Table2[[#This Row],[Time Remaining]]</f>
        <v>730</v>
      </c>
      <c r="H281" s="136" t="s">
        <v>665</v>
      </c>
      <c r="I281" s="136" t="s">
        <v>666</v>
      </c>
      <c r="J281" s="13">
        <v>8.0799999999999997E-2</v>
      </c>
      <c r="K281" s="13">
        <v>8.5900000000000004E-2</v>
      </c>
      <c r="L281" s="13">
        <f>Table2[[#This Row],[Actual %]]-Table2[[#This Row],[Plan %]]</f>
        <v>5.1000000000000073E-3</v>
      </c>
      <c r="M281" s="144" t="s">
        <v>28</v>
      </c>
      <c r="N281" s="12">
        <v>45446</v>
      </c>
      <c r="O281" s="12">
        <v>45446</v>
      </c>
      <c r="P281" s="12"/>
      <c r="Q281" s="12">
        <v>45541</v>
      </c>
      <c r="R281" s="136" t="s">
        <v>670</v>
      </c>
      <c r="S281" s="136" t="s">
        <v>671</v>
      </c>
      <c r="T281" s="143" t="s">
        <v>672</v>
      </c>
      <c r="U281" s="153">
        <v>130388712.65000001</v>
      </c>
      <c r="V281" s="154">
        <v>0</v>
      </c>
      <c r="W281" s="36">
        <f>Table2[[#This Row],[Construction Contract Amount]]+Table2[[#This Row],[Cumulative Variations]]</f>
        <v>130388712.65000001</v>
      </c>
      <c r="X281" s="36">
        <v>4662507.03</v>
      </c>
      <c r="Y281" s="36">
        <v>0</v>
      </c>
      <c r="Z281" s="36">
        <f>Table2[[#This Row],[Final Contract Value]]+Table2[[#This Row],[Supervision Contract amount]]+Table2[[#This Row],[Authority Cost]]</f>
        <v>135051219.68000001</v>
      </c>
      <c r="AA281" s="140">
        <v>13053810</v>
      </c>
      <c r="AB281" s="139"/>
      <c r="AC281" s="91" t="str">
        <f t="shared" si="13"/>
        <v>https://drive.google.com/thumbnail?id=1_9wvDD0xzarupnO-MkGQjPWkgNEleRMr&amp;sz=w1000</v>
      </c>
      <c r="AD281" s="173" t="s">
        <v>676</v>
      </c>
      <c r="AE281" s="74" t="str">
        <f t="shared" si="14"/>
        <v>https://drive.google.com/thumbnail?id=1rhCvHfKmw2WQRnaHsokOte7r7Nl3uIJy&amp;sz=w1000</v>
      </c>
      <c r="AF281" s="173" t="s">
        <v>677</v>
      </c>
      <c r="AG281" s="73" t="str">
        <f t="shared" si="15"/>
        <v>https://drive.google.com/thumbnail?id=1XM56ViSsm-28H781ilJpgfRH-h3HxQCr&amp;sz=w1000</v>
      </c>
      <c r="AH281" s="173" t="s">
        <v>678</v>
      </c>
    </row>
    <row r="282" spans="1:34" ht="22.15" customHeight="1">
      <c r="A282" s="30">
        <v>45534</v>
      </c>
      <c r="B282" s="24" t="s">
        <v>75</v>
      </c>
      <c r="C282" s="2" t="s">
        <v>78</v>
      </c>
      <c r="D282" s="16" t="str" cm="1">
        <f t="array" ref="D282">_xlfn.XLOOKUP(1, (Table1[Project Name]=Table2[[#This Row],[Project ID]])*(Table1[Plot]=Table2[[#This Row],[Plot]]), Table1[Project ID])</f>
        <v>MJ-04</v>
      </c>
      <c r="E282" s="69">
        <v>96</v>
      </c>
      <c r="F282" s="70">
        <v>634</v>
      </c>
      <c r="G282" s="69">
        <f>Table2[[#This Row],[Time Elapsed]]+Table2[[#This Row],[Time Remaining]]</f>
        <v>730</v>
      </c>
      <c r="H282" s="136" t="s">
        <v>665</v>
      </c>
      <c r="I282" s="136" t="s">
        <v>666</v>
      </c>
      <c r="J282" s="13">
        <v>8.0799999999999997E-2</v>
      </c>
      <c r="K282" s="13">
        <v>8.5900000000000004E-2</v>
      </c>
      <c r="L282" s="13">
        <f>Table2[[#This Row],[Actual %]]-Table2[[#This Row],[Plan %]]</f>
        <v>5.1000000000000073E-3</v>
      </c>
      <c r="M282" s="144" t="s">
        <v>50</v>
      </c>
      <c r="N282" s="12">
        <v>45455</v>
      </c>
      <c r="O282" s="12">
        <v>45439</v>
      </c>
      <c r="P282" s="12"/>
      <c r="Q282" s="12">
        <v>45541</v>
      </c>
      <c r="R282" s="136" t="s">
        <v>670</v>
      </c>
      <c r="S282" s="136" t="s">
        <v>671</v>
      </c>
      <c r="T282" s="143" t="s">
        <v>672</v>
      </c>
      <c r="U282" s="155">
        <v>106953287.34999999</v>
      </c>
      <c r="V282" s="152">
        <v>0</v>
      </c>
      <c r="W282" s="36">
        <f>Table2[[#This Row],[Construction Contract Amount]]+Table2[[#This Row],[Cumulative Variations]]</f>
        <v>106953287.34999999</v>
      </c>
      <c r="X282" s="36">
        <v>3824490.97</v>
      </c>
      <c r="Y282" s="36">
        <v>0</v>
      </c>
      <c r="Z282" s="36">
        <f>Table2[[#This Row],[Final Contract Value]]+Table2[[#This Row],[Supervision Contract amount]]+Table2[[#This Row],[Authority Cost]]</f>
        <v>110777778.31999999</v>
      </c>
      <c r="AA282" s="140">
        <v>10680390</v>
      </c>
      <c r="AB282" s="139"/>
      <c r="AC282" s="91" t="str">
        <f t="shared" si="13"/>
        <v>https://drive.google.com/thumbnail?id=1_9wvDD0xzarupnO-MkGQjPWkgNEleRMr&amp;sz=w1000</v>
      </c>
      <c r="AD282" s="173" t="s">
        <v>676</v>
      </c>
      <c r="AE282" s="74" t="str">
        <f t="shared" si="14"/>
        <v>https://drive.google.com/thumbnail?id=1rhCvHfKmw2WQRnaHsokOte7r7Nl3uIJy&amp;sz=w1000</v>
      </c>
      <c r="AF282" s="173" t="s">
        <v>677</v>
      </c>
      <c r="AG282" s="73" t="str">
        <f t="shared" si="15"/>
        <v>https://drive.google.com/thumbnail?id=1XM56ViSsm-28H781ilJpgfRH-h3HxQCr&amp;sz=w1000</v>
      </c>
      <c r="AH282" s="173" t="s">
        <v>678</v>
      </c>
    </row>
    <row r="283" spans="1:34" ht="22.15" customHeight="1">
      <c r="A283" s="30">
        <v>45534</v>
      </c>
      <c r="B283" s="24" t="s">
        <v>75</v>
      </c>
      <c r="C283" s="2" t="s">
        <v>78</v>
      </c>
      <c r="D283" s="16" t="str" cm="1">
        <f t="array" ref="D283">_xlfn.XLOOKUP(1, (Table1[Project Name]=Table2[[#This Row],[Project ID]])*(Table1[Plot]=Table2[[#This Row],[Plot]]), Table1[Project ID])</f>
        <v>MJ-04</v>
      </c>
      <c r="E283" s="69">
        <v>96</v>
      </c>
      <c r="F283" s="70">
        <v>634</v>
      </c>
      <c r="G283" s="69">
        <f>Table2[[#This Row],[Time Elapsed]]+Table2[[#This Row],[Time Remaining]]</f>
        <v>730</v>
      </c>
      <c r="H283" s="136" t="s">
        <v>665</v>
      </c>
      <c r="I283" s="136" t="s">
        <v>666</v>
      </c>
      <c r="J283" s="13">
        <v>8.0799999999999997E-2</v>
      </c>
      <c r="K283" s="13">
        <v>8.5900000000000004E-2</v>
      </c>
      <c r="L283" s="13">
        <f>Table2[[#This Row],[Actual %]]-Table2[[#This Row],[Plan %]]</f>
        <v>5.1000000000000073E-3</v>
      </c>
      <c r="M283" s="144" t="s">
        <v>51</v>
      </c>
      <c r="N283" s="12">
        <v>45483</v>
      </c>
      <c r="O283" s="12">
        <v>45519</v>
      </c>
      <c r="P283" s="12">
        <v>45519</v>
      </c>
      <c r="Q283" s="12">
        <v>45541</v>
      </c>
      <c r="R283" s="136" t="s">
        <v>670</v>
      </c>
      <c r="S283" s="136" t="s">
        <v>671</v>
      </c>
      <c r="T283" s="143" t="s">
        <v>672</v>
      </c>
      <c r="U283" s="155">
        <v>106953287.34999999</v>
      </c>
      <c r="V283" s="152">
        <v>0</v>
      </c>
      <c r="W283" s="36">
        <f>Table2[[#This Row],[Construction Contract Amount]]+Table2[[#This Row],[Cumulative Variations]]</f>
        <v>106953287.34999999</v>
      </c>
      <c r="X283" s="36">
        <v>3824490.97</v>
      </c>
      <c r="Y283" s="36">
        <v>0</v>
      </c>
      <c r="Z283" s="36">
        <f>Table2[[#This Row],[Final Contract Value]]+Table2[[#This Row],[Supervision Contract amount]]+Table2[[#This Row],[Authority Cost]]</f>
        <v>110777778.31999999</v>
      </c>
      <c r="AA283" s="140">
        <v>10680390</v>
      </c>
      <c r="AB283" s="139"/>
      <c r="AC283" s="91" t="str">
        <f t="shared" si="13"/>
        <v>https://drive.google.com/thumbnail?id=1_9wvDD0xzarupnO-MkGQjPWkgNEleRMr&amp;sz=w1000</v>
      </c>
      <c r="AD283" s="173" t="s">
        <v>676</v>
      </c>
      <c r="AE283" s="74" t="str">
        <f t="shared" si="14"/>
        <v>https://drive.google.com/thumbnail?id=1rhCvHfKmw2WQRnaHsokOte7r7Nl3uIJy&amp;sz=w1000</v>
      </c>
      <c r="AF283" s="173" t="s">
        <v>677</v>
      </c>
      <c r="AG283" s="73" t="str">
        <f t="shared" si="15"/>
        <v>https://drive.google.com/thumbnail?id=1XM56ViSsm-28H781ilJpgfRH-h3HxQCr&amp;sz=w1000</v>
      </c>
      <c r="AH283" s="173" t="s">
        <v>678</v>
      </c>
    </row>
    <row r="284" spans="1:34" ht="22.15" customHeight="1">
      <c r="A284" s="30">
        <v>45534</v>
      </c>
      <c r="B284" s="24" t="s">
        <v>75</v>
      </c>
      <c r="C284" s="2" t="s">
        <v>78</v>
      </c>
      <c r="D284" s="16" t="str" cm="1">
        <f t="array" ref="D284">_xlfn.XLOOKUP(1, (Table1[Project Name]=Table2[[#This Row],[Project ID]])*(Table1[Plot]=Table2[[#This Row],[Plot]]), Table1[Project ID])</f>
        <v>MJ-04</v>
      </c>
      <c r="E284" s="69">
        <v>96</v>
      </c>
      <c r="F284" s="70">
        <v>634</v>
      </c>
      <c r="G284" s="69">
        <f>Table2[[#This Row],[Time Elapsed]]+Table2[[#This Row],[Time Remaining]]</f>
        <v>730</v>
      </c>
      <c r="H284" s="136" t="s">
        <v>665</v>
      </c>
      <c r="I284" s="136" t="s">
        <v>666</v>
      </c>
      <c r="J284" s="13">
        <v>8.0799999999999997E-2</v>
      </c>
      <c r="K284" s="13">
        <v>8.5900000000000004E-2</v>
      </c>
      <c r="L284" s="13">
        <f>Table2[[#This Row],[Actual %]]-Table2[[#This Row],[Plan %]]</f>
        <v>5.1000000000000073E-3</v>
      </c>
      <c r="M284" s="144" t="s">
        <v>275</v>
      </c>
      <c r="N284" s="12">
        <v>45565</v>
      </c>
      <c r="O284" s="12"/>
      <c r="P284" s="12">
        <v>45565</v>
      </c>
      <c r="Q284" s="12">
        <v>45541</v>
      </c>
      <c r="R284" s="136" t="s">
        <v>670</v>
      </c>
      <c r="S284" s="136" t="s">
        <v>671</v>
      </c>
      <c r="T284" s="143" t="s">
        <v>672</v>
      </c>
      <c r="U284" s="155">
        <v>106953287.34999999</v>
      </c>
      <c r="V284" s="152">
        <v>0</v>
      </c>
      <c r="W284" s="36">
        <f>Table2[[#This Row],[Construction Contract Amount]]+Table2[[#This Row],[Cumulative Variations]]</f>
        <v>106953287.34999999</v>
      </c>
      <c r="X284" s="36">
        <v>3824490.97</v>
      </c>
      <c r="Y284" s="36">
        <v>0</v>
      </c>
      <c r="Z284" s="36">
        <f>Table2[[#This Row],[Final Contract Value]]+Table2[[#This Row],[Supervision Contract amount]]+Table2[[#This Row],[Authority Cost]]</f>
        <v>110777778.31999999</v>
      </c>
      <c r="AA284" s="140">
        <v>10680390</v>
      </c>
      <c r="AB284" s="139"/>
      <c r="AC284" s="91" t="str">
        <f t="shared" si="13"/>
        <v>https://drive.google.com/thumbnail?id=1_9wvDD0xzarupnO-MkGQjPWkgNEleRMr&amp;sz=w1000</v>
      </c>
      <c r="AD284" s="173" t="s">
        <v>676</v>
      </c>
      <c r="AE284" s="74" t="str">
        <f t="shared" si="14"/>
        <v>https://drive.google.com/thumbnail?id=1rhCvHfKmw2WQRnaHsokOte7r7Nl3uIJy&amp;sz=w1000</v>
      </c>
      <c r="AF284" s="173" t="s">
        <v>677</v>
      </c>
      <c r="AG284" s="73" t="str">
        <f t="shared" si="15"/>
        <v>https://drive.google.com/thumbnail?id=1XM56ViSsm-28H781ilJpgfRH-h3HxQCr&amp;sz=w1000</v>
      </c>
      <c r="AH284" s="173" t="s">
        <v>678</v>
      </c>
    </row>
    <row r="285" spans="1:34" ht="22.15" customHeight="1">
      <c r="A285" s="30">
        <v>45534</v>
      </c>
      <c r="B285" s="24" t="s">
        <v>75</v>
      </c>
      <c r="C285" s="2" t="s">
        <v>78</v>
      </c>
      <c r="D285" s="16" t="str" cm="1">
        <f t="array" ref="D285">_xlfn.XLOOKUP(1, (Table1[Project Name]=Table2[[#This Row],[Project ID]])*(Table1[Plot]=Table2[[#This Row],[Plot]]), Table1[Project ID])</f>
        <v>MJ-04</v>
      </c>
      <c r="E285" s="69">
        <v>96</v>
      </c>
      <c r="F285" s="70">
        <v>634</v>
      </c>
      <c r="G285" s="69">
        <f>Table2[[#This Row],[Time Elapsed]]+Table2[[#This Row],[Time Remaining]]</f>
        <v>730</v>
      </c>
      <c r="H285" s="136" t="s">
        <v>665</v>
      </c>
      <c r="I285" s="136" t="s">
        <v>666</v>
      </c>
      <c r="J285" s="13">
        <v>8.0799999999999997E-2</v>
      </c>
      <c r="K285" s="13">
        <v>8.5900000000000004E-2</v>
      </c>
      <c r="L285" s="13">
        <f>Table2[[#This Row],[Actual %]]-Table2[[#This Row],[Plan %]]</f>
        <v>5.1000000000000073E-3</v>
      </c>
      <c r="M285" s="144" t="s">
        <v>276</v>
      </c>
      <c r="N285" s="12">
        <v>45626</v>
      </c>
      <c r="O285" s="12"/>
      <c r="P285" s="12">
        <v>45626</v>
      </c>
      <c r="Q285" s="12">
        <v>45541</v>
      </c>
      <c r="R285" s="136" t="s">
        <v>670</v>
      </c>
      <c r="S285" s="136" t="s">
        <v>671</v>
      </c>
      <c r="T285" s="143" t="s">
        <v>672</v>
      </c>
      <c r="U285" s="155">
        <v>106953287.34999999</v>
      </c>
      <c r="V285" s="152">
        <v>0</v>
      </c>
      <c r="W285" s="36">
        <f>Table2[[#This Row],[Construction Contract Amount]]+Table2[[#This Row],[Cumulative Variations]]</f>
        <v>106953287.34999999</v>
      </c>
      <c r="X285" s="36">
        <v>3824490.97</v>
      </c>
      <c r="Y285" s="36">
        <v>0</v>
      </c>
      <c r="Z285" s="36">
        <f>Table2[[#This Row],[Final Contract Value]]+Table2[[#This Row],[Supervision Contract amount]]+Table2[[#This Row],[Authority Cost]]</f>
        <v>110777778.31999999</v>
      </c>
      <c r="AA285" s="140">
        <v>10680390</v>
      </c>
      <c r="AB285" s="139"/>
      <c r="AC285" s="91" t="str">
        <f t="shared" si="13"/>
        <v>https://drive.google.com/thumbnail?id=1_9wvDD0xzarupnO-MkGQjPWkgNEleRMr&amp;sz=w1000</v>
      </c>
      <c r="AD285" s="173" t="s">
        <v>676</v>
      </c>
      <c r="AE285" s="74" t="str">
        <f t="shared" si="14"/>
        <v>https://drive.google.com/thumbnail?id=1rhCvHfKmw2WQRnaHsokOte7r7Nl3uIJy&amp;sz=w1000</v>
      </c>
      <c r="AF285" s="173" t="s">
        <v>677</v>
      </c>
      <c r="AG285" s="73" t="str">
        <f t="shared" si="15"/>
        <v>https://drive.google.com/thumbnail?id=1XM56ViSsm-28H781ilJpgfRH-h3HxQCr&amp;sz=w1000</v>
      </c>
      <c r="AH285" s="173" t="s">
        <v>678</v>
      </c>
    </row>
    <row r="286" spans="1:34" ht="22.15" customHeight="1">
      <c r="A286" s="30">
        <v>45534</v>
      </c>
      <c r="B286" s="24" t="s">
        <v>75</v>
      </c>
      <c r="C286" s="2" t="s">
        <v>78</v>
      </c>
      <c r="D286" s="16" t="str" cm="1">
        <f t="array" ref="D286">_xlfn.XLOOKUP(1, (Table1[Project Name]=Table2[[#This Row],[Project ID]])*(Table1[Plot]=Table2[[#This Row],[Plot]]), Table1[Project ID])</f>
        <v>MJ-04</v>
      </c>
      <c r="E286" s="69">
        <v>96</v>
      </c>
      <c r="F286" s="70">
        <v>634</v>
      </c>
      <c r="G286" s="69">
        <f>Table2[[#This Row],[Time Elapsed]]+Table2[[#This Row],[Time Remaining]]</f>
        <v>730</v>
      </c>
      <c r="H286" s="136" t="s">
        <v>665</v>
      </c>
      <c r="I286" s="136" t="s">
        <v>666</v>
      </c>
      <c r="J286" s="13">
        <v>8.0799999999999997E-2</v>
      </c>
      <c r="K286" s="13">
        <v>8.5900000000000004E-2</v>
      </c>
      <c r="L286" s="13">
        <f>Table2[[#This Row],[Actual %]]-Table2[[#This Row],[Plan %]]</f>
        <v>5.1000000000000073E-3</v>
      </c>
      <c r="M286" s="147" t="s">
        <v>277</v>
      </c>
      <c r="N286" s="12">
        <v>45701</v>
      </c>
      <c r="O286" s="12"/>
      <c r="P286" s="12">
        <v>45701</v>
      </c>
      <c r="Q286" s="12">
        <v>45541</v>
      </c>
      <c r="R286" s="136" t="s">
        <v>670</v>
      </c>
      <c r="S286" s="136" t="s">
        <v>671</v>
      </c>
      <c r="T286" s="143" t="s">
        <v>672</v>
      </c>
      <c r="U286" s="155">
        <v>106953287.34999999</v>
      </c>
      <c r="V286" s="152">
        <v>0</v>
      </c>
      <c r="W286" s="36">
        <f>Table2[[#This Row],[Construction Contract Amount]]+Table2[[#This Row],[Cumulative Variations]]</f>
        <v>106953287.34999999</v>
      </c>
      <c r="X286" s="36">
        <v>3824490.97</v>
      </c>
      <c r="Y286" s="36">
        <v>0</v>
      </c>
      <c r="Z286" s="36">
        <f>Table2[[#This Row],[Final Contract Value]]+Table2[[#This Row],[Supervision Contract amount]]+Table2[[#This Row],[Authority Cost]]</f>
        <v>110777778.31999999</v>
      </c>
      <c r="AA286" s="140">
        <v>10680390</v>
      </c>
      <c r="AB286" s="139"/>
      <c r="AC286" s="91" t="str">
        <f t="shared" si="13"/>
        <v>https://drive.google.com/thumbnail?id=1_9wvDD0xzarupnO-MkGQjPWkgNEleRMr&amp;sz=w1000</v>
      </c>
      <c r="AD286" s="173" t="s">
        <v>676</v>
      </c>
      <c r="AE286" s="74" t="str">
        <f t="shared" si="14"/>
        <v>https://drive.google.com/thumbnail?id=1rhCvHfKmw2WQRnaHsokOte7r7Nl3uIJy&amp;sz=w1000</v>
      </c>
      <c r="AF286" s="173" t="s">
        <v>677</v>
      </c>
      <c r="AG286" s="73" t="str">
        <f t="shared" si="15"/>
        <v>https://drive.google.com/thumbnail?id=1XM56ViSsm-28H781ilJpgfRH-h3HxQCr&amp;sz=w1000</v>
      </c>
      <c r="AH286" s="173" t="s">
        <v>678</v>
      </c>
    </row>
    <row r="287" spans="1:34" ht="22.15" customHeight="1">
      <c r="A287" s="30">
        <v>45534</v>
      </c>
      <c r="B287" s="24" t="s">
        <v>75</v>
      </c>
      <c r="C287" s="2" t="s">
        <v>78</v>
      </c>
      <c r="D287" s="16" t="str" cm="1">
        <f t="array" ref="D287">_xlfn.XLOOKUP(1, (Table1[Project Name]=Table2[[#This Row],[Project ID]])*(Table1[Plot]=Table2[[#This Row],[Plot]]), Table1[Project ID])</f>
        <v>MJ-04</v>
      </c>
      <c r="E287" s="69">
        <v>96</v>
      </c>
      <c r="F287" s="70">
        <v>634</v>
      </c>
      <c r="G287" s="69">
        <f>Table2[[#This Row],[Time Elapsed]]+Table2[[#This Row],[Time Remaining]]</f>
        <v>730</v>
      </c>
      <c r="H287" s="136" t="s">
        <v>665</v>
      </c>
      <c r="I287" s="136" t="s">
        <v>666</v>
      </c>
      <c r="J287" s="13">
        <v>8.0799999999999997E-2</v>
      </c>
      <c r="K287" s="13">
        <v>8.5900000000000004E-2</v>
      </c>
      <c r="L287" s="13">
        <f>Table2[[#This Row],[Actual %]]-Table2[[#This Row],[Plan %]]</f>
        <v>5.1000000000000073E-3</v>
      </c>
      <c r="M287" s="144" t="s">
        <v>278</v>
      </c>
      <c r="N287" s="12">
        <v>45858</v>
      </c>
      <c r="O287" s="12"/>
      <c r="P287" s="12">
        <v>45858</v>
      </c>
      <c r="Q287" s="12">
        <v>45541</v>
      </c>
      <c r="R287" s="136" t="s">
        <v>670</v>
      </c>
      <c r="S287" s="136" t="s">
        <v>671</v>
      </c>
      <c r="T287" s="143" t="s">
        <v>672</v>
      </c>
      <c r="U287" s="155">
        <v>106953287.34999999</v>
      </c>
      <c r="V287" s="152">
        <v>0</v>
      </c>
      <c r="W287" s="36">
        <f>Table2[[#This Row],[Construction Contract Amount]]+Table2[[#This Row],[Cumulative Variations]]</f>
        <v>106953287.34999999</v>
      </c>
      <c r="X287" s="36">
        <v>3824490.97</v>
      </c>
      <c r="Y287" s="36">
        <v>0</v>
      </c>
      <c r="Z287" s="36">
        <f>Table2[[#This Row],[Final Contract Value]]+Table2[[#This Row],[Supervision Contract amount]]+Table2[[#This Row],[Authority Cost]]</f>
        <v>110777778.31999999</v>
      </c>
      <c r="AA287" s="140">
        <v>10680390</v>
      </c>
      <c r="AB287" s="139"/>
      <c r="AC287" s="91" t="str">
        <f t="shared" si="13"/>
        <v>https://drive.google.com/thumbnail?id=1_9wvDD0xzarupnO-MkGQjPWkgNEleRMr&amp;sz=w1000</v>
      </c>
      <c r="AD287" s="173" t="s">
        <v>676</v>
      </c>
      <c r="AE287" s="74" t="str">
        <f t="shared" si="14"/>
        <v>https://drive.google.com/thumbnail?id=1rhCvHfKmw2WQRnaHsokOte7r7Nl3uIJy&amp;sz=w1000</v>
      </c>
      <c r="AF287" s="173" t="s">
        <v>677</v>
      </c>
      <c r="AG287" s="73" t="str">
        <f t="shared" si="15"/>
        <v>https://drive.google.com/thumbnail?id=1XM56ViSsm-28H781ilJpgfRH-h3HxQCr&amp;sz=w1000</v>
      </c>
      <c r="AH287" s="173" t="s">
        <v>678</v>
      </c>
    </row>
    <row r="288" spans="1:34" ht="22.15" customHeight="1">
      <c r="A288" s="30">
        <v>45534</v>
      </c>
      <c r="B288" s="24" t="s">
        <v>75</v>
      </c>
      <c r="C288" s="2" t="s">
        <v>78</v>
      </c>
      <c r="D288" s="16" t="str" cm="1">
        <f t="array" ref="D288">_xlfn.XLOOKUP(1, (Table1[Project Name]=Table2[[#This Row],[Project ID]])*(Table1[Plot]=Table2[[#This Row],[Plot]]), Table1[Project ID])</f>
        <v>MJ-04</v>
      </c>
      <c r="E288" s="69">
        <v>96</v>
      </c>
      <c r="F288" s="70">
        <v>634</v>
      </c>
      <c r="G288" s="69">
        <f>Table2[[#This Row],[Time Elapsed]]+Table2[[#This Row],[Time Remaining]]</f>
        <v>730</v>
      </c>
      <c r="H288" s="136" t="s">
        <v>665</v>
      </c>
      <c r="I288" s="136" t="s">
        <v>666</v>
      </c>
      <c r="J288" s="13">
        <v>8.0799999999999997E-2</v>
      </c>
      <c r="K288" s="13">
        <v>8.5900000000000004E-2</v>
      </c>
      <c r="L288" s="13">
        <f>Table2[[#This Row],[Actual %]]-Table2[[#This Row],[Plan %]]</f>
        <v>5.1000000000000073E-3</v>
      </c>
      <c r="M288" s="144" t="s">
        <v>279</v>
      </c>
      <c r="N288" s="12">
        <v>45974</v>
      </c>
      <c r="O288" s="12"/>
      <c r="P288" s="12">
        <v>45974</v>
      </c>
      <c r="Q288" s="12">
        <v>45541</v>
      </c>
      <c r="R288" s="136" t="s">
        <v>670</v>
      </c>
      <c r="S288" s="136" t="s">
        <v>671</v>
      </c>
      <c r="T288" s="143" t="s">
        <v>672</v>
      </c>
      <c r="U288" s="155">
        <v>106953287.34999999</v>
      </c>
      <c r="V288" s="152">
        <v>0</v>
      </c>
      <c r="W288" s="36">
        <f>Table2[[#This Row],[Construction Contract Amount]]+Table2[[#This Row],[Cumulative Variations]]</f>
        <v>106953287.34999999</v>
      </c>
      <c r="X288" s="36">
        <v>3824490.97</v>
      </c>
      <c r="Y288" s="36">
        <v>0</v>
      </c>
      <c r="Z288" s="36">
        <f>Table2[[#This Row],[Final Contract Value]]+Table2[[#This Row],[Supervision Contract amount]]+Table2[[#This Row],[Authority Cost]]</f>
        <v>110777778.31999999</v>
      </c>
      <c r="AA288" s="140">
        <v>10680390</v>
      </c>
      <c r="AB288" s="139"/>
      <c r="AC288" s="91" t="str">
        <f t="shared" si="13"/>
        <v>https://drive.google.com/thumbnail?id=1_9wvDD0xzarupnO-MkGQjPWkgNEleRMr&amp;sz=w1000</v>
      </c>
      <c r="AD288" s="173" t="s">
        <v>676</v>
      </c>
      <c r="AE288" s="74" t="str">
        <f t="shared" si="14"/>
        <v>https://drive.google.com/thumbnail?id=1rhCvHfKmw2WQRnaHsokOte7r7Nl3uIJy&amp;sz=w1000</v>
      </c>
      <c r="AF288" s="173" t="s">
        <v>677</v>
      </c>
      <c r="AG288" s="73" t="str">
        <f t="shared" si="15"/>
        <v>https://drive.google.com/thumbnail?id=1XM56ViSsm-28H781ilJpgfRH-h3HxQCr&amp;sz=w1000</v>
      </c>
      <c r="AH288" s="173" t="s">
        <v>678</v>
      </c>
    </row>
    <row r="289" spans="1:34" ht="22.15" customHeight="1">
      <c r="A289" s="30">
        <v>45534</v>
      </c>
      <c r="B289" s="24" t="s">
        <v>75</v>
      </c>
      <c r="C289" s="2" t="s">
        <v>78</v>
      </c>
      <c r="D289" s="16" t="str" cm="1">
        <f t="array" ref="D289">_xlfn.XLOOKUP(1, (Table1[Project Name]=Table2[[#This Row],[Project ID]])*(Table1[Plot]=Table2[[#This Row],[Plot]]), Table1[Project ID])</f>
        <v>MJ-04</v>
      </c>
      <c r="E289" s="69">
        <v>96</v>
      </c>
      <c r="F289" s="70">
        <v>634</v>
      </c>
      <c r="G289" s="69">
        <f>Table2[[#This Row],[Time Elapsed]]+Table2[[#This Row],[Time Remaining]]</f>
        <v>730</v>
      </c>
      <c r="H289" s="136" t="s">
        <v>665</v>
      </c>
      <c r="I289" s="136" t="s">
        <v>666</v>
      </c>
      <c r="J289" s="13">
        <v>8.0799999999999997E-2</v>
      </c>
      <c r="K289" s="13">
        <v>8.5900000000000004E-2</v>
      </c>
      <c r="L289" s="13">
        <f>Table2[[#This Row],[Actual %]]-Table2[[#This Row],[Plan %]]</f>
        <v>5.1000000000000073E-3</v>
      </c>
      <c r="M289" s="144" t="s">
        <v>280</v>
      </c>
      <c r="N289" s="12">
        <v>46150</v>
      </c>
      <c r="O289" s="12"/>
      <c r="P289" s="12">
        <v>46150</v>
      </c>
      <c r="Q289" s="12">
        <v>45541</v>
      </c>
      <c r="R289" s="136" t="s">
        <v>670</v>
      </c>
      <c r="S289" s="136" t="s">
        <v>671</v>
      </c>
      <c r="T289" s="143" t="s">
        <v>672</v>
      </c>
      <c r="U289" s="155">
        <v>106953287.34999999</v>
      </c>
      <c r="V289" s="152">
        <v>0</v>
      </c>
      <c r="W289" s="36">
        <f>Table2[[#This Row],[Construction Contract Amount]]+Table2[[#This Row],[Cumulative Variations]]</f>
        <v>106953287.34999999</v>
      </c>
      <c r="X289" s="36">
        <v>3824490.97</v>
      </c>
      <c r="Y289" s="36">
        <v>0</v>
      </c>
      <c r="Z289" s="36">
        <f>Table2[[#This Row],[Final Contract Value]]+Table2[[#This Row],[Supervision Contract amount]]+Table2[[#This Row],[Authority Cost]]</f>
        <v>110777778.31999999</v>
      </c>
      <c r="AA289" s="140">
        <v>10680390</v>
      </c>
      <c r="AB289" s="139"/>
      <c r="AC289" s="91" t="str">
        <f t="shared" si="13"/>
        <v>https://drive.google.com/thumbnail?id=1_9wvDD0xzarupnO-MkGQjPWkgNEleRMr&amp;sz=w1000</v>
      </c>
      <c r="AD289" s="173" t="s">
        <v>676</v>
      </c>
      <c r="AE289" s="74" t="str">
        <f t="shared" si="14"/>
        <v>https://drive.google.com/thumbnail?id=1rhCvHfKmw2WQRnaHsokOte7r7Nl3uIJy&amp;sz=w1000</v>
      </c>
      <c r="AF289" s="173" t="s">
        <v>677</v>
      </c>
      <c r="AG289" s="73" t="str">
        <f t="shared" si="15"/>
        <v>https://drive.google.com/thumbnail?id=1XM56ViSsm-28H781ilJpgfRH-h3HxQCr&amp;sz=w1000</v>
      </c>
      <c r="AH289" s="173" t="s">
        <v>678</v>
      </c>
    </row>
    <row r="290" spans="1:34" ht="22.15" customHeight="1">
      <c r="A290" s="30">
        <v>45534</v>
      </c>
      <c r="B290" s="24" t="s">
        <v>75</v>
      </c>
      <c r="C290" s="2" t="s">
        <v>78</v>
      </c>
      <c r="D290" s="16" t="str" cm="1">
        <f t="array" ref="D290">_xlfn.XLOOKUP(1, (Table1[Project Name]=Table2[[#This Row],[Project ID]])*(Table1[Plot]=Table2[[#This Row],[Plot]]), Table1[Project ID])</f>
        <v>MJ-04</v>
      </c>
      <c r="E290" s="69">
        <v>96</v>
      </c>
      <c r="F290" s="70">
        <v>634</v>
      </c>
      <c r="G290" s="69">
        <f>Table2[[#This Row],[Time Elapsed]]+Table2[[#This Row],[Time Remaining]]</f>
        <v>730</v>
      </c>
      <c r="H290" s="136" t="s">
        <v>665</v>
      </c>
      <c r="I290" s="136" t="s">
        <v>666</v>
      </c>
      <c r="J290" s="13">
        <v>8.0799999999999997E-2</v>
      </c>
      <c r="K290" s="13">
        <v>8.5900000000000004E-2</v>
      </c>
      <c r="L290" s="13">
        <f>Table2[[#This Row],[Actual %]]-Table2[[#This Row],[Plan %]]</f>
        <v>5.1000000000000073E-3</v>
      </c>
      <c r="M290" s="144" t="s">
        <v>281</v>
      </c>
      <c r="N290" s="12">
        <v>46171</v>
      </c>
      <c r="O290" s="12"/>
      <c r="P290" s="12">
        <v>46171</v>
      </c>
      <c r="Q290" s="12">
        <v>45541</v>
      </c>
      <c r="R290" s="136" t="s">
        <v>670</v>
      </c>
      <c r="S290" s="136" t="s">
        <v>671</v>
      </c>
      <c r="T290" s="143" t="s">
        <v>672</v>
      </c>
      <c r="U290" s="155">
        <v>106953287.34999999</v>
      </c>
      <c r="V290" s="152">
        <v>0</v>
      </c>
      <c r="W290" s="36">
        <f>Table2[[#This Row],[Construction Contract Amount]]+Table2[[#This Row],[Cumulative Variations]]</f>
        <v>106953287.34999999</v>
      </c>
      <c r="X290" s="36">
        <v>3824490.97</v>
      </c>
      <c r="Y290" s="36">
        <v>0</v>
      </c>
      <c r="Z290" s="36">
        <f>Table2[[#This Row],[Final Contract Value]]+Table2[[#This Row],[Supervision Contract amount]]+Table2[[#This Row],[Authority Cost]]</f>
        <v>110777778.31999999</v>
      </c>
      <c r="AA290" s="140">
        <v>10680390</v>
      </c>
      <c r="AB290" s="139"/>
      <c r="AC290" s="91" t="str">
        <f t="shared" si="13"/>
        <v>https://drive.google.com/thumbnail?id=1_9wvDD0xzarupnO-MkGQjPWkgNEleRMr&amp;sz=w1000</v>
      </c>
      <c r="AD290" s="173" t="s">
        <v>676</v>
      </c>
      <c r="AE290" s="74" t="str">
        <f t="shared" si="14"/>
        <v>https://drive.google.com/thumbnail?id=1rhCvHfKmw2WQRnaHsokOte7r7Nl3uIJy&amp;sz=w1000</v>
      </c>
      <c r="AF290" s="173" t="s">
        <v>677</v>
      </c>
      <c r="AG290" s="73" t="str">
        <f t="shared" si="15"/>
        <v>https://drive.google.com/thumbnail?id=1XM56ViSsm-28H781ilJpgfRH-h3HxQCr&amp;sz=w1000</v>
      </c>
      <c r="AH290" s="173" t="s">
        <v>678</v>
      </c>
    </row>
    <row r="291" spans="1:34" ht="22.15" customHeight="1">
      <c r="A291" s="30">
        <v>45534</v>
      </c>
      <c r="B291" s="24" t="s">
        <v>75</v>
      </c>
      <c r="C291" s="2" t="s">
        <v>78</v>
      </c>
      <c r="D291" s="16" t="str" cm="1">
        <f t="array" ref="D291">_xlfn.XLOOKUP(1, (Table1[Project Name]=Table2[[#This Row],[Project ID]])*(Table1[Plot]=Table2[[#This Row],[Plot]]), Table1[Project ID])</f>
        <v>MJ-04</v>
      </c>
      <c r="E291" s="69">
        <v>96</v>
      </c>
      <c r="F291" s="70">
        <v>634</v>
      </c>
      <c r="G291" s="69">
        <f>Table2[[#This Row],[Time Elapsed]]+Table2[[#This Row],[Time Remaining]]</f>
        <v>730</v>
      </c>
      <c r="H291" s="136" t="s">
        <v>665</v>
      </c>
      <c r="I291" s="136" t="s">
        <v>666</v>
      </c>
      <c r="J291" s="13">
        <v>8.0799999999999997E-2</v>
      </c>
      <c r="K291" s="13">
        <v>8.5900000000000004E-2</v>
      </c>
      <c r="L291" s="13">
        <f>Table2[[#This Row],[Actual %]]-Table2[[#This Row],[Plan %]]</f>
        <v>5.1000000000000073E-3</v>
      </c>
      <c r="M291" s="144" t="s">
        <v>282</v>
      </c>
      <c r="N291" s="12">
        <v>46175</v>
      </c>
      <c r="O291" s="12"/>
      <c r="P291" s="12">
        <v>46175</v>
      </c>
      <c r="Q291" s="12">
        <v>45541</v>
      </c>
      <c r="R291" s="136" t="s">
        <v>670</v>
      </c>
      <c r="S291" s="136" t="s">
        <v>671</v>
      </c>
      <c r="T291" s="143" t="s">
        <v>672</v>
      </c>
      <c r="U291" s="155">
        <v>106953287.34999999</v>
      </c>
      <c r="V291" s="152">
        <v>0</v>
      </c>
      <c r="W291" s="36">
        <f>Table2[[#This Row],[Construction Contract Amount]]+Table2[[#This Row],[Cumulative Variations]]</f>
        <v>106953287.34999999</v>
      </c>
      <c r="X291" s="36">
        <v>3824490.97</v>
      </c>
      <c r="Y291" s="36">
        <v>0</v>
      </c>
      <c r="Z291" s="36">
        <f>Table2[[#This Row],[Final Contract Value]]+Table2[[#This Row],[Supervision Contract amount]]+Table2[[#This Row],[Authority Cost]]</f>
        <v>110777778.31999999</v>
      </c>
      <c r="AA291" s="140">
        <v>10680390</v>
      </c>
      <c r="AB291" s="139"/>
      <c r="AC291" s="91" t="str">
        <f t="shared" si="13"/>
        <v>https://drive.google.com/thumbnail?id=1_9wvDD0xzarupnO-MkGQjPWkgNEleRMr&amp;sz=w1000</v>
      </c>
      <c r="AD291" s="173" t="s">
        <v>676</v>
      </c>
      <c r="AE291" s="74" t="str">
        <f t="shared" si="14"/>
        <v>https://drive.google.com/thumbnail?id=1rhCvHfKmw2WQRnaHsokOte7r7Nl3uIJy&amp;sz=w1000</v>
      </c>
      <c r="AF291" s="173" t="s">
        <v>677</v>
      </c>
      <c r="AG291" s="73" t="str">
        <f t="shared" si="15"/>
        <v>https://drive.google.com/thumbnail?id=1XM56ViSsm-28H781ilJpgfRH-h3HxQCr&amp;sz=w1000</v>
      </c>
      <c r="AH291" s="173" t="s">
        <v>678</v>
      </c>
    </row>
    <row r="292" spans="1:34" ht="22.15" customHeight="1">
      <c r="A292" s="30">
        <v>45534</v>
      </c>
      <c r="B292" s="24" t="s">
        <v>75</v>
      </c>
      <c r="C292" s="2" t="s">
        <v>78</v>
      </c>
      <c r="D292" s="16" t="str" cm="1">
        <f t="array" ref="D292">_xlfn.XLOOKUP(1, (Table1[Project Name]=Table2[[#This Row],[Project ID]])*(Table1[Plot]=Table2[[#This Row],[Plot]]), Table1[Project ID])</f>
        <v>MJ-04</v>
      </c>
      <c r="E292" s="69">
        <v>96</v>
      </c>
      <c r="F292" s="70">
        <v>634</v>
      </c>
      <c r="G292" s="69">
        <f>Table2[[#This Row],[Time Elapsed]]+Table2[[#This Row],[Time Remaining]]</f>
        <v>730</v>
      </c>
      <c r="H292" s="136" t="s">
        <v>665</v>
      </c>
      <c r="I292" s="136" t="s">
        <v>666</v>
      </c>
      <c r="J292" s="13">
        <v>8.0799999999999997E-2</v>
      </c>
      <c r="K292" s="13">
        <v>8.5900000000000004E-2</v>
      </c>
      <c r="L292" s="13">
        <f>Table2[[#This Row],[Actual %]]-Table2[[#This Row],[Plan %]]</f>
        <v>5.1000000000000073E-3</v>
      </c>
      <c r="M292" s="144" t="s">
        <v>283</v>
      </c>
      <c r="N292" s="12">
        <v>46175</v>
      </c>
      <c r="O292" s="12"/>
      <c r="P292" s="12">
        <v>46175</v>
      </c>
      <c r="Q292" s="12">
        <v>45541</v>
      </c>
      <c r="R292" s="136" t="s">
        <v>670</v>
      </c>
      <c r="S292" s="136" t="s">
        <v>671</v>
      </c>
      <c r="T292" s="143" t="s">
        <v>672</v>
      </c>
      <c r="U292" s="155">
        <v>106953287.34999999</v>
      </c>
      <c r="V292" s="152">
        <v>0</v>
      </c>
      <c r="W292" s="36">
        <f>Table2[[#This Row],[Construction Contract Amount]]+Table2[[#This Row],[Cumulative Variations]]</f>
        <v>106953287.34999999</v>
      </c>
      <c r="X292" s="36">
        <v>3824490.97</v>
      </c>
      <c r="Y292" s="36">
        <v>0</v>
      </c>
      <c r="Z292" s="36">
        <f>Table2[[#This Row],[Final Contract Value]]+Table2[[#This Row],[Supervision Contract amount]]+Table2[[#This Row],[Authority Cost]]</f>
        <v>110777778.31999999</v>
      </c>
      <c r="AA292" s="140">
        <v>10680390</v>
      </c>
      <c r="AB292" s="139"/>
      <c r="AC292" s="91" t="str">
        <f t="shared" si="13"/>
        <v>https://drive.google.com/thumbnail?id=1_9wvDD0xzarupnO-MkGQjPWkgNEleRMr&amp;sz=w1000</v>
      </c>
      <c r="AD292" s="173" t="s">
        <v>676</v>
      </c>
      <c r="AE292" s="74" t="str">
        <f t="shared" si="14"/>
        <v>https://drive.google.com/thumbnail?id=1rhCvHfKmw2WQRnaHsokOte7r7Nl3uIJy&amp;sz=w1000</v>
      </c>
      <c r="AF292" s="173" t="s">
        <v>677</v>
      </c>
      <c r="AG292" s="73" t="str">
        <f t="shared" si="15"/>
        <v>https://drive.google.com/thumbnail?id=1XM56ViSsm-28H781ilJpgfRH-h3HxQCr&amp;sz=w1000</v>
      </c>
      <c r="AH292" s="173" t="s">
        <v>678</v>
      </c>
    </row>
    <row r="293" spans="1:34" ht="22.15" customHeight="1">
      <c r="A293" s="30">
        <v>45534</v>
      </c>
      <c r="B293" s="24" t="s">
        <v>75</v>
      </c>
      <c r="C293" s="2" t="s">
        <v>78</v>
      </c>
      <c r="D293" s="16" t="str" cm="1">
        <f t="array" ref="D293">_xlfn.XLOOKUP(1, (Table1[Project Name]=Table2[[#This Row],[Project ID]])*(Table1[Plot]=Table2[[#This Row],[Plot]]), Table1[Project ID])</f>
        <v>MJ-04</v>
      </c>
      <c r="E293" s="69">
        <v>96</v>
      </c>
      <c r="F293" s="70">
        <v>634</v>
      </c>
      <c r="G293" s="69">
        <f>Table2[[#This Row],[Time Elapsed]]+Table2[[#This Row],[Time Remaining]]</f>
        <v>730</v>
      </c>
      <c r="H293" s="136" t="s">
        <v>665</v>
      </c>
      <c r="I293" s="136" t="s">
        <v>666</v>
      </c>
      <c r="J293" s="13">
        <v>8.0799999999999997E-2</v>
      </c>
      <c r="K293" s="13">
        <v>8.5900000000000004E-2</v>
      </c>
      <c r="L293" s="13">
        <f>Table2[[#This Row],[Actual %]]-Table2[[#This Row],[Plan %]]</f>
        <v>5.1000000000000073E-3</v>
      </c>
      <c r="M293" s="144" t="s">
        <v>284</v>
      </c>
      <c r="N293" s="12">
        <v>46175</v>
      </c>
      <c r="O293" s="12"/>
      <c r="P293" s="12">
        <v>46175</v>
      </c>
      <c r="Q293" s="12">
        <v>45541</v>
      </c>
      <c r="R293" s="136" t="s">
        <v>670</v>
      </c>
      <c r="S293" s="136" t="s">
        <v>671</v>
      </c>
      <c r="T293" s="143" t="s">
        <v>672</v>
      </c>
      <c r="U293" s="155">
        <v>106953287.34999999</v>
      </c>
      <c r="V293" s="152">
        <v>0</v>
      </c>
      <c r="W293" s="36">
        <f>Table2[[#This Row],[Construction Contract Amount]]+Table2[[#This Row],[Cumulative Variations]]</f>
        <v>106953287.34999999</v>
      </c>
      <c r="X293" s="36">
        <v>3824490.97</v>
      </c>
      <c r="Y293" s="36">
        <v>0</v>
      </c>
      <c r="Z293" s="36">
        <f>Table2[[#This Row],[Final Contract Value]]+Table2[[#This Row],[Supervision Contract amount]]+Table2[[#This Row],[Authority Cost]]</f>
        <v>110777778.31999999</v>
      </c>
      <c r="AA293" s="140">
        <v>10680390</v>
      </c>
      <c r="AB293" s="139"/>
      <c r="AC293" s="91" t="str">
        <f t="shared" si="13"/>
        <v>https://drive.google.com/thumbnail?id=1_9wvDD0xzarupnO-MkGQjPWkgNEleRMr&amp;sz=w1000</v>
      </c>
      <c r="AD293" s="173" t="s">
        <v>676</v>
      </c>
      <c r="AE293" s="74" t="str">
        <f t="shared" si="14"/>
        <v>https://drive.google.com/thumbnail?id=1rhCvHfKmw2WQRnaHsokOte7r7Nl3uIJy&amp;sz=w1000</v>
      </c>
      <c r="AF293" s="173" t="s">
        <v>677</v>
      </c>
      <c r="AG293" s="73" t="str">
        <f t="shared" si="15"/>
        <v>https://drive.google.com/thumbnail?id=1XM56ViSsm-28H781ilJpgfRH-h3HxQCr&amp;sz=w1000</v>
      </c>
      <c r="AH293" s="173" t="s">
        <v>678</v>
      </c>
    </row>
    <row r="294" spans="1:34" ht="22.15" customHeight="1">
      <c r="A294" s="30">
        <v>45534</v>
      </c>
      <c r="B294" s="17" t="s">
        <v>111</v>
      </c>
      <c r="C294" s="2" t="s">
        <v>11</v>
      </c>
      <c r="D294" s="16" t="str" cm="1">
        <f t="array" ref="D294">_xlfn.XLOOKUP(1, (Table1[Project Name]=Table2[[#This Row],[Project ID]])*(Table1[Plot]=Table2[[#This Row],[Plot]]), Table1[Project ID])</f>
        <v>MJ-12</v>
      </c>
      <c r="E294" s="69">
        <v>53</v>
      </c>
      <c r="F294" s="70">
        <v>555</v>
      </c>
      <c r="G294" s="69">
        <f>Table2[[#This Row],[Time Elapsed]]+Table2[[#This Row],[Time Remaining]]</f>
        <v>608</v>
      </c>
      <c r="H294" s="136" t="s">
        <v>679</v>
      </c>
      <c r="I294" s="136"/>
      <c r="J294" s="13">
        <v>1.38E-2</v>
      </c>
      <c r="K294" s="137">
        <v>1.3100000000000001E-2</v>
      </c>
      <c r="L294" s="13">
        <f>Table2[[#This Row],[Actual %]]-Table2[[#This Row],[Plan %]]</f>
        <v>-6.9999999999999923E-4</v>
      </c>
      <c r="M294" s="144" t="s">
        <v>28</v>
      </c>
      <c r="N294" s="12"/>
      <c r="O294" s="12"/>
      <c r="P294" s="12"/>
      <c r="Q294" s="12">
        <v>45541</v>
      </c>
      <c r="R294" s="136" t="s">
        <v>680</v>
      </c>
      <c r="S294" s="146" t="s">
        <v>681</v>
      </c>
      <c r="T294" s="149" t="s">
        <v>682</v>
      </c>
      <c r="U294" s="156">
        <v>116841278.45383713</v>
      </c>
      <c r="V294" s="154">
        <v>0</v>
      </c>
      <c r="W294" s="36">
        <f>Table2[[#This Row],[Construction Contract Amount]]+Table2[[#This Row],[Cumulative Variations]]</f>
        <v>116841278.45383713</v>
      </c>
      <c r="X294" s="158">
        <v>3229333.33</v>
      </c>
      <c r="Y294" s="154">
        <v>0</v>
      </c>
      <c r="Z294" s="36">
        <f>Table2[[#This Row],[Final Contract Value]]+Table2[[#This Row],[Supervision Contract amount]]+Table2[[#This Row],[Authority Cost]]</f>
        <v>120070611.78383712</v>
      </c>
      <c r="AA294" s="140"/>
      <c r="AB294" s="154">
        <v>56109.376666666598</v>
      </c>
      <c r="AC294" s="91" t="str">
        <f t="shared" si="13"/>
        <v>https://drive.google.com/thumbnail?id=1TkkF924YYfv_46cDxUoc3DW_cdMcch42&amp;sz=w1000</v>
      </c>
      <c r="AD294" s="173" t="s">
        <v>683</v>
      </c>
      <c r="AE294" s="74" t="str">
        <f t="shared" si="14"/>
        <v>https://drive.google.com/thumbnail?id=12FCTiQHROItKTuE1paH0D-F5NmHrtpx8&amp;sz=w1000</v>
      </c>
      <c r="AF294" s="173" t="s">
        <v>684</v>
      </c>
      <c r="AG294" s="73" t="str">
        <f t="shared" si="15"/>
        <v>https://drive.google.com/thumbnail?id=1y-Ocgzn3Ss07_HRVm38HZw507xBX9Q3K&amp;sz=w1000</v>
      </c>
      <c r="AH294" s="173" t="s">
        <v>685</v>
      </c>
    </row>
    <row r="295" spans="1:34" ht="22.15" customHeight="1">
      <c r="A295" s="30">
        <v>45534</v>
      </c>
      <c r="B295" s="17" t="s">
        <v>111</v>
      </c>
      <c r="C295" s="2" t="s">
        <v>11</v>
      </c>
      <c r="D295" s="16" t="str" cm="1">
        <f t="array" ref="D295">_xlfn.XLOOKUP(1, (Table1[Project Name]=Table2[[#This Row],[Project ID]])*(Table1[Plot]=Table2[[#This Row],[Plot]]), Table1[Project ID])</f>
        <v>MJ-12</v>
      </c>
      <c r="E295" s="69">
        <v>53</v>
      </c>
      <c r="F295" s="70">
        <v>555</v>
      </c>
      <c r="G295" s="69">
        <f>Table2[[#This Row],[Time Elapsed]]+Table2[[#This Row],[Time Remaining]]</f>
        <v>608</v>
      </c>
      <c r="H295" s="136" t="s">
        <v>679</v>
      </c>
      <c r="I295" s="136"/>
      <c r="J295" s="13">
        <v>1.38E-2</v>
      </c>
      <c r="K295" s="137">
        <v>1.3100000000000001E-2</v>
      </c>
      <c r="L295" s="13">
        <f>Table2[[#This Row],[Actual %]]-Table2[[#This Row],[Plan %]]</f>
        <v>-6.9999999999999923E-4</v>
      </c>
      <c r="M295" s="144" t="s">
        <v>50</v>
      </c>
      <c r="N295" s="12"/>
      <c r="O295" s="12"/>
      <c r="P295" s="12"/>
      <c r="Q295" s="12">
        <v>45541</v>
      </c>
      <c r="R295" s="136" t="s">
        <v>680</v>
      </c>
      <c r="S295" s="146" t="s">
        <v>681</v>
      </c>
      <c r="T295" s="149" t="s">
        <v>682</v>
      </c>
      <c r="U295" s="156">
        <v>116841278.45383713</v>
      </c>
      <c r="V295" s="154">
        <v>0</v>
      </c>
      <c r="W295" s="36">
        <f>Table2[[#This Row],[Construction Contract Amount]]+Table2[[#This Row],[Cumulative Variations]]</f>
        <v>116841278.45383713</v>
      </c>
      <c r="X295" s="158">
        <v>3229333.33</v>
      </c>
      <c r="Y295" s="154">
        <v>0</v>
      </c>
      <c r="Z295" s="36">
        <f>Table2[[#This Row],[Final Contract Value]]+Table2[[#This Row],[Supervision Contract amount]]+Table2[[#This Row],[Authority Cost]]</f>
        <v>120070611.78383712</v>
      </c>
      <c r="AA295" s="140"/>
      <c r="AB295" s="154">
        <v>56109.376666666598</v>
      </c>
      <c r="AC295" s="91" t="str">
        <f t="shared" si="13"/>
        <v>https://drive.google.com/thumbnail?id=1TkkF924YYfv_46cDxUoc3DW_cdMcch42&amp;sz=w1000</v>
      </c>
      <c r="AD295" s="173" t="s">
        <v>683</v>
      </c>
      <c r="AE295" s="74" t="str">
        <f t="shared" si="14"/>
        <v>https://drive.google.com/thumbnail?id=12FCTiQHROItKTuE1paH0D-F5NmHrtpx8&amp;sz=w1000</v>
      </c>
      <c r="AF295" s="173" t="s">
        <v>684</v>
      </c>
      <c r="AG295" s="73" t="str">
        <f t="shared" si="15"/>
        <v>https://drive.google.com/thumbnail?id=1y-Ocgzn3Ss07_HRVm38HZw507xBX9Q3K&amp;sz=w1000</v>
      </c>
      <c r="AH295" s="173" t="s">
        <v>685</v>
      </c>
    </row>
    <row r="296" spans="1:34" ht="22.15" customHeight="1">
      <c r="A296" s="30">
        <v>45534</v>
      </c>
      <c r="B296" s="17" t="s">
        <v>111</v>
      </c>
      <c r="C296" s="2" t="s">
        <v>11</v>
      </c>
      <c r="D296" s="16" t="str" cm="1">
        <f t="array" ref="D296">_xlfn.XLOOKUP(1, (Table1[Project Name]=Table2[[#This Row],[Project ID]])*(Table1[Plot]=Table2[[#This Row],[Plot]]), Table1[Project ID])</f>
        <v>MJ-12</v>
      </c>
      <c r="E296" s="69">
        <v>53</v>
      </c>
      <c r="F296" s="70">
        <v>555</v>
      </c>
      <c r="G296" s="69">
        <f>Table2[[#This Row],[Time Elapsed]]+Table2[[#This Row],[Time Remaining]]</f>
        <v>608</v>
      </c>
      <c r="H296" s="136" t="s">
        <v>679</v>
      </c>
      <c r="I296" s="136"/>
      <c r="J296" s="13">
        <v>1.38E-2</v>
      </c>
      <c r="K296" s="137">
        <v>1.3100000000000001E-2</v>
      </c>
      <c r="L296" s="13">
        <f>Table2[[#This Row],[Actual %]]-Table2[[#This Row],[Plan %]]</f>
        <v>-6.9999999999999923E-4</v>
      </c>
      <c r="M296" s="144" t="s">
        <v>51</v>
      </c>
      <c r="N296" s="12"/>
      <c r="O296" s="12"/>
      <c r="P296" s="12"/>
      <c r="Q296" s="12">
        <v>45541</v>
      </c>
      <c r="R296" s="136" t="s">
        <v>680</v>
      </c>
      <c r="S296" s="146" t="s">
        <v>681</v>
      </c>
      <c r="T296" s="149" t="s">
        <v>682</v>
      </c>
      <c r="U296" s="156">
        <v>116841278.45383713</v>
      </c>
      <c r="V296" s="154">
        <v>0</v>
      </c>
      <c r="W296" s="36">
        <f>Table2[[#This Row],[Construction Contract Amount]]+Table2[[#This Row],[Cumulative Variations]]</f>
        <v>116841278.45383713</v>
      </c>
      <c r="X296" s="158">
        <v>3229333.33</v>
      </c>
      <c r="Y296" s="154">
        <v>0</v>
      </c>
      <c r="Z296" s="36">
        <f>Table2[[#This Row],[Final Contract Value]]+Table2[[#This Row],[Supervision Contract amount]]+Table2[[#This Row],[Authority Cost]]</f>
        <v>120070611.78383712</v>
      </c>
      <c r="AA296" s="140"/>
      <c r="AB296" s="154">
        <v>56109.376666666598</v>
      </c>
      <c r="AC296" s="91" t="str">
        <f t="shared" si="13"/>
        <v>https://drive.google.com/thumbnail?id=1TkkF924YYfv_46cDxUoc3DW_cdMcch42&amp;sz=w1000</v>
      </c>
      <c r="AD296" s="173" t="s">
        <v>683</v>
      </c>
      <c r="AE296" s="74" t="str">
        <f t="shared" si="14"/>
        <v>https://drive.google.com/thumbnail?id=12FCTiQHROItKTuE1paH0D-F5NmHrtpx8&amp;sz=w1000</v>
      </c>
      <c r="AF296" s="173" t="s">
        <v>684</v>
      </c>
      <c r="AG296" s="73" t="str">
        <f t="shared" si="15"/>
        <v>https://drive.google.com/thumbnail?id=1y-Ocgzn3Ss07_HRVm38HZw507xBX9Q3K&amp;sz=w1000</v>
      </c>
      <c r="AH296" s="173" t="s">
        <v>685</v>
      </c>
    </row>
    <row r="297" spans="1:34" ht="22.15" customHeight="1">
      <c r="A297" s="30">
        <v>45534</v>
      </c>
      <c r="B297" s="17" t="s">
        <v>111</v>
      </c>
      <c r="C297" s="2" t="s">
        <v>11</v>
      </c>
      <c r="D297" s="16" t="str" cm="1">
        <f t="array" ref="D297">_xlfn.XLOOKUP(1, (Table1[Project Name]=Table2[[#This Row],[Project ID]])*(Table1[Plot]=Table2[[#This Row],[Plot]]), Table1[Project ID])</f>
        <v>MJ-12</v>
      </c>
      <c r="E297" s="69">
        <v>53</v>
      </c>
      <c r="F297" s="70">
        <v>555</v>
      </c>
      <c r="G297" s="69">
        <f>Table2[[#This Row],[Time Elapsed]]+Table2[[#This Row],[Time Remaining]]</f>
        <v>608</v>
      </c>
      <c r="H297" s="136" t="s">
        <v>679</v>
      </c>
      <c r="I297" s="136"/>
      <c r="J297" s="13">
        <v>1.38E-2</v>
      </c>
      <c r="K297" s="137">
        <v>1.3100000000000001E-2</v>
      </c>
      <c r="L297" s="13">
        <f>Table2[[#This Row],[Actual %]]-Table2[[#This Row],[Plan %]]</f>
        <v>-6.9999999999999923E-4</v>
      </c>
      <c r="M297" s="144" t="s">
        <v>275</v>
      </c>
      <c r="N297" s="12"/>
      <c r="O297" s="12"/>
      <c r="P297" s="12"/>
      <c r="Q297" s="12">
        <v>45541</v>
      </c>
      <c r="R297" s="136" t="s">
        <v>680</v>
      </c>
      <c r="S297" s="146" t="s">
        <v>681</v>
      </c>
      <c r="T297" s="149" t="s">
        <v>682</v>
      </c>
      <c r="U297" s="156">
        <v>116841278.45383713</v>
      </c>
      <c r="V297" s="154">
        <v>0</v>
      </c>
      <c r="W297" s="36">
        <f>Table2[[#This Row],[Construction Contract Amount]]+Table2[[#This Row],[Cumulative Variations]]</f>
        <v>116841278.45383713</v>
      </c>
      <c r="X297" s="158">
        <v>3229333.33</v>
      </c>
      <c r="Y297" s="154">
        <v>0</v>
      </c>
      <c r="Z297" s="36">
        <f>Table2[[#This Row],[Final Contract Value]]+Table2[[#This Row],[Supervision Contract amount]]+Table2[[#This Row],[Authority Cost]]</f>
        <v>120070611.78383712</v>
      </c>
      <c r="AA297" s="140"/>
      <c r="AB297" s="154">
        <v>56109.376666666598</v>
      </c>
      <c r="AC297" s="91" t="str">
        <f t="shared" si="13"/>
        <v>https://drive.google.com/thumbnail?id=1TkkF924YYfv_46cDxUoc3DW_cdMcch42&amp;sz=w1000</v>
      </c>
      <c r="AD297" s="173" t="s">
        <v>683</v>
      </c>
      <c r="AE297" s="74" t="str">
        <f t="shared" si="14"/>
        <v>https://drive.google.com/thumbnail?id=12FCTiQHROItKTuE1paH0D-F5NmHrtpx8&amp;sz=w1000</v>
      </c>
      <c r="AF297" s="173" t="s">
        <v>684</v>
      </c>
      <c r="AG297" s="73" t="str">
        <f t="shared" si="15"/>
        <v>https://drive.google.com/thumbnail?id=1y-Ocgzn3Ss07_HRVm38HZw507xBX9Q3K&amp;sz=w1000</v>
      </c>
      <c r="AH297" s="173" t="s">
        <v>685</v>
      </c>
    </row>
    <row r="298" spans="1:34" ht="22.15" customHeight="1">
      <c r="A298" s="30">
        <v>45534</v>
      </c>
      <c r="B298" s="17" t="s">
        <v>111</v>
      </c>
      <c r="C298" s="2" t="s">
        <v>11</v>
      </c>
      <c r="D298" s="16" t="str" cm="1">
        <f t="array" ref="D298">_xlfn.XLOOKUP(1, (Table1[Project Name]=Table2[[#This Row],[Project ID]])*(Table1[Plot]=Table2[[#This Row],[Plot]]), Table1[Project ID])</f>
        <v>MJ-12</v>
      </c>
      <c r="E298" s="69">
        <v>53</v>
      </c>
      <c r="F298" s="70">
        <v>555</v>
      </c>
      <c r="G298" s="69">
        <f>Table2[[#This Row],[Time Elapsed]]+Table2[[#This Row],[Time Remaining]]</f>
        <v>608</v>
      </c>
      <c r="H298" s="136" t="s">
        <v>679</v>
      </c>
      <c r="I298" s="136"/>
      <c r="J298" s="13">
        <v>1.38E-2</v>
      </c>
      <c r="K298" s="137">
        <v>1.3100000000000001E-2</v>
      </c>
      <c r="L298" s="13">
        <f>Table2[[#This Row],[Actual %]]-Table2[[#This Row],[Plan %]]</f>
        <v>-6.9999999999999923E-4</v>
      </c>
      <c r="M298" s="144" t="s">
        <v>276</v>
      </c>
      <c r="N298" s="12"/>
      <c r="O298" s="12"/>
      <c r="P298" s="12"/>
      <c r="Q298" s="12">
        <v>45541</v>
      </c>
      <c r="R298" s="136" t="s">
        <v>680</v>
      </c>
      <c r="S298" s="146" t="s">
        <v>681</v>
      </c>
      <c r="T298" s="149" t="s">
        <v>682</v>
      </c>
      <c r="U298" s="156">
        <v>116841278.45383713</v>
      </c>
      <c r="V298" s="154">
        <v>0</v>
      </c>
      <c r="W298" s="36">
        <f>Table2[[#This Row],[Construction Contract Amount]]+Table2[[#This Row],[Cumulative Variations]]</f>
        <v>116841278.45383713</v>
      </c>
      <c r="X298" s="158">
        <v>3229333.33</v>
      </c>
      <c r="Y298" s="154">
        <v>0</v>
      </c>
      <c r="Z298" s="36">
        <f>Table2[[#This Row],[Final Contract Value]]+Table2[[#This Row],[Supervision Contract amount]]+Table2[[#This Row],[Authority Cost]]</f>
        <v>120070611.78383712</v>
      </c>
      <c r="AA298" s="140"/>
      <c r="AB298" s="154">
        <v>56109.376666666598</v>
      </c>
      <c r="AC298" s="91" t="str">
        <f t="shared" si="13"/>
        <v>https://drive.google.com/thumbnail?id=1TkkF924YYfv_46cDxUoc3DW_cdMcch42&amp;sz=w1000</v>
      </c>
      <c r="AD298" s="173" t="s">
        <v>683</v>
      </c>
      <c r="AE298" s="74" t="str">
        <f t="shared" si="14"/>
        <v>https://drive.google.com/thumbnail?id=12FCTiQHROItKTuE1paH0D-F5NmHrtpx8&amp;sz=w1000</v>
      </c>
      <c r="AF298" s="173" t="s">
        <v>684</v>
      </c>
      <c r="AG298" s="73" t="str">
        <f t="shared" si="15"/>
        <v>https://drive.google.com/thumbnail?id=1y-Ocgzn3Ss07_HRVm38HZw507xBX9Q3K&amp;sz=w1000</v>
      </c>
      <c r="AH298" s="173" t="s">
        <v>685</v>
      </c>
    </row>
    <row r="299" spans="1:34" ht="22.15" customHeight="1">
      <c r="A299" s="30">
        <v>45534</v>
      </c>
      <c r="B299" s="17" t="s">
        <v>111</v>
      </c>
      <c r="C299" s="2" t="s">
        <v>11</v>
      </c>
      <c r="D299" s="16" t="str" cm="1">
        <f t="array" ref="D299">_xlfn.XLOOKUP(1, (Table1[Project Name]=Table2[[#This Row],[Project ID]])*(Table1[Plot]=Table2[[#This Row],[Plot]]), Table1[Project ID])</f>
        <v>MJ-12</v>
      </c>
      <c r="E299" s="69">
        <v>53</v>
      </c>
      <c r="F299" s="70">
        <v>555</v>
      </c>
      <c r="G299" s="69">
        <f>Table2[[#This Row],[Time Elapsed]]+Table2[[#This Row],[Time Remaining]]</f>
        <v>608</v>
      </c>
      <c r="H299" s="136" t="s">
        <v>679</v>
      </c>
      <c r="I299" s="136"/>
      <c r="J299" s="13">
        <v>1.38E-2</v>
      </c>
      <c r="K299" s="137">
        <v>1.3100000000000001E-2</v>
      </c>
      <c r="L299" s="13">
        <f>Table2[[#This Row],[Actual %]]-Table2[[#This Row],[Plan %]]</f>
        <v>-6.9999999999999923E-4</v>
      </c>
      <c r="M299" s="144" t="s">
        <v>277</v>
      </c>
      <c r="N299" s="12"/>
      <c r="O299" s="12"/>
      <c r="P299" s="12"/>
      <c r="Q299" s="12">
        <v>45541</v>
      </c>
      <c r="R299" s="136" t="s">
        <v>680</v>
      </c>
      <c r="S299" s="146" t="s">
        <v>681</v>
      </c>
      <c r="T299" s="149" t="s">
        <v>682</v>
      </c>
      <c r="U299" s="156">
        <v>116841278.45383713</v>
      </c>
      <c r="V299" s="154">
        <v>0</v>
      </c>
      <c r="W299" s="36">
        <f>Table2[[#This Row],[Construction Contract Amount]]+Table2[[#This Row],[Cumulative Variations]]</f>
        <v>116841278.45383713</v>
      </c>
      <c r="X299" s="158">
        <v>3229333.33</v>
      </c>
      <c r="Y299" s="154">
        <v>0</v>
      </c>
      <c r="Z299" s="36">
        <f>Table2[[#This Row],[Final Contract Value]]+Table2[[#This Row],[Supervision Contract amount]]+Table2[[#This Row],[Authority Cost]]</f>
        <v>120070611.78383712</v>
      </c>
      <c r="AA299" s="140"/>
      <c r="AB299" s="154">
        <v>56109.376666666598</v>
      </c>
      <c r="AC299" s="91" t="str">
        <f t="shared" si="13"/>
        <v>https://drive.google.com/thumbnail?id=1TkkF924YYfv_46cDxUoc3DW_cdMcch42&amp;sz=w1000</v>
      </c>
      <c r="AD299" s="173" t="s">
        <v>683</v>
      </c>
      <c r="AE299" s="74" t="str">
        <f t="shared" si="14"/>
        <v>https://drive.google.com/thumbnail?id=12FCTiQHROItKTuE1paH0D-F5NmHrtpx8&amp;sz=w1000</v>
      </c>
      <c r="AF299" s="173" t="s">
        <v>684</v>
      </c>
      <c r="AG299" s="73" t="str">
        <f t="shared" si="15"/>
        <v>https://drive.google.com/thumbnail?id=1y-Ocgzn3Ss07_HRVm38HZw507xBX9Q3K&amp;sz=w1000</v>
      </c>
      <c r="AH299" s="173" t="s">
        <v>685</v>
      </c>
    </row>
    <row r="300" spans="1:34" ht="22.15" customHeight="1">
      <c r="A300" s="30">
        <v>45534</v>
      </c>
      <c r="B300" s="17" t="s">
        <v>111</v>
      </c>
      <c r="C300" s="2" t="s">
        <v>11</v>
      </c>
      <c r="D300" s="16" t="str" cm="1">
        <f t="array" ref="D300">_xlfn.XLOOKUP(1, (Table1[Project Name]=Table2[[#This Row],[Project ID]])*(Table1[Plot]=Table2[[#This Row],[Plot]]), Table1[Project ID])</f>
        <v>MJ-12</v>
      </c>
      <c r="E300" s="69">
        <v>53</v>
      </c>
      <c r="F300" s="70">
        <v>555</v>
      </c>
      <c r="G300" s="69">
        <f>Table2[[#This Row],[Time Elapsed]]+Table2[[#This Row],[Time Remaining]]</f>
        <v>608</v>
      </c>
      <c r="H300" s="136" t="s">
        <v>679</v>
      </c>
      <c r="I300" s="136"/>
      <c r="J300" s="13">
        <v>1.38E-2</v>
      </c>
      <c r="K300" s="137">
        <v>1.3100000000000001E-2</v>
      </c>
      <c r="L300" s="13">
        <f>Table2[[#This Row],[Actual %]]-Table2[[#This Row],[Plan %]]</f>
        <v>-6.9999999999999923E-4</v>
      </c>
      <c r="M300" s="144" t="s">
        <v>278</v>
      </c>
      <c r="N300" s="12"/>
      <c r="O300" s="12"/>
      <c r="P300" s="12"/>
      <c r="Q300" s="12">
        <v>45541</v>
      </c>
      <c r="R300" s="136" t="s">
        <v>680</v>
      </c>
      <c r="S300" s="146" t="s">
        <v>681</v>
      </c>
      <c r="T300" s="149" t="s">
        <v>682</v>
      </c>
      <c r="U300" s="156">
        <v>116841278.45383713</v>
      </c>
      <c r="V300" s="154">
        <v>0</v>
      </c>
      <c r="W300" s="36">
        <f>Table2[[#This Row],[Construction Contract Amount]]+Table2[[#This Row],[Cumulative Variations]]</f>
        <v>116841278.45383713</v>
      </c>
      <c r="X300" s="158">
        <v>3229333.33</v>
      </c>
      <c r="Y300" s="154">
        <v>0</v>
      </c>
      <c r="Z300" s="36">
        <f>Table2[[#This Row],[Final Contract Value]]+Table2[[#This Row],[Supervision Contract amount]]+Table2[[#This Row],[Authority Cost]]</f>
        <v>120070611.78383712</v>
      </c>
      <c r="AA300" s="140"/>
      <c r="AB300" s="154">
        <v>56109.376666666598</v>
      </c>
      <c r="AC300" s="91" t="str">
        <f t="shared" si="13"/>
        <v>https://drive.google.com/thumbnail?id=1TkkF924YYfv_46cDxUoc3DW_cdMcch42&amp;sz=w1000</v>
      </c>
      <c r="AD300" s="173" t="s">
        <v>683</v>
      </c>
      <c r="AE300" s="74" t="str">
        <f t="shared" si="14"/>
        <v>https://drive.google.com/thumbnail?id=12FCTiQHROItKTuE1paH0D-F5NmHrtpx8&amp;sz=w1000</v>
      </c>
      <c r="AF300" s="173" t="s">
        <v>684</v>
      </c>
      <c r="AG300" s="73" t="str">
        <f t="shared" si="15"/>
        <v>https://drive.google.com/thumbnail?id=1y-Ocgzn3Ss07_HRVm38HZw507xBX9Q3K&amp;sz=w1000</v>
      </c>
      <c r="AH300" s="173" t="s">
        <v>685</v>
      </c>
    </row>
    <row r="301" spans="1:34" ht="22.15" customHeight="1">
      <c r="A301" s="30">
        <v>45534</v>
      </c>
      <c r="B301" s="17" t="s">
        <v>111</v>
      </c>
      <c r="C301" s="2" t="s">
        <v>11</v>
      </c>
      <c r="D301" s="16" t="str" cm="1">
        <f t="array" ref="D301">_xlfn.XLOOKUP(1, (Table1[Project Name]=Table2[[#This Row],[Project ID]])*(Table1[Plot]=Table2[[#This Row],[Plot]]), Table1[Project ID])</f>
        <v>MJ-12</v>
      </c>
      <c r="E301" s="69">
        <v>53</v>
      </c>
      <c r="F301" s="70">
        <v>555</v>
      </c>
      <c r="G301" s="69">
        <f>Table2[[#This Row],[Time Elapsed]]+Table2[[#This Row],[Time Remaining]]</f>
        <v>608</v>
      </c>
      <c r="H301" s="136" t="s">
        <v>679</v>
      </c>
      <c r="I301" s="136"/>
      <c r="J301" s="13">
        <v>1.38E-2</v>
      </c>
      <c r="K301" s="137">
        <v>1.3100000000000001E-2</v>
      </c>
      <c r="L301" s="13">
        <f>Table2[[#This Row],[Actual %]]-Table2[[#This Row],[Plan %]]</f>
        <v>-6.9999999999999923E-4</v>
      </c>
      <c r="M301" s="144" t="s">
        <v>279</v>
      </c>
      <c r="N301" s="12"/>
      <c r="O301" s="12"/>
      <c r="P301" s="12"/>
      <c r="Q301" s="12">
        <v>45541</v>
      </c>
      <c r="R301" s="136" t="s">
        <v>680</v>
      </c>
      <c r="S301" s="146" t="s">
        <v>681</v>
      </c>
      <c r="T301" s="149" t="s">
        <v>682</v>
      </c>
      <c r="U301" s="156">
        <v>116841278.45383713</v>
      </c>
      <c r="V301" s="154">
        <v>0</v>
      </c>
      <c r="W301" s="36">
        <f>Table2[[#This Row],[Construction Contract Amount]]+Table2[[#This Row],[Cumulative Variations]]</f>
        <v>116841278.45383713</v>
      </c>
      <c r="X301" s="158">
        <v>3229333.33</v>
      </c>
      <c r="Y301" s="154">
        <v>0</v>
      </c>
      <c r="Z301" s="36">
        <f>Table2[[#This Row],[Final Contract Value]]+Table2[[#This Row],[Supervision Contract amount]]+Table2[[#This Row],[Authority Cost]]</f>
        <v>120070611.78383712</v>
      </c>
      <c r="AA301" s="140"/>
      <c r="AB301" s="154">
        <v>56109.376666666598</v>
      </c>
      <c r="AC301" s="91" t="str">
        <f t="shared" si="13"/>
        <v>https://drive.google.com/thumbnail?id=1TkkF924YYfv_46cDxUoc3DW_cdMcch42&amp;sz=w1000</v>
      </c>
      <c r="AD301" s="173" t="s">
        <v>683</v>
      </c>
      <c r="AE301" s="74" t="str">
        <f t="shared" si="14"/>
        <v>https://drive.google.com/thumbnail?id=12FCTiQHROItKTuE1paH0D-F5NmHrtpx8&amp;sz=w1000</v>
      </c>
      <c r="AF301" s="173" t="s">
        <v>684</v>
      </c>
      <c r="AG301" s="73" t="str">
        <f t="shared" si="15"/>
        <v>https://drive.google.com/thumbnail?id=1y-Ocgzn3Ss07_HRVm38HZw507xBX9Q3K&amp;sz=w1000</v>
      </c>
      <c r="AH301" s="173" t="s">
        <v>685</v>
      </c>
    </row>
    <row r="302" spans="1:34" ht="22.15" customHeight="1">
      <c r="A302" s="30">
        <v>45534</v>
      </c>
      <c r="B302" s="17" t="s">
        <v>111</v>
      </c>
      <c r="C302" s="2" t="s">
        <v>11</v>
      </c>
      <c r="D302" s="16" t="str" cm="1">
        <f t="array" ref="D302">_xlfn.XLOOKUP(1, (Table1[Project Name]=Table2[[#This Row],[Project ID]])*(Table1[Plot]=Table2[[#This Row],[Plot]]), Table1[Project ID])</f>
        <v>MJ-12</v>
      </c>
      <c r="E302" s="69">
        <v>53</v>
      </c>
      <c r="F302" s="70">
        <v>555</v>
      </c>
      <c r="G302" s="69">
        <f>Table2[[#This Row],[Time Elapsed]]+Table2[[#This Row],[Time Remaining]]</f>
        <v>608</v>
      </c>
      <c r="H302" s="136" t="s">
        <v>679</v>
      </c>
      <c r="I302" s="136"/>
      <c r="J302" s="13">
        <v>1.38E-2</v>
      </c>
      <c r="K302" s="137">
        <v>1.3100000000000001E-2</v>
      </c>
      <c r="L302" s="13">
        <f>Table2[[#This Row],[Actual %]]-Table2[[#This Row],[Plan %]]</f>
        <v>-6.9999999999999923E-4</v>
      </c>
      <c r="M302" s="144" t="s">
        <v>280</v>
      </c>
      <c r="N302" s="12"/>
      <c r="O302" s="12"/>
      <c r="P302" s="12"/>
      <c r="Q302" s="12">
        <v>45541</v>
      </c>
      <c r="R302" s="136" t="s">
        <v>680</v>
      </c>
      <c r="S302" s="146" t="s">
        <v>681</v>
      </c>
      <c r="T302" s="149" t="s">
        <v>682</v>
      </c>
      <c r="U302" s="156">
        <v>116841278.45383713</v>
      </c>
      <c r="V302" s="154">
        <v>0</v>
      </c>
      <c r="W302" s="36">
        <f>Table2[[#This Row],[Construction Contract Amount]]+Table2[[#This Row],[Cumulative Variations]]</f>
        <v>116841278.45383713</v>
      </c>
      <c r="X302" s="158">
        <v>3229333.33</v>
      </c>
      <c r="Y302" s="154">
        <v>0</v>
      </c>
      <c r="Z302" s="36">
        <f>Table2[[#This Row],[Final Contract Value]]+Table2[[#This Row],[Supervision Contract amount]]+Table2[[#This Row],[Authority Cost]]</f>
        <v>120070611.78383712</v>
      </c>
      <c r="AA302" s="140"/>
      <c r="AB302" s="154">
        <v>56109.376666666598</v>
      </c>
      <c r="AC302" s="91" t="str">
        <f t="shared" si="13"/>
        <v>https://drive.google.com/thumbnail?id=1TkkF924YYfv_46cDxUoc3DW_cdMcch42&amp;sz=w1000</v>
      </c>
      <c r="AD302" s="173" t="s">
        <v>683</v>
      </c>
      <c r="AE302" s="74" t="str">
        <f t="shared" si="14"/>
        <v>https://drive.google.com/thumbnail?id=12FCTiQHROItKTuE1paH0D-F5NmHrtpx8&amp;sz=w1000</v>
      </c>
      <c r="AF302" s="173" t="s">
        <v>684</v>
      </c>
      <c r="AG302" s="73" t="str">
        <f t="shared" si="15"/>
        <v>https://drive.google.com/thumbnail?id=1y-Ocgzn3Ss07_HRVm38HZw507xBX9Q3K&amp;sz=w1000</v>
      </c>
      <c r="AH302" s="173" t="s">
        <v>685</v>
      </c>
    </row>
    <row r="303" spans="1:34" ht="22.15" customHeight="1">
      <c r="A303" s="30">
        <v>45534</v>
      </c>
      <c r="B303" s="17" t="s">
        <v>111</v>
      </c>
      <c r="C303" s="2" t="s">
        <v>11</v>
      </c>
      <c r="D303" s="16" t="str" cm="1">
        <f t="array" ref="D303">_xlfn.XLOOKUP(1, (Table1[Project Name]=Table2[[#This Row],[Project ID]])*(Table1[Plot]=Table2[[#This Row],[Plot]]), Table1[Project ID])</f>
        <v>MJ-12</v>
      </c>
      <c r="E303" s="69">
        <v>53</v>
      </c>
      <c r="F303" s="70">
        <v>555</v>
      </c>
      <c r="G303" s="69">
        <f>Table2[[#This Row],[Time Elapsed]]+Table2[[#This Row],[Time Remaining]]</f>
        <v>608</v>
      </c>
      <c r="H303" s="136" t="s">
        <v>679</v>
      </c>
      <c r="I303" s="136"/>
      <c r="J303" s="13">
        <v>1.38E-2</v>
      </c>
      <c r="K303" s="137">
        <v>1.3100000000000001E-2</v>
      </c>
      <c r="L303" s="13">
        <f>Table2[[#This Row],[Actual %]]-Table2[[#This Row],[Plan %]]</f>
        <v>-6.9999999999999923E-4</v>
      </c>
      <c r="M303" s="144" t="s">
        <v>281</v>
      </c>
      <c r="N303" s="12"/>
      <c r="O303" s="12"/>
      <c r="P303" s="12"/>
      <c r="Q303" s="12">
        <v>45541</v>
      </c>
      <c r="R303" s="136" t="s">
        <v>680</v>
      </c>
      <c r="S303" s="146" t="s">
        <v>681</v>
      </c>
      <c r="T303" s="149" t="s">
        <v>682</v>
      </c>
      <c r="U303" s="156">
        <v>116841278.45383713</v>
      </c>
      <c r="V303" s="154">
        <v>0</v>
      </c>
      <c r="W303" s="36">
        <f>Table2[[#This Row],[Construction Contract Amount]]+Table2[[#This Row],[Cumulative Variations]]</f>
        <v>116841278.45383713</v>
      </c>
      <c r="X303" s="158">
        <v>3229333.33</v>
      </c>
      <c r="Y303" s="154">
        <v>0</v>
      </c>
      <c r="Z303" s="36">
        <f>Table2[[#This Row],[Final Contract Value]]+Table2[[#This Row],[Supervision Contract amount]]+Table2[[#This Row],[Authority Cost]]</f>
        <v>120070611.78383712</v>
      </c>
      <c r="AA303" s="140"/>
      <c r="AB303" s="154">
        <v>56109.376666666598</v>
      </c>
      <c r="AC303" s="91" t="str">
        <f t="shared" si="13"/>
        <v>https://drive.google.com/thumbnail?id=1TkkF924YYfv_46cDxUoc3DW_cdMcch42&amp;sz=w1000</v>
      </c>
      <c r="AD303" s="173" t="s">
        <v>683</v>
      </c>
      <c r="AE303" s="74" t="str">
        <f t="shared" si="14"/>
        <v>https://drive.google.com/thumbnail?id=12FCTiQHROItKTuE1paH0D-F5NmHrtpx8&amp;sz=w1000</v>
      </c>
      <c r="AF303" s="173" t="s">
        <v>684</v>
      </c>
      <c r="AG303" s="73" t="str">
        <f t="shared" si="15"/>
        <v>https://drive.google.com/thumbnail?id=1y-Ocgzn3Ss07_HRVm38HZw507xBX9Q3K&amp;sz=w1000</v>
      </c>
      <c r="AH303" s="173" t="s">
        <v>685</v>
      </c>
    </row>
    <row r="304" spans="1:34" ht="22.15" customHeight="1">
      <c r="A304" s="30">
        <v>45534</v>
      </c>
      <c r="B304" s="17" t="s">
        <v>111</v>
      </c>
      <c r="C304" s="2" t="s">
        <v>11</v>
      </c>
      <c r="D304" s="16" t="str" cm="1">
        <f t="array" ref="D304">_xlfn.XLOOKUP(1, (Table1[Project Name]=Table2[[#This Row],[Project ID]])*(Table1[Plot]=Table2[[#This Row],[Plot]]), Table1[Project ID])</f>
        <v>MJ-12</v>
      </c>
      <c r="E304" s="69">
        <v>53</v>
      </c>
      <c r="F304" s="70">
        <v>555</v>
      </c>
      <c r="G304" s="69">
        <f>Table2[[#This Row],[Time Elapsed]]+Table2[[#This Row],[Time Remaining]]</f>
        <v>608</v>
      </c>
      <c r="H304" s="136" t="s">
        <v>679</v>
      </c>
      <c r="I304" s="136"/>
      <c r="J304" s="13">
        <v>1.38E-2</v>
      </c>
      <c r="K304" s="137">
        <v>1.3100000000000001E-2</v>
      </c>
      <c r="L304" s="13">
        <f>Table2[[#This Row],[Actual %]]-Table2[[#This Row],[Plan %]]</f>
        <v>-6.9999999999999923E-4</v>
      </c>
      <c r="M304" s="144" t="s">
        <v>282</v>
      </c>
      <c r="N304" s="12"/>
      <c r="O304" s="12"/>
      <c r="P304" s="12"/>
      <c r="Q304" s="12">
        <v>45541</v>
      </c>
      <c r="R304" s="136" t="s">
        <v>680</v>
      </c>
      <c r="S304" s="146" t="s">
        <v>681</v>
      </c>
      <c r="T304" s="149" t="s">
        <v>682</v>
      </c>
      <c r="U304" s="156">
        <v>116841278.45383713</v>
      </c>
      <c r="V304" s="154">
        <v>0</v>
      </c>
      <c r="W304" s="36">
        <f>Table2[[#This Row],[Construction Contract Amount]]+Table2[[#This Row],[Cumulative Variations]]</f>
        <v>116841278.45383713</v>
      </c>
      <c r="X304" s="158">
        <v>3229333.33</v>
      </c>
      <c r="Y304" s="154">
        <v>0</v>
      </c>
      <c r="Z304" s="36">
        <f>Table2[[#This Row],[Final Contract Value]]+Table2[[#This Row],[Supervision Contract amount]]+Table2[[#This Row],[Authority Cost]]</f>
        <v>120070611.78383712</v>
      </c>
      <c r="AA304" s="140"/>
      <c r="AB304" s="154">
        <v>56109.376666666598</v>
      </c>
      <c r="AC304" s="91" t="str">
        <f t="shared" si="13"/>
        <v>https://drive.google.com/thumbnail?id=1TkkF924YYfv_46cDxUoc3DW_cdMcch42&amp;sz=w1000</v>
      </c>
      <c r="AD304" s="173" t="s">
        <v>683</v>
      </c>
      <c r="AE304" s="74" t="str">
        <f t="shared" si="14"/>
        <v>https://drive.google.com/thumbnail?id=12FCTiQHROItKTuE1paH0D-F5NmHrtpx8&amp;sz=w1000</v>
      </c>
      <c r="AF304" s="173" t="s">
        <v>684</v>
      </c>
      <c r="AG304" s="73" t="str">
        <f t="shared" si="15"/>
        <v>https://drive.google.com/thumbnail?id=1y-Ocgzn3Ss07_HRVm38HZw507xBX9Q3K&amp;sz=w1000</v>
      </c>
      <c r="AH304" s="173" t="s">
        <v>685</v>
      </c>
    </row>
    <row r="305" spans="1:34" ht="22.15" customHeight="1">
      <c r="A305" s="30">
        <v>45534</v>
      </c>
      <c r="B305" s="17" t="s">
        <v>111</v>
      </c>
      <c r="C305" s="2" t="s">
        <v>11</v>
      </c>
      <c r="D305" s="16" t="str" cm="1">
        <f t="array" ref="D305">_xlfn.XLOOKUP(1, (Table1[Project Name]=Table2[[#This Row],[Project ID]])*(Table1[Plot]=Table2[[#This Row],[Plot]]), Table1[Project ID])</f>
        <v>MJ-12</v>
      </c>
      <c r="E305" s="69">
        <v>53</v>
      </c>
      <c r="F305" s="70">
        <v>555</v>
      </c>
      <c r="G305" s="69">
        <f>Table2[[#This Row],[Time Elapsed]]+Table2[[#This Row],[Time Remaining]]</f>
        <v>608</v>
      </c>
      <c r="H305" s="136" t="s">
        <v>679</v>
      </c>
      <c r="I305" s="136"/>
      <c r="J305" s="13">
        <v>1.38E-2</v>
      </c>
      <c r="K305" s="137">
        <v>1.3100000000000001E-2</v>
      </c>
      <c r="L305" s="13">
        <f>Table2[[#This Row],[Actual %]]-Table2[[#This Row],[Plan %]]</f>
        <v>-6.9999999999999923E-4</v>
      </c>
      <c r="M305" s="144" t="s">
        <v>283</v>
      </c>
      <c r="N305" s="12"/>
      <c r="O305" s="12"/>
      <c r="P305" s="12"/>
      <c r="Q305" s="12">
        <v>45541</v>
      </c>
      <c r="R305" s="136" t="s">
        <v>680</v>
      </c>
      <c r="S305" s="146" t="s">
        <v>681</v>
      </c>
      <c r="T305" s="149" t="s">
        <v>682</v>
      </c>
      <c r="U305" s="156">
        <v>116841278.45383713</v>
      </c>
      <c r="V305" s="154">
        <v>0</v>
      </c>
      <c r="W305" s="36">
        <f>Table2[[#This Row],[Construction Contract Amount]]+Table2[[#This Row],[Cumulative Variations]]</f>
        <v>116841278.45383713</v>
      </c>
      <c r="X305" s="158">
        <v>3229333.33</v>
      </c>
      <c r="Y305" s="154">
        <v>0</v>
      </c>
      <c r="Z305" s="36">
        <f>Table2[[#This Row],[Final Contract Value]]+Table2[[#This Row],[Supervision Contract amount]]+Table2[[#This Row],[Authority Cost]]</f>
        <v>120070611.78383712</v>
      </c>
      <c r="AA305" s="140"/>
      <c r="AB305" s="154">
        <v>56109.376666666598</v>
      </c>
      <c r="AC305" s="91" t="str">
        <f t="shared" si="13"/>
        <v>https://drive.google.com/thumbnail?id=1TkkF924YYfv_46cDxUoc3DW_cdMcch42&amp;sz=w1000</v>
      </c>
      <c r="AD305" s="173" t="s">
        <v>683</v>
      </c>
      <c r="AE305" s="74" t="str">
        <f t="shared" si="14"/>
        <v>https://drive.google.com/thumbnail?id=12FCTiQHROItKTuE1paH0D-F5NmHrtpx8&amp;sz=w1000</v>
      </c>
      <c r="AF305" s="173" t="s">
        <v>684</v>
      </c>
      <c r="AG305" s="73" t="str">
        <f t="shared" si="15"/>
        <v>https://drive.google.com/thumbnail?id=1y-Ocgzn3Ss07_HRVm38HZw507xBX9Q3K&amp;sz=w1000</v>
      </c>
      <c r="AH305" s="173" t="s">
        <v>685</v>
      </c>
    </row>
    <row r="306" spans="1:34" ht="22.15" customHeight="1">
      <c r="A306" s="30">
        <v>45534</v>
      </c>
      <c r="B306" s="17" t="s">
        <v>111</v>
      </c>
      <c r="C306" s="2" t="s">
        <v>11</v>
      </c>
      <c r="D306" s="16" t="str" cm="1">
        <f t="array" ref="D306">_xlfn.XLOOKUP(1, (Table1[Project Name]=Table2[[#This Row],[Project ID]])*(Table1[Plot]=Table2[[#This Row],[Plot]]), Table1[Project ID])</f>
        <v>MJ-12</v>
      </c>
      <c r="E306" s="69">
        <v>53</v>
      </c>
      <c r="F306" s="70">
        <v>555</v>
      </c>
      <c r="G306" s="69">
        <f>Table2[[#This Row],[Time Elapsed]]+Table2[[#This Row],[Time Remaining]]</f>
        <v>608</v>
      </c>
      <c r="H306" s="136" t="s">
        <v>679</v>
      </c>
      <c r="I306" s="136"/>
      <c r="J306" s="13">
        <v>1.38E-2</v>
      </c>
      <c r="K306" s="137">
        <v>1.3100000000000001E-2</v>
      </c>
      <c r="L306" s="13">
        <f>Table2[[#This Row],[Actual %]]-Table2[[#This Row],[Plan %]]</f>
        <v>-6.9999999999999923E-4</v>
      </c>
      <c r="M306" s="144" t="s">
        <v>284</v>
      </c>
      <c r="N306" s="12"/>
      <c r="O306" s="12"/>
      <c r="P306" s="12"/>
      <c r="Q306" s="12">
        <v>45541</v>
      </c>
      <c r="R306" s="136" t="s">
        <v>680</v>
      </c>
      <c r="S306" s="146" t="s">
        <v>681</v>
      </c>
      <c r="T306" s="149" t="s">
        <v>682</v>
      </c>
      <c r="U306" s="156">
        <v>116841278.45383713</v>
      </c>
      <c r="V306" s="154">
        <v>0</v>
      </c>
      <c r="W306" s="36">
        <f>Table2[[#This Row],[Construction Contract Amount]]+Table2[[#This Row],[Cumulative Variations]]</f>
        <v>116841278.45383713</v>
      </c>
      <c r="X306" s="158">
        <v>3229333.33</v>
      </c>
      <c r="Y306" s="154">
        <v>0</v>
      </c>
      <c r="Z306" s="36">
        <f>Table2[[#This Row],[Final Contract Value]]+Table2[[#This Row],[Supervision Contract amount]]+Table2[[#This Row],[Authority Cost]]</f>
        <v>120070611.78383712</v>
      </c>
      <c r="AA306" s="140"/>
      <c r="AB306" s="154">
        <v>56109.376666666598</v>
      </c>
      <c r="AC306" s="91" t="str">
        <f t="shared" si="13"/>
        <v>https://drive.google.com/thumbnail?id=1TkkF924YYfv_46cDxUoc3DW_cdMcch42&amp;sz=w1000</v>
      </c>
      <c r="AD306" s="173" t="s">
        <v>683</v>
      </c>
      <c r="AE306" s="74" t="str">
        <f t="shared" si="14"/>
        <v>https://drive.google.com/thumbnail?id=12FCTiQHROItKTuE1paH0D-F5NmHrtpx8&amp;sz=w1000</v>
      </c>
      <c r="AF306" s="173" t="s">
        <v>684</v>
      </c>
      <c r="AG306" s="73" t="str">
        <f t="shared" si="15"/>
        <v>https://drive.google.com/thumbnail?id=1y-Ocgzn3Ss07_HRVm38HZw507xBX9Q3K&amp;sz=w1000</v>
      </c>
      <c r="AH306" s="173" t="s">
        <v>685</v>
      </c>
    </row>
    <row r="307" spans="1:34" ht="22.15" customHeight="1">
      <c r="A307" s="30">
        <v>45534</v>
      </c>
      <c r="B307" s="24" t="s">
        <v>114</v>
      </c>
      <c r="C307" s="2" t="s">
        <v>116</v>
      </c>
      <c r="D307" s="16" t="str" cm="1">
        <f t="array" ref="D307">_xlfn.XLOOKUP(1, (Table1[Project Name]=Table2[[#This Row],[Project ID]])*(Table1[Plot]=Table2[[#This Row],[Plot]]), Table1[Project ID])</f>
        <v>MJ-13</v>
      </c>
      <c r="E307" s="69">
        <v>53</v>
      </c>
      <c r="F307" s="70">
        <v>555</v>
      </c>
      <c r="G307" s="69">
        <f>Table2[[#This Row],[Time Elapsed]]+Table2[[#This Row],[Time Remaining]]</f>
        <v>608</v>
      </c>
      <c r="H307" s="136" t="s">
        <v>679</v>
      </c>
      <c r="I307" s="136"/>
      <c r="J307" s="13">
        <v>1.38E-2</v>
      </c>
      <c r="K307" s="137">
        <v>1.3100000000000001E-2</v>
      </c>
      <c r="L307" s="13">
        <f>Table2[[#This Row],[Actual %]]-Table2[[#This Row],[Plan %]]</f>
        <v>-6.9999999999999923E-4</v>
      </c>
      <c r="M307" s="144" t="s">
        <v>28</v>
      </c>
      <c r="N307" s="12"/>
      <c r="O307" s="12"/>
      <c r="P307" s="12"/>
      <c r="Q307" s="12">
        <v>45541</v>
      </c>
      <c r="R307" s="136" t="s">
        <v>680</v>
      </c>
      <c r="S307" s="146" t="s">
        <v>681</v>
      </c>
      <c r="T307" s="149" t="s">
        <v>682</v>
      </c>
      <c r="U307" s="155">
        <v>98073241.524302095</v>
      </c>
      <c r="V307" s="152">
        <v>0</v>
      </c>
      <c r="W307" s="36">
        <f>Table2[[#This Row],[Construction Contract Amount]]+Table2[[#This Row],[Cumulative Variations]]</f>
        <v>98073241.524302095</v>
      </c>
      <c r="X307" s="152">
        <v>3229333.33</v>
      </c>
      <c r="Y307" s="152">
        <v>0</v>
      </c>
      <c r="Z307" s="36">
        <f>Table2[[#This Row],[Final Contract Value]]+Table2[[#This Row],[Supervision Contract amount]]+Table2[[#This Row],[Authority Cost]]</f>
        <v>101302574.85430209</v>
      </c>
      <c r="AA307" s="140"/>
      <c r="AB307" s="154">
        <v>56109.376666666598</v>
      </c>
      <c r="AC307" s="91" t="str">
        <f t="shared" si="13"/>
        <v>https://drive.google.com/thumbnail?id=1YYboHNgsShFzYyBHMkUoSzib7zJkM_P6&amp;sz=w1000</v>
      </c>
      <c r="AD307" s="173" t="s">
        <v>686</v>
      </c>
      <c r="AE307" s="74" t="str">
        <f t="shared" si="14"/>
        <v>https://drive.google.com/thumbnail?id=1jRWn6nkUc6PyzKFIrav2bztHDn61jQYs&amp;sz=w1000</v>
      </c>
      <c r="AF307" s="173" t="s">
        <v>687</v>
      </c>
      <c r="AG307" s="73" t="str">
        <f t="shared" si="15"/>
        <v>https://drive.google.com/thumbnail?id=1iBr6b26MBv3-qs2HfZPBv-_SZMciRoSv&amp;sz=w1000</v>
      </c>
      <c r="AH307" s="173" t="s">
        <v>688</v>
      </c>
    </row>
    <row r="308" spans="1:34" ht="22.15" customHeight="1">
      <c r="A308" s="30">
        <v>45534</v>
      </c>
      <c r="B308" s="24" t="s">
        <v>114</v>
      </c>
      <c r="C308" s="2" t="s">
        <v>116</v>
      </c>
      <c r="D308" s="16" t="str" cm="1">
        <f t="array" ref="D308">_xlfn.XLOOKUP(1, (Table1[Project Name]=Table2[[#This Row],[Project ID]])*(Table1[Plot]=Table2[[#This Row],[Plot]]), Table1[Project ID])</f>
        <v>MJ-13</v>
      </c>
      <c r="E308" s="69">
        <v>53</v>
      </c>
      <c r="F308" s="70">
        <v>555</v>
      </c>
      <c r="G308" s="69">
        <f>Table2[[#This Row],[Time Elapsed]]+Table2[[#This Row],[Time Remaining]]</f>
        <v>608</v>
      </c>
      <c r="H308" s="136" t="s">
        <v>679</v>
      </c>
      <c r="I308" s="136"/>
      <c r="J308" s="13">
        <v>1.38E-2</v>
      </c>
      <c r="K308" s="137">
        <v>1.3100000000000001E-2</v>
      </c>
      <c r="L308" s="13">
        <f>Table2[[#This Row],[Actual %]]-Table2[[#This Row],[Plan %]]</f>
        <v>-6.9999999999999923E-4</v>
      </c>
      <c r="M308" s="144" t="s">
        <v>50</v>
      </c>
      <c r="N308" s="12"/>
      <c r="O308" s="12"/>
      <c r="P308" s="12"/>
      <c r="Q308" s="12">
        <f t="shared" ref="Q308:Q319" si="16">Q307</f>
        <v>45541</v>
      </c>
      <c r="R308" s="136" t="s">
        <v>680</v>
      </c>
      <c r="S308" s="136" t="s">
        <v>681</v>
      </c>
      <c r="T308" s="149" t="s">
        <v>682</v>
      </c>
      <c r="U308" s="155">
        <v>98073241.524302095</v>
      </c>
      <c r="V308" s="152">
        <v>0</v>
      </c>
      <c r="W308" s="36">
        <f>Table2[[#This Row],[Construction Contract Amount]]+Table2[[#This Row],[Cumulative Variations]]</f>
        <v>98073241.524302095</v>
      </c>
      <c r="X308" s="152">
        <v>3229333.33</v>
      </c>
      <c r="Y308" s="152">
        <v>0</v>
      </c>
      <c r="Z308" s="36">
        <f>Table2[[#This Row],[Final Contract Value]]+Table2[[#This Row],[Supervision Contract amount]]+Table2[[#This Row],[Authority Cost]]</f>
        <v>101302574.85430209</v>
      </c>
      <c r="AA308" s="140"/>
      <c r="AB308" s="152">
        <v>56109.376666666598</v>
      </c>
      <c r="AC308" s="91" t="str">
        <f t="shared" si="13"/>
        <v>https://drive.google.com/thumbnail?id=1YYboHNgsShFzYyBHMkUoSzib7zJkM_P6&amp;sz=w1000</v>
      </c>
      <c r="AD308" s="173" t="s">
        <v>686</v>
      </c>
      <c r="AE308" s="74" t="str">
        <f t="shared" si="14"/>
        <v>https://drive.google.com/thumbnail?id=1jRWn6nkUc6PyzKFIrav2bztHDn61jQYs&amp;sz=w1000</v>
      </c>
      <c r="AF308" s="173" t="s">
        <v>687</v>
      </c>
      <c r="AG308" s="73" t="str">
        <f t="shared" si="15"/>
        <v>https://drive.google.com/thumbnail?id=1iBr6b26MBv3-qs2HfZPBv-_SZMciRoSv&amp;sz=w1000</v>
      </c>
      <c r="AH308" s="173" t="s">
        <v>688</v>
      </c>
    </row>
    <row r="309" spans="1:34" ht="22.15" customHeight="1">
      <c r="A309" s="30">
        <v>45534</v>
      </c>
      <c r="B309" s="24" t="s">
        <v>114</v>
      </c>
      <c r="C309" s="2" t="s">
        <v>116</v>
      </c>
      <c r="D309" s="16" t="str" cm="1">
        <f t="array" ref="D309">_xlfn.XLOOKUP(1, (Table1[Project Name]=Table2[[#This Row],[Project ID]])*(Table1[Plot]=Table2[[#This Row],[Plot]]), Table1[Project ID])</f>
        <v>MJ-13</v>
      </c>
      <c r="E309" s="69">
        <v>53</v>
      </c>
      <c r="F309" s="70">
        <v>555</v>
      </c>
      <c r="G309" s="69">
        <f>Table2[[#This Row],[Time Elapsed]]+Table2[[#This Row],[Time Remaining]]</f>
        <v>608</v>
      </c>
      <c r="H309" s="136" t="s">
        <v>679</v>
      </c>
      <c r="I309" s="136"/>
      <c r="J309" s="13">
        <v>1.38E-2</v>
      </c>
      <c r="K309" s="137">
        <v>1.3100000000000001E-2</v>
      </c>
      <c r="L309" s="13">
        <f>Table2[[#This Row],[Actual %]]-Table2[[#This Row],[Plan %]]</f>
        <v>-6.9999999999999923E-4</v>
      </c>
      <c r="M309" s="144" t="s">
        <v>51</v>
      </c>
      <c r="N309" s="12"/>
      <c r="O309" s="12"/>
      <c r="P309" s="12"/>
      <c r="Q309" s="12">
        <f t="shared" si="16"/>
        <v>45541</v>
      </c>
      <c r="R309" s="136" t="s">
        <v>680</v>
      </c>
      <c r="S309" s="136" t="s">
        <v>681</v>
      </c>
      <c r="T309" s="143" t="s">
        <v>682</v>
      </c>
      <c r="U309" s="155">
        <v>98073241.524302095</v>
      </c>
      <c r="V309" s="152">
        <v>0</v>
      </c>
      <c r="W309" s="36">
        <f>Table2[[#This Row],[Construction Contract Amount]]+Table2[[#This Row],[Cumulative Variations]]</f>
        <v>98073241.524302095</v>
      </c>
      <c r="X309" s="152">
        <v>3229333.33</v>
      </c>
      <c r="Y309" s="152">
        <v>0</v>
      </c>
      <c r="Z309" s="36">
        <f>Table2[[#This Row],[Final Contract Value]]+Table2[[#This Row],[Supervision Contract amount]]+Table2[[#This Row],[Authority Cost]]</f>
        <v>101302574.85430209</v>
      </c>
      <c r="AA309" s="140"/>
      <c r="AB309" s="152">
        <v>56109.376666666598</v>
      </c>
      <c r="AC309" s="91" t="str">
        <f t="shared" si="13"/>
        <v>https://drive.google.com/thumbnail?id=1YYboHNgsShFzYyBHMkUoSzib7zJkM_P6&amp;sz=w1000</v>
      </c>
      <c r="AD309" s="173" t="s">
        <v>686</v>
      </c>
      <c r="AE309" s="74" t="str">
        <f t="shared" si="14"/>
        <v>https://drive.google.com/thumbnail?id=1jRWn6nkUc6PyzKFIrav2bztHDn61jQYs&amp;sz=w1000</v>
      </c>
      <c r="AF309" s="173" t="s">
        <v>687</v>
      </c>
      <c r="AG309" s="73" t="str">
        <f t="shared" si="15"/>
        <v>https://drive.google.com/thumbnail?id=1iBr6b26MBv3-qs2HfZPBv-_SZMciRoSv&amp;sz=w1000</v>
      </c>
      <c r="AH309" s="173" t="s">
        <v>688</v>
      </c>
    </row>
    <row r="310" spans="1:34" ht="22.15" customHeight="1">
      <c r="A310" s="30">
        <v>45534</v>
      </c>
      <c r="B310" s="24" t="s">
        <v>114</v>
      </c>
      <c r="C310" s="2" t="s">
        <v>116</v>
      </c>
      <c r="D310" s="16" t="str" cm="1">
        <f t="array" ref="D310">_xlfn.XLOOKUP(1, (Table1[Project Name]=Table2[[#This Row],[Project ID]])*(Table1[Plot]=Table2[[#This Row],[Plot]]), Table1[Project ID])</f>
        <v>MJ-13</v>
      </c>
      <c r="E310" s="69">
        <v>53</v>
      </c>
      <c r="F310" s="70">
        <v>555</v>
      </c>
      <c r="G310" s="69">
        <f>Table2[[#This Row],[Time Elapsed]]+Table2[[#This Row],[Time Remaining]]</f>
        <v>608</v>
      </c>
      <c r="H310" s="136" t="s">
        <v>679</v>
      </c>
      <c r="I310" s="136"/>
      <c r="J310" s="13">
        <v>1.38E-2</v>
      </c>
      <c r="K310" s="137">
        <v>1.3100000000000001E-2</v>
      </c>
      <c r="L310" s="13">
        <f>Table2[[#This Row],[Actual %]]-Table2[[#This Row],[Plan %]]</f>
        <v>-6.9999999999999923E-4</v>
      </c>
      <c r="M310" s="144" t="s">
        <v>275</v>
      </c>
      <c r="N310" s="12"/>
      <c r="O310" s="12"/>
      <c r="P310" s="12"/>
      <c r="Q310" s="12">
        <f t="shared" si="16"/>
        <v>45541</v>
      </c>
      <c r="R310" s="136" t="s">
        <v>680</v>
      </c>
      <c r="S310" s="136" t="s">
        <v>681</v>
      </c>
      <c r="T310" s="143" t="s">
        <v>682</v>
      </c>
      <c r="U310" s="155">
        <v>98073241.524302095</v>
      </c>
      <c r="V310" s="152">
        <v>0</v>
      </c>
      <c r="W310" s="36">
        <f>Table2[[#This Row],[Construction Contract Amount]]+Table2[[#This Row],[Cumulative Variations]]</f>
        <v>98073241.524302095</v>
      </c>
      <c r="X310" s="152">
        <v>3229333.33</v>
      </c>
      <c r="Y310" s="152">
        <v>0</v>
      </c>
      <c r="Z310" s="36">
        <f>Table2[[#This Row],[Final Contract Value]]+Table2[[#This Row],[Supervision Contract amount]]+Table2[[#This Row],[Authority Cost]]</f>
        <v>101302574.85430209</v>
      </c>
      <c r="AA310" s="140"/>
      <c r="AB310" s="152">
        <v>56109.376666666598</v>
      </c>
      <c r="AC310" s="91" t="str">
        <f t="shared" si="13"/>
        <v>https://drive.google.com/thumbnail?id=1YYboHNgsShFzYyBHMkUoSzib7zJkM_P6&amp;sz=w1000</v>
      </c>
      <c r="AD310" s="173" t="s">
        <v>686</v>
      </c>
      <c r="AE310" s="74" t="str">
        <f t="shared" si="14"/>
        <v>https://drive.google.com/thumbnail?id=1jRWn6nkUc6PyzKFIrav2bztHDn61jQYs&amp;sz=w1000</v>
      </c>
      <c r="AF310" s="173" t="s">
        <v>687</v>
      </c>
      <c r="AG310" s="73" t="str">
        <f t="shared" si="15"/>
        <v>https://drive.google.com/thumbnail?id=1iBr6b26MBv3-qs2HfZPBv-_SZMciRoSv&amp;sz=w1000</v>
      </c>
      <c r="AH310" s="173" t="s">
        <v>688</v>
      </c>
    </row>
    <row r="311" spans="1:34" ht="22.15" customHeight="1">
      <c r="A311" s="30">
        <v>45534</v>
      </c>
      <c r="B311" s="24" t="s">
        <v>114</v>
      </c>
      <c r="C311" s="2" t="s">
        <v>116</v>
      </c>
      <c r="D311" s="16" t="str" cm="1">
        <f t="array" ref="D311">_xlfn.XLOOKUP(1, (Table1[Project Name]=Table2[[#This Row],[Project ID]])*(Table1[Plot]=Table2[[#This Row],[Plot]]), Table1[Project ID])</f>
        <v>MJ-13</v>
      </c>
      <c r="E311" s="69">
        <v>53</v>
      </c>
      <c r="F311" s="70">
        <v>555</v>
      </c>
      <c r="G311" s="69">
        <f>Table2[[#This Row],[Time Elapsed]]+Table2[[#This Row],[Time Remaining]]</f>
        <v>608</v>
      </c>
      <c r="H311" s="136" t="s">
        <v>679</v>
      </c>
      <c r="I311" s="136"/>
      <c r="J311" s="13">
        <v>1.38E-2</v>
      </c>
      <c r="K311" s="137">
        <v>1.3100000000000001E-2</v>
      </c>
      <c r="L311" s="13">
        <f>Table2[[#This Row],[Actual %]]-Table2[[#This Row],[Plan %]]</f>
        <v>-6.9999999999999923E-4</v>
      </c>
      <c r="M311" s="144" t="s">
        <v>276</v>
      </c>
      <c r="N311" s="12"/>
      <c r="O311" s="12"/>
      <c r="P311" s="12"/>
      <c r="Q311" s="12">
        <f t="shared" si="16"/>
        <v>45541</v>
      </c>
      <c r="R311" s="136" t="s">
        <v>680</v>
      </c>
      <c r="S311" s="136" t="s">
        <v>681</v>
      </c>
      <c r="T311" s="143" t="s">
        <v>682</v>
      </c>
      <c r="U311" s="155">
        <v>98073241.524302095</v>
      </c>
      <c r="V311" s="152">
        <v>0</v>
      </c>
      <c r="W311" s="36">
        <f>Table2[[#This Row],[Construction Contract Amount]]+Table2[[#This Row],[Cumulative Variations]]</f>
        <v>98073241.524302095</v>
      </c>
      <c r="X311" s="152">
        <v>3229333.33</v>
      </c>
      <c r="Y311" s="152">
        <v>0</v>
      </c>
      <c r="Z311" s="36">
        <f>Table2[[#This Row],[Final Contract Value]]+Table2[[#This Row],[Supervision Contract amount]]+Table2[[#This Row],[Authority Cost]]</f>
        <v>101302574.85430209</v>
      </c>
      <c r="AA311" s="140"/>
      <c r="AB311" s="152">
        <v>56109.376666666598</v>
      </c>
      <c r="AC311" s="91" t="str">
        <f t="shared" si="13"/>
        <v>https://drive.google.com/thumbnail?id=1YYboHNgsShFzYyBHMkUoSzib7zJkM_P6&amp;sz=w1000</v>
      </c>
      <c r="AD311" s="173" t="s">
        <v>686</v>
      </c>
      <c r="AE311" s="74" t="str">
        <f t="shared" si="14"/>
        <v>https://drive.google.com/thumbnail?id=1jRWn6nkUc6PyzKFIrav2bztHDn61jQYs&amp;sz=w1000</v>
      </c>
      <c r="AF311" s="173" t="s">
        <v>687</v>
      </c>
      <c r="AG311" s="73" t="str">
        <f t="shared" si="15"/>
        <v>https://drive.google.com/thumbnail?id=1iBr6b26MBv3-qs2HfZPBv-_SZMciRoSv&amp;sz=w1000</v>
      </c>
      <c r="AH311" s="173" t="s">
        <v>688</v>
      </c>
    </row>
    <row r="312" spans="1:34" ht="22.15" customHeight="1">
      <c r="A312" s="30">
        <v>45534</v>
      </c>
      <c r="B312" s="24" t="s">
        <v>114</v>
      </c>
      <c r="C312" s="2" t="s">
        <v>116</v>
      </c>
      <c r="D312" s="16" t="str" cm="1">
        <f t="array" ref="D312">_xlfn.XLOOKUP(1, (Table1[Project Name]=Table2[[#This Row],[Project ID]])*(Table1[Plot]=Table2[[#This Row],[Plot]]), Table1[Project ID])</f>
        <v>MJ-13</v>
      </c>
      <c r="E312" s="69">
        <v>53</v>
      </c>
      <c r="F312" s="70">
        <v>555</v>
      </c>
      <c r="G312" s="69">
        <f>Table2[[#This Row],[Time Elapsed]]+Table2[[#This Row],[Time Remaining]]</f>
        <v>608</v>
      </c>
      <c r="H312" s="136" t="s">
        <v>679</v>
      </c>
      <c r="I312" s="136"/>
      <c r="J312" s="13">
        <v>1.38E-2</v>
      </c>
      <c r="K312" s="137">
        <v>1.3100000000000001E-2</v>
      </c>
      <c r="L312" s="13">
        <f>Table2[[#This Row],[Actual %]]-Table2[[#This Row],[Plan %]]</f>
        <v>-6.9999999999999923E-4</v>
      </c>
      <c r="M312" s="147" t="s">
        <v>277</v>
      </c>
      <c r="N312" s="12"/>
      <c r="O312" s="12"/>
      <c r="P312" s="12"/>
      <c r="Q312" s="12">
        <f t="shared" si="16"/>
        <v>45541</v>
      </c>
      <c r="R312" s="136" t="s">
        <v>680</v>
      </c>
      <c r="S312" s="136" t="s">
        <v>681</v>
      </c>
      <c r="T312" s="143" t="s">
        <v>682</v>
      </c>
      <c r="U312" s="155">
        <v>98073241.524302095</v>
      </c>
      <c r="V312" s="152">
        <v>0</v>
      </c>
      <c r="W312" s="36">
        <f>Table2[[#This Row],[Construction Contract Amount]]+Table2[[#This Row],[Cumulative Variations]]</f>
        <v>98073241.524302095</v>
      </c>
      <c r="X312" s="152">
        <v>3229333.33</v>
      </c>
      <c r="Y312" s="152">
        <v>0</v>
      </c>
      <c r="Z312" s="36">
        <f>Table2[[#This Row],[Final Contract Value]]+Table2[[#This Row],[Supervision Contract amount]]+Table2[[#This Row],[Authority Cost]]</f>
        <v>101302574.85430209</v>
      </c>
      <c r="AA312" s="140"/>
      <c r="AB312" s="152">
        <v>56109.376666666598</v>
      </c>
      <c r="AC312" s="91" t="str">
        <f t="shared" si="13"/>
        <v>https://drive.google.com/thumbnail?id=1YYboHNgsShFzYyBHMkUoSzib7zJkM_P6&amp;sz=w1000</v>
      </c>
      <c r="AD312" s="173" t="s">
        <v>686</v>
      </c>
      <c r="AE312" s="74" t="str">
        <f t="shared" si="14"/>
        <v>https://drive.google.com/thumbnail?id=1jRWn6nkUc6PyzKFIrav2bztHDn61jQYs&amp;sz=w1000</v>
      </c>
      <c r="AF312" s="173" t="s">
        <v>687</v>
      </c>
      <c r="AG312" s="73" t="str">
        <f t="shared" si="15"/>
        <v>https://drive.google.com/thumbnail?id=1iBr6b26MBv3-qs2HfZPBv-_SZMciRoSv&amp;sz=w1000</v>
      </c>
      <c r="AH312" s="173" t="s">
        <v>688</v>
      </c>
    </row>
    <row r="313" spans="1:34" ht="22.15" customHeight="1">
      <c r="A313" s="30">
        <v>45534</v>
      </c>
      <c r="B313" s="24" t="s">
        <v>114</v>
      </c>
      <c r="C313" s="2" t="s">
        <v>116</v>
      </c>
      <c r="D313" s="16" t="str" cm="1">
        <f t="array" ref="D313">_xlfn.XLOOKUP(1, (Table1[Project Name]=Table2[[#This Row],[Project ID]])*(Table1[Plot]=Table2[[#This Row],[Plot]]), Table1[Project ID])</f>
        <v>MJ-13</v>
      </c>
      <c r="E313" s="69">
        <v>53</v>
      </c>
      <c r="F313" s="70">
        <v>555</v>
      </c>
      <c r="G313" s="69">
        <f>Table2[[#This Row],[Time Elapsed]]+Table2[[#This Row],[Time Remaining]]</f>
        <v>608</v>
      </c>
      <c r="H313" s="136" t="s">
        <v>679</v>
      </c>
      <c r="I313" s="136"/>
      <c r="J313" s="13">
        <v>1.38E-2</v>
      </c>
      <c r="K313" s="137">
        <v>1.3100000000000001E-2</v>
      </c>
      <c r="L313" s="13">
        <f>Table2[[#This Row],[Actual %]]-Table2[[#This Row],[Plan %]]</f>
        <v>-6.9999999999999923E-4</v>
      </c>
      <c r="M313" s="144" t="s">
        <v>278</v>
      </c>
      <c r="N313" s="12"/>
      <c r="O313" s="12"/>
      <c r="P313" s="12"/>
      <c r="Q313" s="12">
        <f t="shared" si="16"/>
        <v>45541</v>
      </c>
      <c r="R313" s="136" t="s">
        <v>680</v>
      </c>
      <c r="S313" s="136" t="s">
        <v>681</v>
      </c>
      <c r="T313" s="143" t="s">
        <v>682</v>
      </c>
      <c r="U313" s="155">
        <v>98073241.524302095</v>
      </c>
      <c r="V313" s="152">
        <v>0</v>
      </c>
      <c r="W313" s="36">
        <f>Table2[[#This Row],[Construction Contract Amount]]+Table2[[#This Row],[Cumulative Variations]]</f>
        <v>98073241.524302095</v>
      </c>
      <c r="X313" s="152">
        <v>3229333.33</v>
      </c>
      <c r="Y313" s="152">
        <v>0</v>
      </c>
      <c r="Z313" s="36">
        <f>Table2[[#This Row],[Final Contract Value]]+Table2[[#This Row],[Supervision Contract amount]]+Table2[[#This Row],[Authority Cost]]</f>
        <v>101302574.85430209</v>
      </c>
      <c r="AA313" s="140"/>
      <c r="AB313" s="152">
        <v>56109.376666666598</v>
      </c>
      <c r="AC313" s="91" t="str">
        <f t="shared" si="13"/>
        <v>https://drive.google.com/thumbnail?id=1YYboHNgsShFzYyBHMkUoSzib7zJkM_P6&amp;sz=w1000</v>
      </c>
      <c r="AD313" s="173" t="s">
        <v>686</v>
      </c>
      <c r="AE313" s="74" t="str">
        <f t="shared" si="14"/>
        <v>https://drive.google.com/thumbnail?id=1jRWn6nkUc6PyzKFIrav2bztHDn61jQYs&amp;sz=w1000</v>
      </c>
      <c r="AF313" s="173" t="s">
        <v>687</v>
      </c>
      <c r="AG313" s="73" t="str">
        <f t="shared" si="15"/>
        <v>https://drive.google.com/thumbnail?id=1iBr6b26MBv3-qs2HfZPBv-_SZMciRoSv&amp;sz=w1000</v>
      </c>
      <c r="AH313" s="173" t="s">
        <v>688</v>
      </c>
    </row>
    <row r="314" spans="1:34" ht="22.15" customHeight="1">
      <c r="A314" s="30">
        <v>45534</v>
      </c>
      <c r="B314" s="24" t="s">
        <v>114</v>
      </c>
      <c r="C314" s="2" t="s">
        <v>116</v>
      </c>
      <c r="D314" s="16" t="str" cm="1">
        <f t="array" ref="D314">_xlfn.XLOOKUP(1, (Table1[Project Name]=Table2[[#This Row],[Project ID]])*(Table1[Plot]=Table2[[#This Row],[Plot]]), Table1[Project ID])</f>
        <v>MJ-13</v>
      </c>
      <c r="E314" s="69">
        <v>53</v>
      </c>
      <c r="F314" s="70">
        <v>555</v>
      </c>
      <c r="G314" s="69">
        <f>Table2[[#This Row],[Time Elapsed]]+Table2[[#This Row],[Time Remaining]]</f>
        <v>608</v>
      </c>
      <c r="H314" s="136" t="s">
        <v>679</v>
      </c>
      <c r="I314" s="136"/>
      <c r="J314" s="13">
        <v>1.38E-2</v>
      </c>
      <c r="K314" s="137">
        <v>1.3100000000000001E-2</v>
      </c>
      <c r="L314" s="13">
        <f>Table2[[#This Row],[Actual %]]-Table2[[#This Row],[Plan %]]</f>
        <v>-6.9999999999999923E-4</v>
      </c>
      <c r="M314" s="144" t="s">
        <v>279</v>
      </c>
      <c r="N314" s="12"/>
      <c r="O314" s="12"/>
      <c r="P314" s="12"/>
      <c r="Q314" s="12">
        <f t="shared" si="16"/>
        <v>45541</v>
      </c>
      <c r="R314" s="136" t="s">
        <v>680</v>
      </c>
      <c r="S314" s="136" t="s">
        <v>681</v>
      </c>
      <c r="T314" s="143" t="s">
        <v>682</v>
      </c>
      <c r="U314" s="155">
        <v>98073241.524302095</v>
      </c>
      <c r="V314" s="152">
        <v>0</v>
      </c>
      <c r="W314" s="36">
        <f>Table2[[#This Row],[Construction Contract Amount]]+Table2[[#This Row],[Cumulative Variations]]</f>
        <v>98073241.524302095</v>
      </c>
      <c r="X314" s="152">
        <v>3229333.33</v>
      </c>
      <c r="Y314" s="152">
        <v>0</v>
      </c>
      <c r="Z314" s="36">
        <f>Table2[[#This Row],[Final Contract Value]]+Table2[[#This Row],[Supervision Contract amount]]+Table2[[#This Row],[Authority Cost]]</f>
        <v>101302574.85430209</v>
      </c>
      <c r="AA314" s="140"/>
      <c r="AB314" s="152">
        <v>56109.376666666598</v>
      </c>
      <c r="AC314" s="91" t="str">
        <f t="shared" si="13"/>
        <v>https://drive.google.com/thumbnail?id=1YYboHNgsShFzYyBHMkUoSzib7zJkM_P6&amp;sz=w1000</v>
      </c>
      <c r="AD314" s="173" t="s">
        <v>686</v>
      </c>
      <c r="AE314" s="74" t="str">
        <f t="shared" si="14"/>
        <v>https://drive.google.com/thumbnail?id=1jRWn6nkUc6PyzKFIrav2bztHDn61jQYs&amp;sz=w1000</v>
      </c>
      <c r="AF314" s="173" t="s">
        <v>687</v>
      </c>
      <c r="AG314" s="73" t="str">
        <f t="shared" si="15"/>
        <v>https://drive.google.com/thumbnail?id=1iBr6b26MBv3-qs2HfZPBv-_SZMciRoSv&amp;sz=w1000</v>
      </c>
      <c r="AH314" s="173" t="s">
        <v>688</v>
      </c>
    </row>
    <row r="315" spans="1:34" ht="22.15" customHeight="1">
      <c r="A315" s="30">
        <v>45534</v>
      </c>
      <c r="B315" s="24" t="s">
        <v>114</v>
      </c>
      <c r="C315" s="2" t="s">
        <v>116</v>
      </c>
      <c r="D315" s="16" t="str" cm="1">
        <f t="array" ref="D315">_xlfn.XLOOKUP(1, (Table1[Project Name]=Table2[[#This Row],[Project ID]])*(Table1[Plot]=Table2[[#This Row],[Plot]]), Table1[Project ID])</f>
        <v>MJ-13</v>
      </c>
      <c r="E315" s="69">
        <v>53</v>
      </c>
      <c r="F315" s="70">
        <v>555</v>
      </c>
      <c r="G315" s="69">
        <f>Table2[[#This Row],[Time Elapsed]]+Table2[[#This Row],[Time Remaining]]</f>
        <v>608</v>
      </c>
      <c r="H315" s="136" t="s">
        <v>679</v>
      </c>
      <c r="I315" s="136"/>
      <c r="J315" s="13">
        <v>1.38E-2</v>
      </c>
      <c r="K315" s="137">
        <v>1.3100000000000001E-2</v>
      </c>
      <c r="L315" s="13">
        <f>Table2[[#This Row],[Actual %]]-Table2[[#This Row],[Plan %]]</f>
        <v>-6.9999999999999923E-4</v>
      </c>
      <c r="M315" s="144" t="s">
        <v>280</v>
      </c>
      <c r="N315" s="12"/>
      <c r="O315" s="12"/>
      <c r="P315" s="12"/>
      <c r="Q315" s="12">
        <f t="shared" si="16"/>
        <v>45541</v>
      </c>
      <c r="R315" s="136" t="s">
        <v>680</v>
      </c>
      <c r="S315" s="136" t="s">
        <v>681</v>
      </c>
      <c r="T315" s="143" t="s">
        <v>682</v>
      </c>
      <c r="U315" s="155">
        <v>98073241.524302095</v>
      </c>
      <c r="V315" s="152">
        <v>0</v>
      </c>
      <c r="W315" s="36">
        <f>Table2[[#This Row],[Construction Contract Amount]]+Table2[[#This Row],[Cumulative Variations]]</f>
        <v>98073241.524302095</v>
      </c>
      <c r="X315" s="152">
        <v>3229333.33</v>
      </c>
      <c r="Y315" s="152">
        <v>0</v>
      </c>
      <c r="Z315" s="36">
        <f>Table2[[#This Row],[Final Contract Value]]+Table2[[#This Row],[Supervision Contract amount]]+Table2[[#This Row],[Authority Cost]]</f>
        <v>101302574.85430209</v>
      </c>
      <c r="AA315" s="140"/>
      <c r="AB315" s="152">
        <v>56109.376666666598</v>
      </c>
      <c r="AC315" s="91" t="str">
        <f t="shared" si="13"/>
        <v>https://drive.google.com/thumbnail?id=1YYboHNgsShFzYyBHMkUoSzib7zJkM_P6&amp;sz=w1000</v>
      </c>
      <c r="AD315" s="173" t="s">
        <v>686</v>
      </c>
      <c r="AE315" s="74" t="str">
        <f t="shared" si="14"/>
        <v>https://drive.google.com/thumbnail?id=1jRWn6nkUc6PyzKFIrav2bztHDn61jQYs&amp;sz=w1000</v>
      </c>
      <c r="AF315" s="173" t="s">
        <v>687</v>
      </c>
      <c r="AG315" s="73" t="str">
        <f t="shared" si="15"/>
        <v>https://drive.google.com/thumbnail?id=1iBr6b26MBv3-qs2HfZPBv-_SZMciRoSv&amp;sz=w1000</v>
      </c>
      <c r="AH315" s="173" t="s">
        <v>688</v>
      </c>
    </row>
    <row r="316" spans="1:34" ht="22.15" customHeight="1">
      <c r="A316" s="30">
        <v>45534</v>
      </c>
      <c r="B316" s="24" t="s">
        <v>114</v>
      </c>
      <c r="C316" s="2" t="s">
        <v>116</v>
      </c>
      <c r="D316" s="16" t="str" cm="1">
        <f t="array" ref="D316">_xlfn.XLOOKUP(1, (Table1[Project Name]=Table2[[#This Row],[Project ID]])*(Table1[Plot]=Table2[[#This Row],[Plot]]), Table1[Project ID])</f>
        <v>MJ-13</v>
      </c>
      <c r="E316" s="69">
        <v>53</v>
      </c>
      <c r="F316" s="70">
        <v>555</v>
      </c>
      <c r="G316" s="69">
        <f>Table2[[#This Row],[Time Elapsed]]+Table2[[#This Row],[Time Remaining]]</f>
        <v>608</v>
      </c>
      <c r="H316" s="136" t="s">
        <v>679</v>
      </c>
      <c r="I316" s="136"/>
      <c r="J316" s="13">
        <v>1.38E-2</v>
      </c>
      <c r="K316" s="137">
        <v>1.3100000000000001E-2</v>
      </c>
      <c r="L316" s="13">
        <f>Table2[[#This Row],[Actual %]]-Table2[[#This Row],[Plan %]]</f>
        <v>-6.9999999999999923E-4</v>
      </c>
      <c r="M316" s="144" t="s">
        <v>281</v>
      </c>
      <c r="N316" s="12"/>
      <c r="O316" s="12"/>
      <c r="P316" s="12"/>
      <c r="Q316" s="12">
        <f t="shared" si="16"/>
        <v>45541</v>
      </c>
      <c r="R316" s="136" t="s">
        <v>680</v>
      </c>
      <c r="S316" s="136" t="s">
        <v>681</v>
      </c>
      <c r="T316" s="143" t="s">
        <v>682</v>
      </c>
      <c r="U316" s="155">
        <v>98073241.524302095</v>
      </c>
      <c r="V316" s="152">
        <v>0</v>
      </c>
      <c r="W316" s="36">
        <f>Table2[[#This Row],[Construction Contract Amount]]+Table2[[#This Row],[Cumulative Variations]]</f>
        <v>98073241.524302095</v>
      </c>
      <c r="X316" s="152">
        <v>3229333.33</v>
      </c>
      <c r="Y316" s="152">
        <v>0</v>
      </c>
      <c r="Z316" s="36">
        <f>Table2[[#This Row],[Final Contract Value]]+Table2[[#This Row],[Supervision Contract amount]]+Table2[[#This Row],[Authority Cost]]</f>
        <v>101302574.85430209</v>
      </c>
      <c r="AA316" s="140"/>
      <c r="AB316" s="152">
        <v>56109.376666666598</v>
      </c>
      <c r="AC316" s="91" t="str">
        <f t="shared" si="13"/>
        <v>https://drive.google.com/thumbnail?id=1YYboHNgsShFzYyBHMkUoSzib7zJkM_P6&amp;sz=w1000</v>
      </c>
      <c r="AD316" s="173" t="s">
        <v>686</v>
      </c>
      <c r="AE316" s="74" t="str">
        <f t="shared" si="14"/>
        <v>https://drive.google.com/thumbnail?id=1jRWn6nkUc6PyzKFIrav2bztHDn61jQYs&amp;sz=w1000</v>
      </c>
      <c r="AF316" s="173" t="s">
        <v>687</v>
      </c>
      <c r="AG316" s="73" t="str">
        <f t="shared" si="15"/>
        <v>https://drive.google.com/thumbnail?id=1iBr6b26MBv3-qs2HfZPBv-_SZMciRoSv&amp;sz=w1000</v>
      </c>
      <c r="AH316" s="173" t="s">
        <v>688</v>
      </c>
    </row>
    <row r="317" spans="1:34" ht="22.15" customHeight="1">
      <c r="A317" s="30">
        <v>45534</v>
      </c>
      <c r="B317" s="24" t="s">
        <v>114</v>
      </c>
      <c r="C317" s="2" t="s">
        <v>116</v>
      </c>
      <c r="D317" s="16" t="str" cm="1">
        <f t="array" ref="D317">_xlfn.XLOOKUP(1, (Table1[Project Name]=Table2[[#This Row],[Project ID]])*(Table1[Plot]=Table2[[#This Row],[Plot]]), Table1[Project ID])</f>
        <v>MJ-13</v>
      </c>
      <c r="E317" s="69">
        <v>53</v>
      </c>
      <c r="F317" s="70">
        <v>555</v>
      </c>
      <c r="G317" s="69">
        <f>Table2[[#This Row],[Time Elapsed]]+Table2[[#This Row],[Time Remaining]]</f>
        <v>608</v>
      </c>
      <c r="H317" s="136" t="s">
        <v>679</v>
      </c>
      <c r="I317" s="136"/>
      <c r="J317" s="13">
        <v>1.38E-2</v>
      </c>
      <c r="K317" s="137">
        <v>1.3100000000000001E-2</v>
      </c>
      <c r="L317" s="13">
        <f>Table2[[#This Row],[Actual %]]-Table2[[#This Row],[Plan %]]</f>
        <v>-6.9999999999999923E-4</v>
      </c>
      <c r="M317" s="144" t="s">
        <v>282</v>
      </c>
      <c r="N317" s="12"/>
      <c r="O317" s="12"/>
      <c r="P317" s="12"/>
      <c r="Q317" s="12">
        <f t="shared" si="16"/>
        <v>45541</v>
      </c>
      <c r="R317" s="136" t="s">
        <v>680</v>
      </c>
      <c r="S317" s="136" t="s">
        <v>681</v>
      </c>
      <c r="T317" s="143" t="s">
        <v>682</v>
      </c>
      <c r="U317" s="155">
        <v>98073241.524302095</v>
      </c>
      <c r="V317" s="152">
        <v>0</v>
      </c>
      <c r="W317" s="36">
        <f>Table2[[#This Row],[Construction Contract Amount]]+Table2[[#This Row],[Cumulative Variations]]</f>
        <v>98073241.524302095</v>
      </c>
      <c r="X317" s="152">
        <v>3229333.33</v>
      </c>
      <c r="Y317" s="152">
        <v>0</v>
      </c>
      <c r="Z317" s="36">
        <f>Table2[[#This Row],[Final Contract Value]]+Table2[[#This Row],[Supervision Contract amount]]+Table2[[#This Row],[Authority Cost]]</f>
        <v>101302574.85430209</v>
      </c>
      <c r="AA317" s="140"/>
      <c r="AB317" s="152">
        <v>56109.376666666598</v>
      </c>
      <c r="AC317" s="91" t="str">
        <f t="shared" si="13"/>
        <v>https://drive.google.com/thumbnail?id=1YYboHNgsShFzYyBHMkUoSzib7zJkM_P6&amp;sz=w1000</v>
      </c>
      <c r="AD317" s="173" t="s">
        <v>686</v>
      </c>
      <c r="AE317" s="74" t="str">
        <f t="shared" si="14"/>
        <v>https://drive.google.com/thumbnail?id=1jRWn6nkUc6PyzKFIrav2bztHDn61jQYs&amp;sz=w1000</v>
      </c>
      <c r="AF317" s="173" t="s">
        <v>687</v>
      </c>
      <c r="AG317" s="73" t="str">
        <f t="shared" si="15"/>
        <v>https://drive.google.com/thumbnail?id=1iBr6b26MBv3-qs2HfZPBv-_SZMciRoSv&amp;sz=w1000</v>
      </c>
      <c r="AH317" s="173" t="s">
        <v>688</v>
      </c>
    </row>
    <row r="318" spans="1:34" ht="22.15" customHeight="1">
      <c r="A318" s="30">
        <v>45534</v>
      </c>
      <c r="B318" s="24" t="s">
        <v>114</v>
      </c>
      <c r="C318" s="2" t="s">
        <v>116</v>
      </c>
      <c r="D318" s="16" t="str" cm="1">
        <f t="array" ref="D318">_xlfn.XLOOKUP(1, (Table1[Project Name]=Table2[[#This Row],[Project ID]])*(Table1[Plot]=Table2[[#This Row],[Plot]]), Table1[Project ID])</f>
        <v>MJ-13</v>
      </c>
      <c r="E318" s="69">
        <v>53</v>
      </c>
      <c r="F318" s="70">
        <v>555</v>
      </c>
      <c r="G318" s="69">
        <f>Table2[[#This Row],[Time Elapsed]]+Table2[[#This Row],[Time Remaining]]</f>
        <v>608</v>
      </c>
      <c r="H318" s="136" t="s">
        <v>679</v>
      </c>
      <c r="I318" s="136"/>
      <c r="J318" s="13">
        <v>1.38E-2</v>
      </c>
      <c r="K318" s="137">
        <v>1.3100000000000001E-2</v>
      </c>
      <c r="L318" s="13">
        <f>Table2[[#This Row],[Actual %]]-Table2[[#This Row],[Plan %]]</f>
        <v>-6.9999999999999923E-4</v>
      </c>
      <c r="M318" s="144" t="s">
        <v>283</v>
      </c>
      <c r="N318" s="12"/>
      <c r="O318" s="12"/>
      <c r="P318" s="12"/>
      <c r="Q318" s="12">
        <f t="shared" si="16"/>
        <v>45541</v>
      </c>
      <c r="R318" s="136" t="s">
        <v>680</v>
      </c>
      <c r="S318" s="136" t="s">
        <v>681</v>
      </c>
      <c r="T318" s="143" t="s">
        <v>682</v>
      </c>
      <c r="U318" s="155">
        <v>98073241.524302095</v>
      </c>
      <c r="V318" s="152">
        <v>0</v>
      </c>
      <c r="W318" s="36">
        <f>Table2[[#This Row],[Construction Contract Amount]]+Table2[[#This Row],[Cumulative Variations]]</f>
        <v>98073241.524302095</v>
      </c>
      <c r="X318" s="152">
        <v>3229333.33</v>
      </c>
      <c r="Y318" s="152">
        <v>0</v>
      </c>
      <c r="Z318" s="36">
        <f>Table2[[#This Row],[Final Contract Value]]+Table2[[#This Row],[Supervision Contract amount]]+Table2[[#This Row],[Authority Cost]]</f>
        <v>101302574.85430209</v>
      </c>
      <c r="AA318" s="140"/>
      <c r="AB318" s="152">
        <v>56109.376666666598</v>
      </c>
      <c r="AC318" s="91" t="str">
        <f t="shared" si="13"/>
        <v>https://drive.google.com/thumbnail?id=1YYboHNgsShFzYyBHMkUoSzib7zJkM_P6&amp;sz=w1000</v>
      </c>
      <c r="AD318" s="173" t="s">
        <v>686</v>
      </c>
      <c r="AE318" s="74" t="str">
        <f t="shared" si="14"/>
        <v>https://drive.google.com/thumbnail?id=1jRWn6nkUc6PyzKFIrav2bztHDn61jQYs&amp;sz=w1000</v>
      </c>
      <c r="AF318" s="173" t="s">
        <v>687</v>
      </c>
      <c r="AG318" s="73" t="str">
        <f t="shared" si="15"/>
        <v>https://drive.google.com/thumbnail?id=1iBr6b26MBv3-qs2HfZPBv-_SZMciRoSv&amp;sz=w1000</v>
      </c>
      <c r="AH318" s="173" t="s">
        <v>688</v>
      </c>
    </row>
    <row r="319" spans="1:34" ht="22.15" customHeight="1">
      <c r="A319" s="30">
        <v>45534</v>
      </c>
      <c r="B319" s="24" t="s">
        <v>114</v>
      </c>
      <c r="C319" s="2" t="s">
        <v>116</v>
      </c>
      <c r="D319" s="16" t="str" cm="1">
        <f t="array" ref="D319">_xlfn.XLOOKUP(1, (Table1[Project Name]=Table2[[#This Row],[Project ID]])*(Table1[Plot]=Table2[[#This Row],[Plot]]), Table1[Project ID])</f>
        <v>MJ-13</v>
      </c>
      <c r="E319" s="69">
        <v>53</v>
      </c>
      <c r="F319" s="70">
        <v>555</v>
      </c>
      <c r="G319" s="69">
        <f>Table2[[#This Row],[Time Elapsed]]+Table2[[#This Row],[Time Remaining]]</f>
        <v>608</v>
      </c>
      <c r="H319" s="136" t="s">
        <v>679</v>
      </c>
      <c r="I319" s="136"/>
      <c r="J319" s="13">
        <v>1.38E-2</v>
      </c>
      <c r="K319" s="137">
        <v>1.3100000000000001E-2</v>
      </c>
      <c r="L319" s="13">
        <f>Table2[[#This Row],[Actual %]]-Table2[[#This Row],[Plan %]]</f>
        <v>-6.9999999999999923E-4</v>
      </c>
      <c r="M319" s="144" t="s">
        <v>284</v>
      </c>
      <c r="N319" s="12"/>
      <c r="O319" s="12"/>
      <c r="P319" s="12"/>
      <c r="Q319" s="12">
        <f t="shared" si="16"/>
        <v>45541</v>
      </c>
      <c r="R319" s="136" t="s">
        <v>680</v>
      </c>
      <c r="S319" s="136" t="s">
        <v>681</v>
      </c>
      <c r="T319" s="143" t="s">
        <v>682</v>
      </c>
      <c r="U319" s="155">
        <v>98073241.524302095</v>
      </c>
      <c r="V319" s="152">
        <v>0</v>
      </c>
      <c r="W319" s="36">
        <f>Table2[[#This Row],[Construction Contract Amount]]+Table2[[#This Row],[Cumulative Variations]]</f>
        <v>98073241.524302095</v>
      </c>
      <c r="X319" s="152">
        <v>3229333.33</v>
      </c>
      <c r="Y319" s="152">
        <v>0</v>
      </c>
      <c r="Z319" s="36">
        <f>Table2[[#This Row],[Final Contract Value]]+Table2[[#This Row],[Supervision Contract amount]]+Table2[[#This Row],[Authority Cost]]</f>
        <v>101302574.85430209</v>
      </c>
      <c r="AA319" s="140"/>
      <c r="AB319" s="152">
        <v>56109.376666666598</v>
      </c>
      <c r="AC319" s="91" t="str">
        <f t="shared" si="13"/>
        <v>https://drive.google.com/thumbnail?id=1YYboHNgsShFzYyBHMkUoSzib7zJkM_P6&amp;sz=w1000</v>
      </c>
      <c r="AD319" s="173" t="s">
        <v>686</v>
      </c>
      <c r="AE319" s="74" t="str">
        <f t="shared" si="14"/>
        <v>https://drive.google.com/thumbnail?id=1jRWn6nkUc6PyzKFIrav2bztHDn61jQYs&amp;sz=w1000</v>
      </c>
      <c r="AF319" s="173" t="s">
        <v>687</v>
      </c>
      <c r="AG319" s="73" t="str">
        <f t="shared" si="15"/>
        <v>https://drive.google.com/thumbnail?id=1iBr6b26MBv3-qs2HfZPBv-_SZMciRoSv&amp;sz=w1000</v>
      </c>
      <c r="AH319" s="173" t="s">
        <v>688</v>
      </c>
    </row>
    <row r="320" spans="1:34" ht="22.15" customHeight="1">
      <c r="A320" s="30">
        <v>45534</v>
      </c>
      <c r="B320" s="17" t="s">
        <v>118</v>
      </c>
      <c r="C320" s="2" t="s">
        <v>121</v>
      </c>
      <c r="D320" s="16" t="str" cm="1">
        <f t="array" ref="D320">_xlfn.XLOOKUP(1, (Table1[Project Name]=Table2[[#This Row],[Project ID]])*(Table1[Plot]=Table2[[#This Row],[Plot]]), Table1[Project ID])</f>
        <v>MJ-14</v>
      </c>
      <c r="E320" s="69">
        <v>53</v>
      </c>
      <c r="F320" s="70">
        <v>555</v>
      </c>
      <c r="G320" s="69">
        <f>Table2[[#This Row],[Time Elapsed]]+Table2[[#This Row],[Time Remaining]]</f>
        <v>608</v>
      </c>
      <c r="H320" s="136" t="s">
        <v>679</v>
      </c>
      <c r="I320" s="136"/>
      <c r="J320" s="13">
        <v>1.38E-2</v>
      </c>
      <c r="K320" s="137">
        <v>1.3100000000000001E-2</v>
      </c>
      <c r="L320" s="13">
        <f>Table2[[#This Row],[Actual %]]-Table2[[#This Row],[Plan %]]</f>
        <v>-6.9999999999999923E-4</v>
      </c>
      <c r="M320" s="144" t="s">
        <v>28</v>
      </c>
      <c r="N320" s="12"/>
      <c r="O320" s="12"/>
      <c r="P320" s="12"/>
      <c r="Q320" s="12">
        <v>45541</v>
      </c>
      <c r="R320" s="136" t="s">
        <v>680</v>
      </c>
      <c r="S320" s="136" t="s">
        <v>681</v>
      </c>
      <c r="T320" s="143" t="s">
        <v>682</v>
      </c>
      <c r="U320" s="157">
        <v>110585480.02186078</v>
      </c>
      <c r="V320" s="152">
        <v>0</v>
      </c>
      <c r="W320" s="36">
        <f>Table2[[#This Row],[Construction Contract Amount]]+Table2[[#This Row],[Cumulative Variations]]</f>
        <v>110585480.02186078</v>
      </c>
      <c r="X320" s="152">
        <v>3229333.33</v>
      </c>
      <c r="Y320" s="152">
        <v>0</v>
      </c>
      <c r="Z320" s="36">
        <f>Table2[[#This Row],[Final Contract Value]]+Table2[[#This Row],[Supervision Contract amount]]+Table2[[#This Row],[Authority Cost]]</f>
        <v>113814813.35186078</v>
      </c>
      <c r="AA320" s="140"/>
      <c r="AB320" s="152">
        <v>56109.376666666598</v>
      </c>
      <c r="AC320" s="91" t="str">
        <f t="shared" si="13"/>
        <v>https://drive.google.com/thumbnail?id=1q4cCVCNG__x2eJpAiRLTqR7FTiIzCqW_&amp;sz=w1000</v>
      </c>
      <c r="AD320" s="172" t="s">
        <v>689</v>
      </c>
      <c r="AE320" s="74" t="str">
        <f t="shared" si="14"/>
        <v>https://drive.google.com/thumbnail?id=1sNkCfgGH2JR4MdY6bX8EU8QPo1fhVgeJ&amp;sz=w1000</v>
      </c>
      <c r="AF320" s="172" t="s">
        <v>690</v>
      </c>
      <c r="AG320" s="73" t="str">
        <f t="shared" si="15"/>
        <v>https://drive.google.com/thumbnail?id=1pVsRJ1dyo2hYWyHHI4kWWKMR6i84lDfX&amp;sz=w1000</v>
      </c>
      <c r="AH320" s="172" t="s">
        <v>691</v>
      </c>
    </row>
    <row r="321" spans="1:34" ht="22.15" customHeight="1">
      <c r="A321" s="30">
        <v>45534</v>
      </c>
      <c r="B321" s="17" t="s">
        <v>118</v>
      </c>
      <c r="C321" s="2" t="s">
        <v>121</v>
      </c>
      <c r="D321" s="16" t="str" cm="1">
        <f t="array" ref="D321">_xlfn.XLOOKUP(1, (Table1[Project Name]=Table2[[#This Row],[Project ID]])*(Table1[Plot]=Table2[[#This Row],[Plot]]), Table1[Project ID])</f>
        <v>MJ-14</v>
      </c>
      <c r="E321" s="69">
        <v>53</v>
      </c>
      <c r="F321" s="70">
        <v>555</v>
      </c>
      <c r="G321" s="69">
        <f>Table2[[#This Row],[Time Elapsed]]+Table2[[#This Row],[Time Remaining]]</f>
        <v>608</v>
      </c>
      <c r="H321" s="136" t="s">
        <v>679</v>
      </c>
      <c r="I321" s="136"/>
      <c r="J321" s="13">
        <v>1.38E-2</v>
      </c>
      <c r="K321" s="137">
        <v>1.3100000000000001E-2</v>
      </c>
      <c r="L321" s="13">
        <f>Table2[[#This Row],[Actual %]]-Table2[[#This Row],[Plan %]]</f>
        <v>-6.9999999999999923E-4</v>
      </c>
      <c r="M321" s="144" t="s">
        <v>50</v>
      </c>
      <c r="N321" s="12"/>
      <c r="O321" s="12"/>
      <c r="P321" s="12"/>
      <c r="Q321" s="12">
        <f t="shared" ref="Q321:Q332" si="17">Q320</f>
        <v>45541</v>
      </c>
      <c r="R321" s="136" t="s">
        <v>680</v>
      </c>
      <c r="S321" s="136" t="s">
        <v>681</v>
      </c>
      <c r="T321" s="143" t="s">
        <v>682</v>
      </c>
      <c r="U321" s="157">
        <v>110585480.02186078</v>
      </c>
      <c r="V321" s="152">
        <v>0</v>
      </c>
      <c r="W321" s="36">
        <f>Table2[[#This Row],[Construction Contract Amount]]+Table2[[#This Row],[Cumulative Variations]]</f>
        <v>110585480.02186078</v>
      </c>
      <c r="X321" s="152">
        <v>3229333.33</v>
      </c>
      <c r="Y321" s="152">
        <v>0</v>
      </c>
      <c r="Z321" s="36">
        <f>Table2[[#This Row],[Final Contract Value]]+Table2[[#This Row],[Supervision Contract amount]]+Table2[[#This Row],[Authority Cost]]</f>
        <v>113814813.35186078</v>
      </c>
      <c r="AA321" s="140"/>
      <c r="AB321" s="152">
        <v>56109.376666666598</v>
      </c>
      <c r="AC321" s="91" t="str">
        <f t="shared" si="13"/>
        <v>https://drive.google.com/thumbnail?id=1q4cCVCNG__x2eJpAiRLTqR7FTiIzCqW_&amp;sz=w1000</v>
      </c>
      <c r="AD321" s="172" t="s">
        <v>689</v>
      </c>
      <c r="AE321" s="74" t="str">
        <f t="shared" si="14"/>
        <v>https://drive.google.com/thumbnail?id=1sNkCfgGH2JR4MdY6bX8EU8QPo1fhVgeJ&amp;sz=w1000</v>
      </c>
      <c r="AF321" s="172" t="s">
        <v>690</v>
      </c>
      <c r="AG321" s="73" t="str">
        <f t="shared" si="15"/>
        <v>https://drive.google.com/thumbnail?id=1pVsRJ1dyo2hYWyHHI4kWWKMR6i84lDfX&amp;sz=w1000</v>
      </c>
      <c r="AH321" s="172" t="s">
        <v>691</v>
      </c>
    </row>
    <row r="322" spans="1:34" ht="22.15" customHeight="1">
      <c r="A322" s="30">
        <v>45534</v>
      </c>
      <c r="B322" s="17" t="s">
        <v>118</v>
      </c>
      <c r="C322" s="2" t="s">
        <v>121</v>
      </c>
      <c r="D322" s="16" t="str" cm="1">
        <f t="array" ref="D322">_xlfn.XLOOKUP(1, (Table1[Project Name]=Table2[[#This Row],[Project ID]])*(Table1[Plot]=Table2[[#This Row],[Plot]]), Table1[Project ID])</f>
        <v>MJ-14</v>
      </c>
      <c r="E322" s="69">
        <v>53</v>
      </c>
      <c r="F322" s="70">
        <v>555</v>
      </c>
      <c r="G322" s="69">
        <f>Table2[[#This Row],[Time Elapsed]]+Table2[[#This Row],[Time Remaining]]</f>
        <v>608</v>
      </c>
      <c r="H322" s="136" t="s">
        <v>679</v>
      </c>
      <c r="I322" s="136"/>
      <c r="J322" s="13">
        <v>1.38E-2</v>
      </c>
      <c r="K322" s="148">
        <v>1.3100000000000001E-2</v>
      </c>
      <c r="L322" s="13">
        <f>Table2[[#This Row],[Actual %]]-Table2[[#This Row],[Plan %]]</f>
        <v>-6.9999999999999923E-4</v>
      </c>
      <c r="M322" s="144" t="s">
        <v>51</v>
      </c>
      <c r="N322" s="12"/>
      <c r="O322" s="12"/>
      <c r="P322" s="12"/>
      <c r="Q322" s="12">
        <f t="shared" si="17"/>
        <v>45541</v>
      </c>
      <c r="R322" s="136" t="s">
        <v>680</v>
      </c>
      <c r="S322" s="136" t="s">
        <v>681</v>
      </c>
      <c r="T322" s="143" t="s">
        <v>682</v>
      </c>
      <c r="U322" s="157">
        <v>110585480.02186078</v>
      </c>
      <c r="V322" s="152">
        <v>0</v>
      </c>
      <c r="W322" s="36">
        <f>Table2[[#This Row],[Construction Contract Amount]]+Table2[[#This Row],[Cumulative Variations]]</f>
        <v>110585480.02186078</v>
      </c>
      <c r="X322" s="152">
        <v>3229333.33</v>
      </c>
      <c r="Y322" s="152">
        <v>0</v>
      </c>
      <c r="Z322" s="36">
        <f>Table2[[#This Row],[Final Contract Value]]+Table2[[#This Row],[Supervision Contract amount]]+Table2[[#This Row],[Authority Cost]]</f>
        <v>113814813.35186078</v>
      </c>
      <c r="AA322" s="140"/>
      <c r="AB322" s="152">
        <v>56109.376666666598</v>
      </c>
      <c r="AC322" s="91" t="str">
        <f t="shared" ref="AC322:AC385" si="18">CONCATENATE("https://drive.google.com/thumbnail?id=", MID(AD322, FIND("/d/", AD322) + 3, FIND("/view", AD322) - FIND("/d/", AD322) - 3), "&amp;sz=w1000")</f>
        <v>https://drive.google.com/thumbnail?id=1q4cCVCNG__x2eJpAiRLTqR7FTiIzCqW_&amp;sz=w1000</v>
      </c>
      <c r="AD322" s="172" t="s">
        <v>689</v>
      </c>
      <c r="AE322" s="74" t="str">
        <f t="shared" ref="AE322:AE385" si="19">CONCATENATE("https://drive.google.com/thumbnail?id=", MID(AF322, FIND("/d/", AF322) + 3, FIND("/view", AF322) - FIND("/d/", AF322) - 3), "&amp;sz=w1000")</f>
        <v>https://drive.google.com/thumbnail?id=1sNkCfgGH2JR4MdY6bX8EU8QPo1fhVgeJ&amp;sz=w1000</v>
      </c>
      <c r="AF322" s="172" t="s">
        <v>690</v>
      </c>
      <c r="AG322" s="73" t="str">
        <f t="shared" ref="AG322:AG385" si="20">CONCATENATE("https://drive.google.com/thumbnail?id=", MID(AH322, FIND("/d/", AH322) + 3, FIND("/view", AH322) - FIND("/d/", AH322) - 3), "&amp;sz=w1000")</f>
        <v>https://drive.google.com/thumbnail?id=1pVsRJ1dyo2hYWyHHI4kWWKMR6i84lDfX&amp;sz=w1000</v>
      </c>
      <c r="AH322" s="172" t="s">
        <v>691</v>
      </c>
    </row>
    <row r="323" spans="1:34" ht="22.15" customHeight="1">
      <c r="A323" s="30">
        <v>45534</v>
      </c>
      <c r="B323" s="17" t="s">
        <v>118</v>
      </c>
      <c r="C323" s="2" t="s">
        <v>121</v>
      </c>
      <c r="D323" s="16" t="str" cm="1">
        <f t="array" ref="D323">_xlfn.XLOOKUP(1, (Table1[Project Name]=Table2[[#This Row],[Project ID]])*(Table1[Plot]=Table2[[#This Row],[Plot]]), Table1[Project ID])</f>
        <v>MJ-14</v>
      </c>
      <c r="E323" s="69">
        <v>53</v>
      </c>
      <c r="F323" s="70">
        <v>555</v>
      </c>
      <c r="G323" s="69">
        <f>Table2[[#This Row],[Time Elapsed]]+Table2[[#This Row],[Time Remaining]]</f>
        <v>608</v>
      </c>
      <c r="H323" s="136" t="s">
        <v>679</v>
      </c>
      <c r="I323" s="136"/>
      <c r="J323" s="13">
        <v>1.38E-2</v>
      </c>
      <c r="K323" s="148">
        <v>1.3100000000000001E-2</v>
      </c>
      <c r="L323" s="13">
        <f>Table2[[#This Row],[Actual %]]-Table2[[#This Row],[Plan %]]</f>
        <v>-6.9999999999999923E-4</v>
      </c>
      <c r="M323" s="144" t="s">
        <v>275</v>
      </c>
      <c r="N323" s="12"/>
      <c r="O323" s="12"/>
      <c r="P323" s="12"/>
      <c r="Q323" s="12">
        <f t="shared" si="17"/>
        <v>45541</v>
      </c>
      <c r="R323" s="136" t="s">
        <v>680</v>
      </c>
      <c r="S323" s="136" t="s">
        <v>681</v>
      </c>
      <c r="T323" s="143" t="s">
        <v>682</v>
      </c>
      <c r="U323" s="157">
        <v>110585480.02186078</v>
      </c>
      <c r="V323" s="152">
        <v>0</v>
      </c>
      <c r="W323" s="36">
        <f>Table2[[#This Row],[Construction Contract Amount]]+Table2[[#This Row],[Cumulative Variations]]</f>
        <v>110585480.02186078</v>
      </c>
      <c r="X323" s="152">
        <v>3229333.33</v>
      </c>
      <c r="Y323" s="152">
        <v>0</v>
      </c>
      <c r="Z323" s="36">
        <f>Table2[[#This Row],[Final Contract Value]]+Table2[[#This Row],[Supervision Contract amount]]+Table2[[#This Row],[Authority Cost]]</f>
        <v>113814813.35186078</v>
      </c>
      <c r="AA323" s="140"/>
      <c r="AB323" s="152">
        <v>56109.376666666598</v>
      </c>
      <c r="AC323" s="91" t="str">
        <f t="shared" si="18"/>
        <v>https://drive.google.com/thumbnail?id=1q4cCVCNG__x2eJpAiRLTqR7FTiIzCqW_&amp;sz=w1000</v>
      </c>
      <c r="AD323" s="172" t="s">
        <v>689</v>
      </c>
      <c r="AE323" s="74" t="str">
        <f t="shared" si="19"/>
        <v>https://drive.google.com/thumbnail?id=1sNkCfgGH2JR4MdY6bX8EU8QPo1fhVgeJ&amp;sz=w1000</v>
      </c>
      <c r="AF323" s="172" t="s">
        <v>690</v>
      </c>
      <c r="AG323" s="73" t="str">
        <f t="shared" si="20"/>
        <v>https://drive.google.com/thumbnail?id=1pVsRJ1dyo2hYWyHHI4kWWKMR6i84lDfX&amp;sz=w1000</v>
      </c>
      <c r="AH323" s="172" t="s">
        <v>691</v>
      </c>
    </row>
    <row r="324" spans="1:34" ht="22.15" customHeight="1">
      <c r="A324" s="30">
        <v>45534</v>
      </c>
      <c r="B324" s="17" t="s">
        <v>118</v>
      </c>
      <c r="C324" s="2" t="s">
        <v>121</v>
      </c>
      <c r="D324" s="16" t="str" cm="1">
        <f t="array" ref="D324">_xlfn.XLOOKUP(1, (Table1[Project Name]=Table2[[#This Row],[Project ID]])*(Table1[Plot]=Table2[[#This Row],[Plot]]), Table1[Project ID])</f>
        <v>MJ-14</v>
      </c>
      <c r="E324" s="69">
        <v>53</v>
      </c>
      <c r="F324" s="70">
        <v>555</v>
      </c>
      <c r="G324" s="69">
        <f>Table2[[#This Row],[Time Elapsed]]+Table2[[#This Row],[Time Remaining]]</f>
        <v>608</v>
      </c>
      <c r="H324" s="136" t="s">
        <v>679</v>
      </c>
      <c r="I324" s="136"/>
      <c r="J324" s="13">
        <v>1.38E-2</v>
      </c>
      <c r="K324" s="148">
        <v>1.3100000000000001E-2</v>
      </c>
      <c r="L324" s="13">
        <f>Table2[[#This Row],[Actual %]]-Table2[[#This Row],[Plan %]]</f>
        <v>-6.9999999999999923E-4</v>
      </c>
      <c r="M324" s="144" t="s">
        <v>276</v>
      </c>
      <c r="N324" s="12"/>
      <c r="O324" s="12"/>
      <c r="P324" s="12"/>
      <c r="Q324" s="12">
        <f t="shared" si="17"/>
        <v>45541</v>
      </c>
      <c r="R324" s="136" t="s">
        <v>680</v>
      </c>
      <c r="S324" s="136" t="s">
        <v>681</v>
      </c>
      <c r="T324" s="143" t="s">
        <v>682</v>
      </c>
      <c r="U324" s="157">
        <v>110585480.02186078</v>
      </c>
      <c r="V324" s="152">
        <v>0</v>
      </c>
      <c r="W324" s="36">
        <f>Table2[[#This Row],[Construction Contract Amount]]+Table2[[#This Row],[Cumulative Variations]]</f>
        <v>110585480.02186078</v>
      </c>
      <c r="X324" s="152">
        <v>3229333.33</v>
      </c>
      <c r="Y324" s="152">
        <v>0</v>
      </c>
      <c r="Z324" s="36">
        <f>Table2[[#This Row],[Final Contract Value]]+Table2[[#This Row],[Supervision Contract amount]]+Table2[[#This Row],[Authority Cost]]</f>
        <v>113814813.35186078</v>
      </c>
      <c r="AA324" s="140"/>
      <c r="AB324" s="152">
        <v>56109.376666666598</v>
      </c>
      <c r="AC324" s="91" t="str">
        <f t="shared" si="18"/>
        <v>https://drive.google.com/thumbnail?id=1q4cCVCNG__x2eJpAiRLTqR7FTiIzCqW_&amp;sz=w1000</v>
      </c>
      <c r="AD324" s="172" t="s">
        <v>689</v>
      </c>
      <c r="AE324" s="74" t="str">
        <f t="shared" si="19"/>
        <v>https://drive.google.com/thumbnail?id=1sNkCfgGH2JR4MdY6bX8EU8QPo1fhVgeJ&amp;sz=w1000</v>
      </c>
      <c r="AF324" s="172" t="s">
        <v>690</v>
      </c>
      <c r="AG324" s="73" t="str">
        <f t="shared" si="20"/>
        <v>https://drive.google.com/thumbnail?id=1pVsRJ1dyo2hYWyHHI4kWWKMR6i84lDfX&amp;sz=w1000</v>
      </c>
      <c r="AH324" s="172" t="s">
        <v>691</v>
      </c>
    </row>
    <row r="325" spans="1:34" ht="22.15" customHeight="1">
      <c r="A325" s="30">
        <v>45534</v>
      </c>
      <c r="B325" s="17" t="s">
        <v>118</v>
      </c>
      <c r="C325" s="2" t="s">
        <v>121</v>
      </c>
      <c r="D325" s="16" t="str" cm="1">
        <f t="array" ref="D325">_xlfn.XLOOKUP(1, (Table1[Project Name]=Table2[[#This Row],[Project ID]])*(Table1[Plot]=Table2[[#This Row],[Plot]]), Table1[Project ID])</f>
        <v>MJ-14</v>
      </c>
      <c r="E325" s="69">
        <v>53</v>
      </c>
      <c r="F325" s="70">
        <v>555</v>
      </c>
      <c r="G325" s="69">
        <f>Table2[[#This Row],[Time Elapsed]]+Table2[[#This Row],[Time Remaining]]</f>
        <v>608</v>
      </c>
      <c r="H325" s="136" t="s">
        <v>679</v>
      </c>
      <c r="I325" s="136"/>
      <c r="J325" s="13">
        <v>1.38E-2</v>
      </c>
      <c r="K325" s="148">
        <v>1.3100000000000001E-2</v>
      </c>
      <c r="L325" s="13">
        <f>Table2[[#This Row],[Actual %]]-Table2[[#This Row],[Plan %]]</f>
        <v>-6.9999999999999923E-4</v>
      </c>
      <c r="M325" s="144" t="s">
        <v>277</v>
      </c>
      <c r="N325" s="12"/>
      <c r="O325" s="12"/>
      <c r="P325" s="12"/>
      <c r="Q325" s="12">
        <f t="shared" si="17"/>
        <v>45541</v>
      </c>
      <c r="R325" s="136" t="s">
        <v>680</v>
      </c>
      <c r="S325" s="136" t="s">
        <v>681</v>
      </c>
      <c r="T325" s="143" t="s">
        <v>682</v>
      </c>
      <c r="U325" s="157">
        <v>110585480.02186078</v>
      </c>
      <c r="V325" s="152">
        <v>0</v>
      </c>
      <c r="W325" s="36">
        <f>Table2[[#This Row],[Construction Contract Amount]]+Table2[[#This Row],[Cumulative Variations]]</f>
        <v>110585480.02186078</v>
      </c>
      <c r="X325" s="152">
        <v>3229333.33</v>
      </c>
      <c r="Y325" s="152">
        <v>0</v>
      </c>
      <c r="Z325" s="36">
        <f>Table2[[#This Row],[Final Contract Value]]+Table2[[#This Row],[Supervision Contract amount]]+Table2[[#This Row],[Authority Cost]]</f>
        <v>113814813.35186078</v>
      </c>
      <c r="AA325" s="140"/>
      <c r="AB325" s="152">
        <v>56109.376666666598</v>
      </c>
      <c r="AC325" s="91" t="str">
        <f t="shared" si="18"/>
        <v>https://drive.google.com/thumbnail?id=1q4cCVCNG__x2eJpAiRLTqR7FTiIzCqW_&amp;sz=w1000</v>
      </c>
      <c r="AD325" s="172" t="s">
        <v>689</v>
      </c>
      <c r="AE325" s="74" t="str">
        <f t="shared" si="19"/>
        <v>https://drive.google.com/thumbnail?id=1sNkCfgGH2JR4MdY6bX8EU8QPo1fhVgeJ&amp;sz=w1000</v>
      </c>
      <c r="AF325" s="172" t="s">
        <v>690</v>
      </c>
      <c r="AG325" s="73" t="str">
        <f t="shared" si="20"/>
        <v>https://drive.google.com/thumbnail?id=1pVsRJ1dyo2hYWyHHI4kWWKMR6i84lDfX&amp;sz=w1000</v>
      </c>
      <c r="AH325" s="172" t="s">
        <v>691</v>
      </c>
    </row>
    <row r="326" spans="1:34" ht="22.15" customHeight="1">
      <c r="A326" s="30">
        <v>45534</v>
      </c>
      <c r="B326" s="17" t="s">
        <v>118</v>
      </c>
      <c r="C326" s="2" t="s">
        <v>121</v>
      </c>
      <c r="D326" s="16" t="str" cm="1">
        <f t="array" ref="D326">_xlfn.XLOOKUP(1, (Table1[Project Name]=Table2[[#This Row],[Project ID]])*(Table1[Plot]=Table2[[#This Row],[Plot]]), Table1[Project ID])</f>
        <v>MJ-14</v>
      </c>
      <c r="E326" s="69">
        <v>53</v>
      </c>
      <c r="F326" s="70">
        <v>555</v>
      </c>
      <c r="G326" s="69">
        <f>Table2[[#This Row],[Time Elapsed]]+Table2[[#This Row],[Time Remaining]]</f>
        <v>608</v>
      </c>
      <c r="H326" s="136" t="s">
        <v>679</v>
      </c>
      <c r="I326" s="136"/>
      <c r="J326" s="13">
        <v>1.38E-2</v>
      </c>
      <c r="K326" s="148">
        <v>1.3100000000000001E-2</v>
      </c>
      <c r="L326" s="13">
        <f>Table2[[#This Row],[Actual %]]-Table2[[#This Row],[Plan %]]</f>
        <v>-6.9999999999999923E-4</v>
      </c>
      <c r="M326" s="144" t="s">
        <v>278</v>
      </c>
      <c r="N326" s="12"/>
      <c r="O326" s="12"/>
      <c r="P326" s="12"/>
      <c r="Q326" s="12">
        <f t="shared" si="17"/>
        <v>45541</v>
      </c>
      <c r="R326" s="136" t="s">
        <v>680</v>
      </c>
      <c r="S326" s="136" t="s">
        <v>681</v>
      </c>
      <c r="T326" s="143" t="s">
        <v>682</v>
      </c>
      <c r="U326" s="157">
        <v>110585480.02186078</v>
      </c>
      <c r="V326" s="152">
        <v>0</v>
      </c>
      <c r="W326" s="36">
        <f>Table2[[#This Row],[Construction Contract Amount]]+Table2[[#This Row],[Cumulative Variations]]</f>
        <v>110585480.02186078</v>
      </c>
      <c r="X326" s="152">
        <v>3229333.33</v>
      </c>
      <c r="Y326" s="152">
        <v>0</v>
      </c>
      <c r="Z326" s="36">
        <f>Table2[[#This Row],[Final Contract Value]]+Table2[[#This Row],[Supervision Contract amount]]+Table2[[#This Row],[Authority Cost]]</f>
        <v>113814813.35186078</v>
      </c>
      <c r="AA326" s="140"/>
      <c r="AB326" s="152">
        <v>56109.376666666598</v>
      </c>
      <c r="AC326" s="91" t="str">
        <f t="shared" si="18"/>
        <v>https://drive.google.com/thumbnail?id=1q4cCVCNG__x2eJpAiRLTqR7FTiIzCqW_&amp;sz=w1000</v>
      </c>
      <c r="AD326" s="172" t="s">
        <v>689</v>
      </c>
      <c r="AE326" s="74" t="str">
        <f t="shared" si="19"/>
        <v>https://drive.google.com/thumbnail?id=1sNkCfgGH2JR4MdY6bX8EU8QPo1fhVgeJ&amp;sz=w1000</v>
      </c>
      <c r="AF326" s="172" t="s">
        <v>690</v>
      </c>
      <c r="AG326" s="73" t="str">
        <f t="shared" si="20"/>
        <v>https://drive.google.com/thumbnail?id=1pVsRJ1dyo2hYWyHHI4kWWKMR6i84lDfX&amp;sz=w1000</v>
      </c>
      <c r="AH326" s="172" t="s">
        <v>691</v>
      </c>
    </row>
    <row r="327" spans="1:34" ht="22.15" customHeight="1">
      <c r="A327" s="30">
        <v>45534</v>
      </c>
      <c r="B327" s="17" t="s">
        <v>118</v>
      </c>
      <c r="C327" s="2" t="s">
        <v>121</v>
      </c>
      <c r="D327" s="16" t="str" cm="1">
        <f t="array" ref="D327">_xlfn.XLOOKUP(1, (Table1[Project Name]=Table2[[#This Row],[Project ID]])*(Table1[Plot]=Table2[[#This Row],[Plot]]), Table1[Project ID])</f>
        <v>MJ-14</v>
      </c>
      <c r="E327" s="69">
        <v>53</v>
      </c>
      <c r="F327" s="70">
        <v>555</v>
      </c>
      <c r="G327" s="69">
        <f>Table2[[#This Row],[Time Elapsed]]+Table2[[#This Row],[Time Remaining]]</f>
        <v>608</v>
      </c>
      <c r="H327" s="136" t="s">
        <v>679</v>
      </c>
      <c r="I327" s="136"/>
      <c r="J327" s="13">
        <v>1.38E-2</v>
      </c>
      <c r="K327" s="148">
        <v>1.3100000000000001E-2</v>
      </c>
      <c r="L327" s="13">
        <f>Table2[[#This Row],[Actual %]]-Table2[[#This Row],[Plan %]]</f>
        <v>-6.9999999999999923E-4</v>
      </c>
      <c r="M327" s="144" t="s">
        <v>279</v>
      </c>
      <c r="N327" s="12"/>
      <c r="O327" s="12"/>
      <c r="P327" s="12"/>
      <c r="Q327" s="12">
        <f t="shared" si="17"/>
        <v>45541</v>
      </c>
      <c r="R327" s="136" t="s">
        <v>680</v>
      </c>
      <c r="S327" s="136" t="s">
        <v>681</v>
      </c>
      <c r="T327" s="143" t="s">
        <v>682</v>
      </c>
      <c r="U327" s="157">
        <v>110585480.02186078</v>
      </c>
      <c r="V327" s="152">
        <v>0</v>
      </c>
      <c r="W327" s="36">
        <f>Table2[[#This Row],[Construction Contract Amount]]+Table2[[#This Row],[Cumulative Variations]]</f>
        <v>110585480.02186078</v>
      </c>
      <c r="X327" s="152">
        <v>3229333.33</v>
      </c>
      <c r="Y327" s="152">
        <v>0</v>
      </c>
      <c r="Z327" s="36">
        <f>Table2[[#This Row],[Final Contract Value]]+Table2[[#This Row],[Supervision Contract amount]]+Table2[[#This Row],[Authority Cost]]</f>
        <v>113814813.35186078</v>
      </c>
      <c r="AA327" s="140"/>
      <c r="AB327" s="152">
        <v>56109.376666666598</v>
      </c>
      <c r="AC327" s="91" t="str">
        <f t="shared" si="18"/>
        <v>https://drive.google.com/thumbnail?id=1q4cCVCNG__x2eJpAiRLTqR7FTiIzCqW_&amp;sz=w1000</v>
      </c>
      <c r="AD327" s="172" t="s">
        <v>689</v>
      </c>
      <c r="AE327" s="74" t="str">
        <f t="shared" si="19"/>
        <v>https://drive.google.com/thumbnail?id=1sNkCfgGH2JR4MdY6bX8EU8QPo1fhVgeJ&amp;sz=w1000</v>
      </c>
      <c r="AF327" s="172" t="s">
        <v>690</v>
      </c>
      <c r="AG327" s="73" t="str">
        <f t="shared" si="20"/>
        <v>https://drive.google.com/thumbnail?id=1pVsRJ1dyo2hYWyHHI4kWWKMR6i84lDfX&amp;sz=w1000</v>
      </c>
      <c r="AH327" s="172" t="s">
        <v>691</v>
      </c>
    </row>
    <row r="328" spans="1:34" ht="22.15" customHeight="1">
      <c r="A328" s="30">
        <v>45534</v>
      </c>
      <c r="B328" s="17" t="s">
        <v>118</v>
      </c>
      <c r="C328" s="2" t="s">
        <v>121</v>
      </c>
      <c r="D328" s="16" t="str" cm="1">
        <f t="array" ref="D328">_xlfn.XLOOKUP(1, (Table1[Project Name]=Table2[[#This Row],[Project ID]])*(Table1[Plot]=Table2[[#This Row],[Plot]]), Table1[Project ID])</f>
        <v>MJ-14</v>
      </c>
      <c r="E328" s="69">
        <v>53</v>
      </c>
      <c r="F328" s="70">
        <v>555</v>
      </c>
      <c r="G328" s="69">
        <f>Table2[[#This Row],[Time Elapsed]]+Table2[[#This Row],[Time Remaining]]</f>
        <v>608</v>
      </c>
      <c r="H328" s="136" t="s">
        <v>679</v>
      </c>
      <c r="I328" s="136"/>
      <c r="J328" s="13">
        <v>1.38E-2</v>
      </c>
      <c r="K328" s="148">
        <v>1.3100000000000001E-2</v>
      </c>
      <c r="L328" s="13">
        <f>Table2[[#This Row],[Actual %]]-Table2[[#This Row],[Plan %]]</f>
        <v>-6.9999999999999923E-4</v>
      </c>
      <c r="M328" s="144" t="s">
        <v>280</v>
      </c>
      <c r="N328" s="12"/>
      <c r="O328" s="12"/>
      <c r="P328" s="12"/>
      <c r="Q328" s="12">
        <f t="shared" si="17"/>
        <v>45541</v>
      </c>
      <c r="R328" s="136" t="s">
        <v>680</v>
      </c>
      <c r="S328" s="136" t="s">
        <v>681</v>
      </c>
      <c r="T328" s="143" t="s">
        <v>682</v>
      </c>
      <c r="U328" s="157">
        <v>110585480.02186078</v>
      </c>
      <c r="V328" s="152">
        <v>0</v>
      </c>
      <c r="W328" s="36">
        <f>Table2[[#This Row],[Construction Contract Amount]]+Table2[[#This Row],[Cumulative Variations]]</f>
        <v>110585480.02186078</v>
      </c>
      <c r="X328" s="152">
        <v>3229333.33</v>
      </c>
      <c r="Y328" s="152">
        <v>0</v>
      </c>
      <c r="Z328" s="36">
        <f>Table2[[#This Row],[Final Contract Value]]+Table2[[#This Row],[Supervision Contract amount]]+Table2[[#This Row],[Authority Cost]]</f>
        <v>113814813.35186078</v>
      </c>
      <c r="AA328" s="140"/>
      <c r="AB328" s="152">
        <v>56109.376666666598</v>
      </c>
      <c r="AC328" s="91" t="str">
        <f t="shared" si="18"/>
        <v>https://drive.google.com/thumbnail?id=1q4cCVCNG__x2eJpAiRLTqR7FTiIzCqW_&amp;sz=w1000</v>
      </c>
      <c r="AD328" s="172" t="s">
        <v>689</v>
      </c>
      <c r="AE328" s="74" t="str">
        <f t="shared" si="19"/>
        <v>https://drive.google.com/thumbnail?id=1sNkCfgGH2JR4MdY6bX8EU8QPo1fhVgeJ&amp;sz=w1000</v>
      </c>
      <c r="AF328" s="172" t="s">
        <v>690</v>
      </c>
      <c r="AG328" s="73" t="str">
        <f t="shared" si="20"/>
        <v>https://drive.google.com/thumbnail?id=1pVsRJ1dyo2hYWyHHI4kWWKMR6i84lDfX&amp;sz=w1000</v>
      </c>
      <c r="AH328" s="172" t="s">
        <v>691</v>
      </c>
    </row>
    <row r="329" spans="1:34" ht="22.15" customHeight="1">
      <c r="A329" s="30">
        <v>45534</v>
      </c>
      <c r="B329" s="17" t="s">
        <v>118</v>
      </c>
      <c r="C329" s="2" t="s">
        <v>121</v>
      </c>
      <c r="D329" s="16" t="str" cm="1">
        <f t="array" ref="D329">_xlfn.XLOOKUP(1, (Table1[Project Name]=Table2[[#This Row],[Project ID]])*(Table1[Plot]=Table2[[#This Row],[Plot]]), Table1[Project ID])</f>
        <v>MJ-14</v>
      </c>
      <c r="E329" s="69">
        <v>53</v>
      </c>
      <c r="F329" s="70">
        <v>555</v>
      </c>
      <c r="G329" s="69">
        <f>Table2[[#This Row],[Time Elapsed]]+Table2[[#This Row],[Time Remaining]]</f>
        <v>608</v>
      </c>
      <c r="H329" s="136" t="s">
        <v>679</v>
      </c>
      <c r="I329" s="136"/>
      <c r="J329" s="13">
        <v>1.38E-2</v>
      </c>
      <c r="K329" s="148">
        <v>1.3100000000000001E-2</v>
      </c>
      <c r="L329" s="13">
        <f>Table2[[#This Row],[Actual %]]-Table2[[#This Row],[Plan %]]</f>
        <v>-6.9999999999999923E-4</v>
      </c>
      <c r="M329" s="144" t="s">
        <v>281</v>
      </c>
      <c r="N329" s="12"/>
      <c r="O329" s="12"/>
      <c r="P329" s="12"/>
      <c r="Q329" s="12">
        <f t="shared" si="17"/>
        <v>45541</v>
      </c>
      <c r="R329" s="136" t="s">
        <v>680</v>
      </c>
      <c r="S329" s="136" t="s">
        <v>681</v>
      </c>
      <c r="T329" s="143" t="s">
        <v>682</v>
      </c>
      <c r="U329" s="157">
        <v>110585480.02186078</v>
      </c>
      <c r="V329" s="152">
        <v>0</v>
      </c>
      <c r="W329" s="36">
        <f>Table2[[#This Row],[Construction Contract Amount]]+Table2[[#This Row],[Cumulative Variations]]</f>
        <v>110585480.02186078</v>
      </c>
      <c r="X329" s="152">
        <v>3229333.33</v>
      </c>
      <c r="Y329" s="152">
        <v>0</v>
      </c>
      <c r="Z329" s="36">
        <f>Table2[[#This Row],[Final Contract Value]]+Table2[[#This Row],[Supervision Contract amount]]+Table2[[#This Row],[Authority Cost]]</f>
        <v>113814813.35186078</v>
      </c>
      <c r="AA329" s="140"/>
      <c r="AB329" s="152">
        <v>56109.376666666598</v>
      </c>
      <c r="AC329" s="91" t="str">
        <f t="shared" si="18"/>
        <v>https://drive.google.com/thumbnail?id=1q4cCVCNG__x2eJpAiRLTqR7FTiIzCqW_&amp;sz=w1000</v>
      </c>
      <c r="AD329" s="172" t="s">
        <v>689</v>
      </c>
      <c r="AE329" s="74" t="str">
        <f t="shared" si="19"/>
        <v>https://drive.google.com/thumbnail?id=1sNkCfgGH2JR4MdY6bX8EU8QPo1fhVgeJ&amp;sz=w1000</v>
      </c>
      <c r="AF329" s="172" t="s">
        <v>690</v>
      </c>
      <c r="AG329" s="73" t="str">
        <f t="shared" si="20"/>
        <v>https://drive.google.com/thumbnail?id=1pVsRJ1dyo2hYWyHHI4kWWKMR6i84lDfX&amp;sz=w1000</v>
      </c>
      <c r="AH329" s="172" t="s">
        <v>691</v>
      </c>
    </row>
    <row r="330" spans="1:34" ht="22.15" customHeight="1">
      <c r="A330" s="30">
        <v>45534</v>
      </c>
      <c r="B330" s="17" t="s">
        <v>118</v>
      </c>
      <c r="C330" s="2" t="s">
        <v>121</v>
      </c>
      <c r="D330" s="16" t="str" cm="1">
        <f t="array" ref="D330">_xlfn.XLOOKUP(1, (Table1[Project Name]=Table2[[#This Row],[Project ID]])*(Table1[Plot]=Table2[[#This Row],[Plot]]), Table1[Project ID])</f>
        <v>MJ-14</v>
      </c>
      <c r="E330" s="69">
        <v>53</v>
      </c>
      <c r="F330" s="70">
        <v>555</v>
      </c>
      <c r="G330" s="69">
        <f>Table2[[#This Row],[Time Elapsed]]+Table2[[#This Row],[Time Remaining]]</f>
        <v>608</v>
      </c>
      <c r="H330" s="136" t="s">
        <v>679</v>
      </c>
      <c r="I330" s="136"/>
      <c r="J330" s="13">
        <v>1.38E-2</v>
      </c>
      <c r="K330" s="148">
        <v>1.3100000000000001E-2</v>
      </c>
      <c r="L330" s="13">
        <f>Table2[[#This Row],[Actual %]]-Table2[[#This Row],[Plan %]]</f>
        <v>-6.9999999999999923E-4</v>
      </c>
      <c r="M330" s="144" t="s">
        <v>282</v>
      </c>
      <c r="N330" s="12"/>
      <c r="O330" s="12"/>
      <c r="P330" s="12"/>
      <c r="Q330" s="12">
        <f t="shared" si="17"/>
        <v>45541</v>
      </c>
      <c r="R330" s="136" t="s">
        <v>680</v>
      </c>
      <c r="S330" s="136" t="s">
        <v>681</v>
      </c>
      <c r="T330" s="143" t="s">
        <v>682</v>
      </c>
      <c r="U330" s="157">
        <v>110585480.02186078</v>
      </c>
      <c r="V330" s="152">
        <v>0</v>
      </c>
      <c r="W330" s="36">
        <f>Table2[[#This Row],[Construction Contract Amount]]+Table2[[#This Row],[Cumulative Variations]]</f>
        <v>110585480.02186078</v>
      </c>
      <c r="X330" s="152">
        <v>3229333.33</v>
      </c>
      <c r="Y330" s="152">
        <v>0</v>
      </c>
      <c r="Z330" s="36">
        <f>Table2[[#This Row],[Final Contract Value]]+Table2[[#This Row],[Supervision Contract amount]]+Table2[[#This Row],[Authority Cost]]</f>
        <v>113814813.35186078</v>
      </c>
      <c r="AA330" s="140"/>
      <c r="AB330" s="152">
        <v>56109.376666666598</v>
      </c>
      <c r="AC330" s="91" t="str">
        <f t="shared" si="18"/>
        <v>https://drive.google.com/thumbnail?id=1q4cCVCNG__x2eJpAiRLTqR7FTiIzCqW_&amp;sz=w1000</v>
      </c>
      <c r="AD330" s="172" t="s">
        <v>689</v>
      </c>
      <c r="AE330" s="74" t="str">
        <f t="shared" si="19"/>
        <v>https://drive.google.com/thumbnail?id=1sNkCfgGH2JR4MdY6bX8EU8QPo1fhVgeJ&amp;sz=w1000</v>
      </c>
      <c r="AF330" s="172" t="s">
        <v>690</v>
      </c>
      <c r="AG330" s="73" t="str">
        <f t="shared" si="20"/>
        <v>https://drive.google.com/thumbnail?id=1pVsRJ1dyo2hYWyHHI4kWWKMR6i84lDfX&amp;sz=w1000</v>
      </c>
      <c r="AH330" s="172" t="s">
        <v>691</v>
      </c>
    </row>
    <row r="331" spans="1:34" ht="22.15" customHeight="1">
      <c r="A331" s="30">
        <v>45534</v>
      </c>
      <c r="B331" s="17" t="s">
        <v>118</v>
      </c>
      <c r="C331" s="2" t="s">
        <v>121</v>
      </c>
      <c r="D331" s="16" t="str" cm="1">
        <f t="array" ref="D331">_xlfn.XLOOKUP(1, (Table1[Project Name]=Table2[[#This Row],[Project ID]])*(Table1[Plot]=Table2[[#This Row],[Plot]]), Table1[Project ID])</f>
        <v>MJ-14</v>
      </c>
      <c r="E331" s="69">
        <v>53</v>
      </c>
      <c r="F331" s="70">
        <v>555</v>
      </c>
      <c r="G331" s="69">
        <f>Table2[[#This Row],[Time Elapsed]]+Table2[[#This Row],[Time Remaining]]</f>
        <v>608</v>
      </c>
      <c r="H331" s="136" t="s">
        <v>679</v>
      </c>
      <c r="I331" s="136"/>
      <c r="J331" s="13">
        <v>1.38E-2</v>
      </c>
      <c r="K331" s="148">
        <v>1.3100000000000001E-2</v>
      </c>
      <c r="L331" s="13">
        <f>Table2[[#This Row],[Actual %]]-Table2[[#This Row],[Plan %]]</f>
        <v>-6.9999999999999923E-4</v>
      </c>
      <c r="M331" s="144" t="s">
        <v>283</v>
      </c>
      <c r="N331" s="12"/>
      <c r="O331" s="12"/>
      <c r="P331" s="12"/>
      <c r="Q331" s="12">
        <f t="shared" si="17"/>
        <v>45541</v>
      </c>
      <c r="R331" s="136" t="s">
        <v>680</v>
      </c>
      <c r="S331" s="136" t="s">
        <v>681</v>
      </c>
      <c r="T331" s="143" t="s">
        <v>682</v>
      </c>
      <c r="U331" s="157">
        <v>110585480.02186078</v>
      </c>
      <c r="V331" s="152">
        <v>0</v>
      </c>
      <c r="W331" s="36">
        <f>Table2[[#This Row],[Construction Contract Amount]]+Table2[[#This Row],[Cumulative Variations]]</f>
        <v>110585480.02186078</v>
      </c>
      <c r="X331" s="152">
        <v>3229333.33</v>
      </c>
      <c r="Y331" s="152">
        <v>0</v>
      </c>
      <c r="Z331" s="36">
        <f>Table2[[#This Row],[Final Contract Value]]+Table2[[#This Row],[Supervision Contract amount]]+Table2[[#This Row],[Authority Cost]]</f>
        <v>113814813.35186078</v>
      </c>
      <c r="AA331" s="140"/>
      <c r="AB331" s="152">
        <v>56109.376666666598</v>
      </c>
      <c r="AC331" s="91" t="str">
        <f t="shared" si="18"/>
        <v>https://drive.google.com/thumbnail?id=1q4cCVCNG__x2eJpAiRLTqR7FTiIzCqW_&amp;sz=w1000</v>
      </c>
      <c r="AD331" s="172" t="s">
        <v>689</v>
      </c>
      <c r="AE331" s="74" t="str">
        <f t="shared" si="19"/>
        <v>https://drive.google.com/thumbnail?id=1sNkCfgGH2JR4MdY6bX8EU8QPo1fhVgeJ&amp;sz=w1000</v>
      </c>
      <c r="AF331" s="172" t="s">
        <v>690</v>
      </c>
      <c r="AG331" s="73" t="str">
        <f t="shared" si="20"/>
        <v>https://drive.google.com/thumbnail?id=1pVsRJ1dyo2hYWyHHI4kWWKMR6i84lDfX&amp;sz=w1000</v>
      </c>
      <c r="AH331" s="172" t="s">
        <v>691</v>
      </c>
    </row>
    <row r="332" spans="1:34" ht="22.15" customHeight="1">
      <c r="A332" s="30">
        <v>45534</v>
      </c>
      <c r="B332" s="17" t="s">
        <v>118</v>
      </c>
      <c r="C332" s="2" t="s">
        <v>121</v>
      </c>
      <c r="D332" s="16" t="str" cm="1">
        <f t="array" ref="D332">_xlfn.XLOOKUP(1, (Table1[Project Name]=Table2[[#This Row],[Project ID]])*(Table1[Plot]=Table2[[#This Row],[Plot]]), Table1[Project ID])</f>
        <v>MJ-14</v>
      </c>
      <c r="E332" s="69">
        <v>53</v>
      </c>
      <c r="F332" s="70">
        <v>555</v>
      </c>
      <c r="G332" s="69">
        <f>Table2[[#This Row],[Time Elapsed]]+Table2[[#This Row],[Time Remaining]]</f>
        <v>608</v>
      </c>
      <c r="H332" s="136" t="s">
        <v>679</v>
      </c>
      <c r="I332" s="136"/>
      <c r="J332" s="13">
        <v>1.38E-2</v>
      </c>
      <c r="K332" s="148">
        <v>1.3100000000000001E-2</v>
      </c>
      <c r="L332" s="13">
        <f>Table2[[#This Row],[Actual %]]-Table2[[#This Row],[Plan %]]</f>
        <v>-6.9999999999999923E-4</v>
      </c>
      <c r="M332" s="144" t="s">
        <v>284</v>
      </c>
      <c r="N332" s="12"/>
      <c r="O332" s="12"/>
      <c r="P332" s="12"/>
      <c r="Q332" s="12">
        <f t="shared" si="17"/>
        <v>45541</v>
      </c>
      <c r="R332" s="136" t="s">
        <v>680</v>
      </c>
      <c r="S332" s="136" t="s">
        <v>681</v>
      </c>
      <c r="T332" s="143" t="s">
        <v>682</v>
      </c>
      <c r="U332" s="157">
        <v>110585480.02186078</v>
      </c>
      <c r="V332" s="152">
        <v>0</v>
      </c>
      <c r="W332" s="36">
        <f>Table2[[#This Row],[Construction Contract Amount]]+Table2[[#This Row],[Cumulative Variations]]</f>
        <v>110585480.02186078</v>
      </c>
      <c r="X332" s="152">
        <v>3229333.33</v>
      </c>
      <c r="Y332" s="152">
        <v>0</v>
      </c>
      <c r="Z332" s="36">
        <f>Table2[[#This Row],[Final Contract Value]]+Table2[[#This Row],[Supervision Contract amount]]+Table2[[#This Row],[Authority Cost]]</f>
        <v>113814813.35186078</v>
      </c>
      <c r="AA332" s="36"/>
      <c r="AB332" s="152">
        <v>56109.376666666598</v>
      </c>
      <c r="AC332" s="91" t="str">
        <f t="shared" si="18"/>
        <v>https://drive.google.com/thumbnail?id=1q4cCVCNG__x2eJpAiRLTqR7FTiIzCqW_&amp;sz=w1000</v>
      </c>
      <c r="AD332" s="172" t="s">
        <v>689</v>
      </c>
      <c r="AE332" s="74" t="str">
        <f t="shared" si="19"/>
        <v>https://drive.google.com/thumbnail?id=1sNkCfgGH2JR4MdY6bX8EU8QPo1fhVgeJ&amp;sz=w1000</v>
      </c>
      <c r="AF332" s="172" t="s">
        <v>690</v>
      </c>
      <c r="AG332" s="73" t="str">
        <f t="shared" si="20"/>
        <v>https://drive.google.com/thumbnail?id=1pVsRJ1dyo2hYWyHHI4kWWKMR6i84lDfX&amp;sz=w1000</v>
      </c>
      <c r="AH332" s="172" t="s">
        <v>691</v>
      </c>
    </row>
    <row r="333" spans="1:34" ht="22.15" customHeight="1">
      <c r="A333" s="30">
        <v>45534</v>
      </c>
      <c r="B333" s="17" t="s">
        <v>237</v>
      </c>
      <c r="C333" s="17" t="s">
        <v>239</v>
      </c>
      <c r="D333" s="16" t="str" cm="1">
        <f t="array" ref="D333">_xlfn.XLOOKUP(1, (Table1[Project Name]=Table2[[#This Row],[Project ID]])*(Table1[Plot]=Table2[[#This Row],[Plot]]), Table1[Project ID])</f>
        <v>SC-01</v>
      </c>
      <c r="E333" s="69">
        <v>179</v>
      </c>
      <c r="F333" s="70">
        <v>370</v>
      </c>
      <c r="G333" s="69">
        <f>Table2[[#This Row],[Time Elapsed]]+Table2[[#This Row],[Time Remaining]]</f>
        <v>549</v>
      </c>
      <c r="H333" s="159" t="s">
        <v>692</v>
      </c>
      <c r="I333" s="159" t="s">
        <v>693</v>
      </c>
      <c r="J333" s="160">
        <v>3.5900000000000001E-2</v>
      </c>
      <c r="K333" s="161">
        <v>0.14530000000000001</v>
      </c>
      <c r="L333" s="13">
        <f>Table2[[#This Row],[Actual %]]-Table2[[#This Row],[Plan %]]</f>
        <v>0.10940000000000001</v>
      </c>
      <c r="M333" s="163" t="s">
        <v>285</v>
      </c>
      <c r="N333" s="12">
        <v>45356</v>
      </c>
      <c r="O333" s="12">
        <v>45356</v>
      </c>
      <c r="P333" s="12"/>
      <c r="Q333" s="12">
        <v>45534</v>
      </c>
      <c r="R333" s="159" t="s">
        <v>700</v>
      </c>
      <c r="S333" s="159" t="s">
        <v>701</v>
      </c>
      <c r="T333" s="164" t="s">
        <v>702</v>
      </c>
      <c r="U333" s="122">
        <v>78077600</v>
      </c>
      <c r="V333" s="36">
        <v>0</v>
      </c>
      <c r="W333" s="36">
        <f>Table2[[#This Row],[Construction Contract Amount]]+Table2[[#This Row],[Cumulative Variations]]</f>
        <v>78077600</v>
      </c>
      <c r="X333" s="36">
        <v>1576709</v>
      </c>
      <c r="Y333" s="36">
        <v>0</v>
      </c>
      <c r="Z333" s="36">
        <f>Table2[[#This Row],[Final Contract Value]]+Table2[[#This Row],[Supervision Contract amount]]+Table2[[#This Row],[Authority Cost]]</f>
        <v>79654309</v>
      </c>
      <c r="AA333" s="36">
        <v>7682838.1900000004</v>
      </c>
      <c r="AB333" s="36">
        <v>180000</v>
      </c>
      <c r="AC333" s="91" t="str">
        <f t="shared" si="18"/>
        <v>https://drive.google.com/thumbnail?id=1UDZ3DSBMcsK5rQzLJk4M0--CngCzKop9&amp;sz=w1000</v>
      </c>
      <c r="AD333" s="172" t="s">
        <v>713</v>
      </c>
      <c r="AE333" s="74" t="str">
        <f t="shared" si="19"/>
        <v>https://drive.google.com/thumbnail?id=1bYy1Ayup9OPnx4Ey4guSJ9WrktD4_Ot6&amp;sz=w1000</v>
      </c>
      <c r="AF333" s="172" t="s">
        <v>714</v>
      </c>
      <c r="AG333" s="73" t="str">
        <f t="shared" si="20"/>
        <v>https://drive.google.com/thumbnail?id=1dMX3W21nvBkM9WPZUIo18OVNIoRxyreY&amp;sz=w1000</v>
      </c>
      <c r="AH333" s="172" t="s">
        <v>715</v>
      </c>
    </row>
    <row r="334" spans="1:34" ht="22.15" customHeight="1">
      <c r="A334" s="30">
        <v>45534</v>
      </c>
      <c r="B334" s="17" t="s">
        <v>237</v>
      </c>
      <c r="C334" s="17" t="s">
        <v>239</v>
      </c>
      <c r="D334" s="16" t="str" cm="1">
        <f t="array" ref="D334">_xlfn.XLOOKUP(1, (Table1[Project Name]=Table2[[#This Row],[Project ID]])*(Table1[Plot]=Table2[[#This Row],[Plot]]), Table1[Project ID])</f>
        <v>SC-01</v>
      </c>
      <c r="E334" s="69">
        <v>179</v>
      </c>
      <c r="F334" s="70">
        <v>370</v>
      </c>
      <c r="G334" s="69">
        <f>Table2[[#This Row],[Time Elapsed]]+Table2[[#This Row],[Time Remaining]]</f>
        <v>549</v>
      </c>
      <c r="H334" s="159" t="s">
        <v>692</v>
      </c>
      <c r="I334" s="159" t="s">
        <v>693</v>
      </c>
      <c r="J334" s="160">
        <v>3.5900000000000001E-2</v>
      </c>
      <c r="K334" s="161">
        <v>0.14530000000000001</v>
      </c>
      <c r="L334" s="13">
        <f>Table2[[#This Row],[Actual %]]-Table2[[#This Row],[Plan %]]</f>
        <v>0.10940000000000001</v>
      </c>
      <c r="M334" s="165" t="s">
        <v>51</v>
      </c>
      <c r="N334" s="12">
        <v>45391</v>
      </c>
      <c r="O334" s="12">
        <v>45430</v>
      </c>
      <c r="P334" s="12"/>
      <c r="Q334" s="12">
        <v>45534</v>
      </c>
      <c r="R334" s="159" t="s">
        <v>700</v>
      </c>
      <c r="S334" s="159" t="s">
        <v>701</v>
      </c>
      <c r="T334" s="164" t="s">
        <v>702</v>
      </c>
      <c r="U334" s="122">
        <v>78077600</v>
      </c>
      <c r="V334" s="36">
        <v>0</v>
      </c>
      <c r="W334" s="36">
        <f>Table2[[#This Row],[Construction Contract Amount]]+Table2[[#This Row],[Cumulative Variations]]</f>
        <v>78077600</v>
      </c>
      <c r="X334" s="36">
        <v>1576709</v>
      </c>
      <c r="Y334" s="36">
        <v>0</v>
      </c>
      <c r="Z334" s="36">
        <f>Table2[[#This Row],[Final Contract Value]]+Table2[[#This Row],[Supervision Contract amount]]+Table2[[#This Row],[Authority Cost]]</f>
        <v>79654309</v>
      </c>
      <c r="AA334" s="36">
        <v>7682838.1900000004</v>
      </c>
      <c r="AB334" s="36">
        <v>180000</v>
      </c>
      <c r="AC334" s="91" t="str">
        <f t="shared" si="18"/>
        <v>https://drive.google.com/thumbnail?id=1UDZ3DSBMcsK5rQzLJk4M0--CngCzKop9&amp;sz=w1000</v>
      </c>
      <c r="AD334" s="172" t="s">
        <v>713</v>
      </c>
      <c r="AE334" s="74" t="str">
        <f t="shared" si="19"/>
        <v>https://drive.google.com/thumbnail?id=1bYy1Ayup9OPnx4Ey4guSJ9WrktD4_Ot6&amp;sz=w1000</v>
      </c>
      <c r="AF334" s="172" t="s">
        <v>714</v>
      </c>
      <c r="AG334" s="73" t="str">
        <f t="shared" si="20"/>
        <v>https://drive.google.com/thumbnail?id=1dMX3W21nvBkM9WPZUIo18OVNIoRxyreY&amp;sz=w1000</v>
      </c>
      <c r="AH334" s="172" t="s">
        <v>715</v>
      </c>
    </row>
    <row r="335" spans="1:34" ht="22.15" customHeight="1">
      <c r="A335" s="30">
        <v>45534</v>
      </c>
      <c r="B335" s="17" t="s">
        <v>237</v>
      </c>
      <c r="C335" s="17" t="s">
        <v>239</v>
      </c>
      <c r="D335" s="16" t="str" cm="1">
        <f t="array" ref="D335">_xlfn.XLOOKUP(1, (Table1[Project Name]=Table2[[#This Row],[Project ID]])*(Table1[Plot]=Table2[[#This Row],[Plot]]), Table1[Project ID])</f>
        <v>SC-01</v>
      </c>
      <c r="E335" s="69">
        <v>179</v>
      </c>
      <c r="F335" s="70">
        <v>370</v>
      </c>
      <c r="G335" s="69">
        <f>Table2[[#This Row],[Time Elapsed]]+Table2[[#This Row],[Time Remaining]]</f>
        <v>549</v>
      </c>
      <c r="H335" s="159" t="s">
        <v>692</v>
      </c>
      <c r="I335" s="159" t="s">
        <v>693</v>
      </c>
      <c r="J335" s="160">
        <v>3.5900000000000001E-2</v>
      </c>
      <c r="K335" s="161">
        <v>0.14530000000000001</v>
      </c>
      <c r="L335" s="13">
        <f>Table2[[#This Row],[Actual %]]-Table2[[#This Row],[Plan %]]</f>
        <v>0.10940000000000001</v>
      </c>
      <c r="M335" s="165" t="s">
        <v>287</v>
      </c>
      <c r="N335" s="12">
        <v>45597</v>
      </c>
      <c r="O335" s="12">
        <v>45510</v>
      </c>
      <c r="P335" s="12"/>
      <c r="Q335" s="12">
        <v>45534</v>
      </c>
      <c r="R335" s="159" t="s">
        <v>700</v>
      </c>
      <c r="S335" s="159" t="s">
        <v>701</v>
      </c>
      <c r="T335" s="164" t="s">
        <v>702</v>
      </c>
      <c r="U335" s="122">
        <v>78077600</v>
      </c>
      <c r="V335" s="36">
        <v>0</v>
      </c>
      <c r="W335" s="36">
        <f>Table2[[#This Row],[Construction Contract Amount]]+Table2[[#This Row],[Cumulative Variations]]</f>
        <v>78077600</v>
      </c>
      <c r="X335" s="36">
        <v>1576709</v>
      </c>
      <c r="Y335" s="36">
        <v>0</v>
      </c>
      <c r="Z335" s="36">
        <f>Table2[[#This Row],[Final Contract Value]]+Table2[[#This Row],[Supervision Contract amount]]+Table2[[#This Row],[Authority Cost]]</f>
        <v>79654309</v>
      </c>
      <c r="AA335" s="36">
        <v>7682838.1900000004</v>
      </c>
      <c r="AB335" s="36">
        <v>180000</v>
      </c>
      <c r="AC335" s="91" t="str">
        <f t="shared" si="18"/>
        <v>https://drive.google.com/thumbnail?id=1UDZ3DSBMcsK5rQzLJk4M0--CngCzKop9&amp;sz=w1000</v>
      </c>
      <c r="AD335" s="172" t="s">
        <v>713</v>
      </c>
      <c r="AE335" s="74" t="str">
        <f t="shared" si="19"/>
        <v>https://drive.google.com/thumbnail?id=1bYy1Ayup9OPnx4Ey4guSJ9WrktD4_Ot6&amp;sz=w1000</v>
      </c>
      <c r="AF335" s="172" t="s">
        <v>714</v>
      </c>
      <c r="AG335" s="73" t="str">
        <f t="shared" si="20"/>
        <v>https://drive.google.com/thumbnail?id=1dMX3W21nvBkM9WPZUIo18OVNIoRxyreY&amp;sz=w1000</v>
      </c>
      <c r="AH335" s="172" t="s">
        <v>715</v>
      </c>
    </row>
    <row r="336" spans="1:34" ht="22.15" customHeight="1">
      <c r="A336" s="30">
        <v>45534</v>
      </c>
      <c r="B336" s="17" t="s">
        <v>237</v>
      </c>
      <c r="C336" s="17" t="s">
        <v>239</v>
      </c>
      <c r="D336" s="16" t="str" cm="1">
        <f t="array" ref="D336">_xlfn.XLOOKUP(1, (Table1[Project Name]=Table2[[#This Row],[Project ID]])*(Table1[Plot]=Table2[[#This Row],[Plot]]), Table1[Project ID])</f>
        <v>SC-01</v>
      </c>
      <c r="E336" s="69">
        <v>179</v>
      </c>
      <c r="F336" s="70">
        <v>370</v>
      </c>
      <c r="G336" s="69">
        <f>Table2[[#This Row],[Time Elapsed]]+Table2[[#This Row],[Time Remaining]]</f>
        <v>549</v>
      </c>
      <c r="H336" s="159" t="s">
        <v>692</v>
      </c>
      <c r="I336" s="159" t="s">
        <v>693</v>
      </c>
      <c r="J336" s="160">
        <v>3.5900000000000001E-2</v>
      </c>
      <c r="K336" s="161">
        <v>0.14530000000000001</v>
      </c>
      <c r="L336" s="13">
        <f>Table2[[#This Row],[Actual %]]-Table2[[#This Row],[Plan %]]</f>
        <v>0.10940000000000001</v>
      </c>
      <c r="M336" s="165" t="s">
        <v>703</v>
      </c>
      <c r="N336" s="12">
        <v>45678</v>
      </c>
      <c r="O336" s="12"/>
      <c r="P336" s="12">
        <v>45548</v>
      </c>
      <c r="Q336" s="12">
        <v>45534</v>
      </c>
      <c r="R336" s="159" t="s">
        <v>700</v>
      </c>
      <c r="S336" s="159" t="s">
        <v>701</v>
      </c>
      <c r="T336" s="164" t="s">
        <v>702</v>
      </c>
      <c r="U336" s="122">
        <v>78077600</v>
      </c>
      <c r="V336" s="36">
        <v>0</v>
      </c>
      <c r="W336" s="36">
        <f>Table2[[#This Row],[Construction Contract Amount]]+Table2[[#This Row],[Cumulative Variations]]</f>
        <v>78077600</v>
      </c>
      <c r="X336" s="36">
        <v>1576709</v>
      </c>
      <c r="Y336" s="36">
        <v>0</v>
      </c>
      <c r="Z336" s="36">
        <f>Table2[[#This Row],[Final Contract Value]]+Table2[[#This Row],[Supervision Contract amount]]+Table2[[#This Row],[Authority Cost]]</f>
        <v>79654309</v>
      </c>
      <c r="AA336" s="36">
        <v>7682838.1900000004</v>
      </c>
      <c r="AB336" s="36">
        <v>180000</v>
      </c>
      <c r="AC336" s="91" t="str">
        <f t="shared" si="18"/>
        <v>https://drive.google.com/thumbnail?id=1UDZ3DSBMcsK5rQzLJk4M0--CngCzKop9&amp;sz=w1000</v>
      </c>
      <c r="AD336" s="172" t="s">
        <v>713</v>
      </c>
      <c r="AE336" s="74" t="str">
        <f t="shared" si="19"/>
        <v>https://drive.google.com/thumbnail?id=1bYy1Ayup9OPnx4Ey4guSJ9WrktD4_Ot6&amp;sz=w1000</v>
      </c>
      <c r="AF336" s="172" t="s">
        <v>714</v>
      </c>
      <c r="AG336" s="73" t="str">
        <f t="shared" si="20"/>
        <v>https://drive.google.com/thumbnail?id=1dMX3W21nvBkM9WPZUIo18OVNIoRxyreY&amp;sz=w1000</v>
      </c>
      <c r="AH336" s="172" t="s">
        <v>715</v>
      </c>
    </row>
    <row r="337" spans="1:34" ht="22.15" customHeight="1">
      <c r="A337" s="30">
        <v>45534</v>
      </c>
      <c r="B337" s="17" t="s">
        <v>237</v>
      </c>
      <c r="C337" s="17" t="s">
        <v>239</v>
      </c>
      <c r="D337" s="16" t="str" cm="1">
        <f t="array" ref="D337">_xlfn.XLOOKUP(1, (Table1[Project Name]=Table2[[#This Row],[Project ID]])*(Table1[Plot]=Table2[[#This Row],[Plot]]), Table1[Project ID])</f>
        <v>SC-01</v>
      </c>
      <c r="E337" s="69">
        <v>179</v>
      </c>
      <c r="F337" s="70">
        <v>377</v>
      </c>
      <c r="G337" s="69">
        <f>Table2[[#This Row],[Time Elapsed]]+Table2[[#This Row],[Time Remaining]]</f>
        <v>556</v>
      </c>
      <c r="H337" s="159" t="s">
        <v>692</v>
      </c>
      <c r="I337" s="159" t="s">
        <v>693</v>
      </c>
      <c r="J337" s="160">
        <v>3.5900000000000001E-2</v>
      </c>
      <c r="K337" s="161">
        <v>0.14530000000000001</v>
      </c>
      <c r="L337" s="13">
        <f>Table2[[#This Row],[Actual %]]-Table2[[#This Row],[Plan %]]</f>
        <v>0.10940000000000001</v>
      </c>
      <c r="M337" s="165" t="s">
        <v>704</v>
      </c>
      <c r="N337" s="12">
        <v>45775</v>
      </c>
      <c r="O337" s="12"/>
      <c r="P337" s="12">
        <v>45580</v>
      </c>
      <c r="Q337" s="12">
        <v>45534</v>
      </c>
      <c r="R337" s="159" t="s">
        <v>700</v>
      </c>
      <c r="S337" s="159" t="s">
        <v>701</v>
      </c>
      <c r="T337" s="164" t="s">
        <v>702</v>
      </c>
      <c r="U337" s="122">
        <v>78077600</v>
      </c>
      <c r="V337" s="36">
        <v>0</v>
      </c>
      <c r="W337" s="36">
        <f>Table2[[#This Row],[Construction Contract Amount]]+Table2[[#This Row],[Cumulative Variations]]</f>
        <v>78077600</v>
      </c>
      <c r="X337" s="36">
        <v>1576709</v>
      </c>
      <c r="Y337" s="36">
        <v>0</v>
      </c>
      <c r="Z337" s="36">
        <f>Table2[[#This Row],[Final Contract Value]]+Table2[[#This Row],[Supervision Contract amount]]+Table2[[#This Row],[Authority Cost]]</f>
        <v>79654309</v>
      </c>
      <c r="AA337" s="36">
        <v>7682838.1900000004</v>
      </c>
      <c r="AB337" s="36">
        <v>180000</v>
      </c>
      <c r="AC337" s="91" t="str">
        <f t="shared" si="18"/>
        <v>https://drive.google.com/thumbnail?id=1UDZ3DSBMcsK5rQzLJk4M0--CngCzKop9&amp;sz=w1000</v>
      </c>
      <c r="AD337" s="172" t="s">
        <v>713</v>
      </c>
      <c r="AE337" s="74" t="str">
        <f t="shared" si="19"/>
        <v>https://drive.google.com/thumbnail?id=1bYy1Ayup9OPnx4Ey4guSJ9WrktD4_Ot6&amp;sz=w1000</v>
      </c>
      <c r="AF337" s="172" t="s">
        <v>714</v>
      </c>
      <c r="AG337" s="73" t="str">
        <f t="shared" si="20"/>
        <v>https://drive.google.com/thumbnail?id=1dMX3W21nvBkM9WPZUIo18OVNIoRxyreY&amp;sz=w1000</v>
      </c>
      <c r="AH337" s="172" t="s">
        <v>715</v>
      </c>
    </row>
    <row r="338" spans="1:34" ht="22.15" customHeight="1">
      <c r="A338" s="30">
        <v>45534</v>
      </c>
      <c r="B338" s="17" t="s">
        <v>237</v>
      </c>
      <c r="C338" s="17" t="s">
        <v>239</v>
      </c>
      <c r="D338" s="16" t="str" cm="1">
        <f t="array" ref="D338">_xlfn.XLOOKUP(1, (Table1[Project Name]=Table2[[#This Row],[Project ID]])*(Table1[Plot]=Table2[[#This Row],[Plot]]), Table1[Project ID])</f>
        <v>SC-01</v>
      </c>
      <c r="E338" s="69">
        <v>179</v>
      </c>
      <c r="F338" s="70">
        <v>377</v>
      </c>
      <c r="G338" s="69">
        <f>Table2[[#This Row],[Time Elapsed]]+Table2[[#This Row],[Time Remaining]]</f>
        <v>556</v>
      </c>
      <c r="H338" s="159" t="s">
        <v>692</v>
      </c>
      <c r="I338" s="159" t="s">
        <v>693</v>
      </c>
      <c r="J338" s="160">
        <v>3.5900000000000001E-2</v>
      </c>
      <c r="K338" s="161">
        <v>0.14530000000000001</v>
      </c>
      <c r="L338" s="13">
        <f>Table2[[#This Row],[Actual %]]-Table2[[#This Row],[Plan %]]</f>
        <v>0.10940000000000001</v>
      </c>
      <c r="M338" s="165" t="s">
        <v>705</v>
      </c>
      <c r="N338" s="12">
        <v>45679</v>
      </c>
      <c r="O338" s="12">
        <v>45521</v>
      </c>
      <c r="P338" s="12"/>
      <c r="Q338" s="12">
        <v>45534</v>
      </c>
      <c r="R338" s="159" t="s">
        <v>700</v>
      </c>
      <c r="S338" s="159" t="s">
        <v>701</v>
      </c>
      <c r="T338" s="164" t="s">
        <v>702</v>
      </c>
      <c r="U338" s="122">
        <v>78077600</v>
      </c>
      <c r="V338" s="36">
        <v>0</v>
      </c>
      <c r="W338" s="36">
        <f>Table2[[#This Row],[Construction Contract Amount]]+Table2[[#This Row],[Cumulative Variations]]</f>
        <v>78077600</v>
      </c>
      <c r="X338" s="36">
        <v>1576709</v>
      </c>
      <c r="Y338" s="36">
        <v>0</v>
      </c>
      <c r="Z338" s="36">
        <f>Table2[[#This Row],[Final Contract Value]]+Table2[[#This Row],[Supervision Contract amount]]+Table2[[#This Row],[Authority Cost]]</f>
        <v>79654309</v>
      </c>
      <c r="AA338" s="36">
        <v>7682838.1900000004</v>
      </c>
      <c r="AB338" s="36">
        <v>180000</v>
      </c>
      <c r="AC338" s="91" t="str">
        <f t="shared" si="18"/>
        <v>https://drive.google.com/thumbnail?id=1UDZ3DSBMcsK5rQzLJk4M0--CngCzKop9&amp;sz=w1000</v>
      </c>
      <c r="AD338" s="172" t="s">
        <v>713</v>
      </c>
      <c r="AE338" s="74" t="str">
        <f t="shared" si="19"/>
        <v>https://drive.google.com/thumbnail?id=1bYy1Ayup9OPnx4Ey4guSJ9WrktD4_Ot6&amp;sz=w1000</v>
      </c>
      <c r="AF338" s="172" t="s">
        <v>714</v>
      </c>
      <c r="AG338" s="73" t="str">
        <f t="shared" si="20"/>
        <v>https://drive.google.com/thumbnail?id=1dMX3W21nvBkM9WPZUIo18OVNIoRxyreY&amp;sz=w1000</v>
      </c>
      <c r="AH338" s="172" t="s">
        <v>715</v>
      </c>
    </row>
    <row r="339" spans="1:34" ht="22.15" customHeight="1">
      <c r="A339" s="30">
        <v>45534</v>
      </c>
      <c r="B339" s="17" t="s">
        <v>237</v>
      </c>
      <c r="C339" s="17" t="s">
        <v>239</v>
      </c>
      <c r="D339" s="16" t="str" cm="1">
        <f t="array" ref="D339">_xlfn.XLOOKUP(1, (Table1[Project Name]=Table2[[#This Row],[Project ID]])*(Table1[Plot]=Table2[[#This Row],[Plot]]), Table1[Project ID])</f>
        <v>SC-01</v>
      </c>
      <c r="E339" s="69">
        <v>179</v>
      </c>
      <c r="F339" s="70">
        <v>377</v>
      </c>
      <c r="G339" s="69">
        <f>Table2[[#This Row],[Time Elapsed]]+Table2[[#This Row],[Time Remaining]]</f>
        <v>556</v>
      </c>
      <c r="H339" s="159" t="s">
        <v>692</v>
      </c>
      <c r="I339" s="159" t="s">
        <v>693</v>
      </c>
      <c r="J339" s="160">
        <v>3.5900000000000001E-2</v>
      </c>
      <c r="K339" s="161">
        <v>0.14530000000000001</v>
      </c>
      <c r="L339" s="13">
        <f>Table2[[#This Row],[Actual %]]-Table2[[#This Row],[Plan %]]</f>
        <v>0.10940000000000001</v>
      </c>
      <c r="M339" s="165" t="s">
        <v>706</v>
      </c>
      <c r="N339" s="12">
        <v>45768</v>
      </c>
      <c r="O339" s="12"/>
      <c r="P339" s="12">
        <v>45672</v>
      </c>
      <c r="Q339" s="12">
        <v>45534</v>
      </c>
      <c r="R339" s="159" t="s">
        <v>700</v>
      </c>
      <c r="S339" s="159" t="s">
        <v>701</v>
      </c>
      <c r="T339" s="164" t="s">
        <v>702</v>
      </c>
      <c r="U339" s="122">
        <v>78077600</v>
      </c>
      <c r="V339" s="36">
        <v>0</v>
      </c>
      <c r="W339" s="36">
        <f>Table2[[#This Row],[Construction Contract Amount]]+Table2[[#This Row],[Cumulative Variations]]</f>
        <v>78077600</v>
      </c>
      <c r="X339" s="36">
        <v>1576709</v>
      </c>
      <c r="Y339" s="36">
        <v>0</v>
      </c>
      <c r="Z339" s="36">
        <f>Table2[[#This Row],[Final Contract Value]]+Table2[[#This Row],[Supervision Contract amount]]+Table2[[#This Row],[Authority Cost]]</f>
        <v>79654309</v>
      </c>
      <c r="AA339" s="36">
        <v>7682838.1900000004</v>
      </c>
      <c r="AB339" s="36">
        <v>180000</v>
      </c>
      <c r="AC339" s="91" t="str">
        <f t="shared" si="18"/>
        <v>https://drive.google.com/thumbnail?id=1UDZ3DSBMcsK5rQzLJk4M0--CngCzKop9&amp;sz=w1000</v>
      </c>
      <c r="AD339" s="172" t="s">
        <v>713</v>
      </c>
      <c r="AE339" s="74" t="str">
        <f t="shared" si="19"/>
        <v>https://drive.google.com/thumbnail?id=1bYy1Ayup9OPnx4Ey4guSJ9WrktD4_Ot6&amp;sz=w1000</v>
      </c>
      <c r="AF339" s="172" t="s">
        <v>714</v>
      </c>
      <c r="AG339" s="73" t="str">
        <f t="shared" si="20"/>
        <v>https://drive.google.com/thumbnail?id=1dMX3W21nvBkM9WPZUIo18OVNIoRxyreY&amp;sz=w1000</v>
      </c>
      <c r="AH339" s="172" t="s">
        <v>715</v>
      </c>
    </row>
    <row r="340" spans="1:34" ht="22.15" customHeight="1">
      <c r="A340" s="30">
        <v>45534</v>
      </c>
      <c r="B340" s="17" t="s">
        <v>237</v>
      </c>
      <c r="C340" s="17" t="s">
        <v>239</v>
      </c>
      <c r="D340" s="16" t="str" cm="1">
        <f t="array" ref="D340">_xlfn.XLOOKUP(1, (Table1[Project Name]=Table2[[#This Row],[Project ID]])*(Table1[Plot]=Table2[[#This Row],[Plot]]), Table1[Project ID])</f>
        <v>SC-01</v>
      </c>
      <c r="E340" s="69">
        <v>179</v>
      </c>
      <c r="F340" s="70">
        <v>377</v>
      </c>
      <c r="G340" s="69">
        <f>Table2[[#This Row],[Time Elapsed]]+Table2[[#This Row],[Time Remaining]]</f>
        <v>556</v>
      </c>
      <c r="H340" s="159" t="s">
        <v>692</v>
      </c>
      <c r="I340" s="159" t="s">
        <v>693</v>
      </c>
      <c r="J340" s="160">
        <v>3.5900000000000001E-2</v>
      </c>
      <c r="K340" s="161">
        <v>0.14530000000000001</v>
      </c>
      <c r="L340" s="13">
        <f>Table2[[#This Row],[Actual %]]-Table2[[#This Row],[Plan %]]</f>
        <v>0.10940000000000001</v>
      </c>
      <c r="M340" s="165" t="s">
        <v>280</v>
      </c>
      <c r="N340" s="12">
        <v>45857</v>
      </c>
      <c r="O340" s="12"/>
      <c r="P340" s="12">
        <v>45808</v>
      </c>
      <c r="Q340" s="12">
        <v>45534</v>
      </c>
      <c r="R340" s="159" t="s">
        <v>700</v>
      </c>
      <c r="S340" s="159" t="s">
        <v>701</v>
      </c>
      <c r="T340" s="164" t="s">
        <v>702</v>
      </c>
      <c r="U340" s="122">
        <v>78077600</v>
      </c>
      <c r="V340" s="36">
        <v>0</v>
      </c>
      <c r="W340" s="36">
        <f>Table2[[#This Row],[Construction Contract Amount]]+Table2[[#This Row],[Cumulative Variations]]</f>
        <v>78077600</v>
      </c>
      <c r="X340" s="36">
        <v>1576709</v>
      </c>
      <c r="Y340" s="36">
        <v>0</v>
      </c>
      <c r="Z340" s="36">
        <f>Table2[[#This Row],[Final Contract Value]]+Table2[[#This Row],[Supervision Contract amount]]+Table2[[#This Row],[Authority Cost]]</f>
        <v>79654309</v>
      </c>
      <c r="AA340" s="36">
        <v>7682838.1900000004</v>
      </c>
      <c r="AB340" s="36">
        <v>180000</v>
      </c>
      <c r="AC340" s="91" t="str">
        <f t="shared" si="18"/>
        <v>https://drive.google.com/thumbnail?id=1UDZ3DSBMcsK5rQzLJk4M0--CngCzKop9&amp;sz=w1000</v>
      </c>
      <c r="AD340" s="172" t="s">
        <v>713</v>
      </c>
      <c r="AE340" s="74" t="str">
        <f t="shared" si="19"/>
        <v>https://drive.google.com/thumbnail?id=1bYy1Ayup9OPnx4Ey4guSJ9WrktD4_Ot6&amp;sz=w1000</v>
      </c>
      <c r="AF340" s="172" t="s">
        <v>714</v>
      </c>
      <c r="AG340" s="73" t="str">
        <f t="shared" si="20"/>
        <v>https://drive.google.com/thumbnail?id=1dMX3W21nvBkM9WPZUIo18OVNIoRxyreY&amp;sz=w1000</v>
      </c>
      <c r="AH340" s="172" t="s">
        <v>715</v>
      </c>
    </row>
    <row r="341" spans="1:34" ht="22.15" customHeight="1">
      <c r="A341" s="30">
        <v>45534</v>
      </c>
      <c r="B341" s="17" t="s">
        <v>237</v>
      </c>
      <c r="C341" s="17" t="s">
        <v>239</v>
      </c>
      <c r="D341" s="16" t="str" cm="1">
        <f t="array" ref="D341">_xlfn.XLOOKUP(1, (Table1[Project Name]=Table2[[#This Row],[Project ID]])*(Table1[Plot]=Table2[[#This Row],[Plot]]), Table1[Project ID])</f>
        <v>SC-01</v>
      </c>
      <c r="E341" s="69">
        <v>179</v>
      </c>
      <c r="F341" s="70">
        <v>377</v>
      </c>
      <c r="G341" s="69">
        <f>Table2[[#This Row],[Time Elapsed]]+Table2[[#This Row],[Time Remaining]]</f>
        <v>556</v>
      </c>
      <c r="H341" s="159" t="s">
        <v>692</v>
      </c>
      <c r="I341" s="159" t="s">
        <v>693</v>
      </c>
      <c r="J341" s="160">
        <v>3.5900000000000001E-2</v>
      </c>
      <c r="K341" s="161">
        <v>0.14530000000000001</v>
      </c>
      <c r="L341" s="13">
        <f>Table2[[#This Row],[Actual %]]-Table2[[#This Row],[Plan %]]</f>
        <v>0.10940000000000001</v>
      </c>
      <c r="M341" s="165" t="s">
        <v>343</v>
      </c>
      <c r="N341" s="12">
        <v>45874</v>
      </c>
      <c r="O341" s="12"/>
      <c r="P341" s="12">
        <v>45822</v>
      </c>
      <c r="Q341" s="12">
        <v>45534</v>
      </c>
      <c r="R341" s="159" t="s">
        <v>700</v>
      </c>
      <c r="S341" s="159" t="s">
        <v>701</v>
      </c>
      <c r="T341" s="164" t="s">
        <v>702</v>
      </c>
      <c r="U341" s="122">
        <v>78077600</v>
      </c>
      <c r="V341" s="36">
        <v>0</v>
      </c>
      <c r="W341" s="36">
        <f>Table2[[#This Row],[Construction Contract Amount]]+Table2[[#This Row],[Cumulative Variations]]</f>
        <v>78077600</v>
      </c>
      <c r="X341" s="36">
        <v>1576709</v>
      </c>
      <c r="Y341" s="36">
        <v>0</v>
      </c>
      <c r="Z341" s="36">
        <f>Table2[[#This Row],[Final Contract Value]]+Table2[[#This Row],[Supervision Contract amount]]+Table2[[#This Row],[Authority Cost]]</f>
        <v>79654309</v>
      </c>
      <c r="AA341" s="36">
        <v>7682838.1900000004</v>
      </c>
      <c r="AB341" s="36">
        <v>180000</v>
      </c>
      <c r="AC341" s="91" t="str">
        <f t="shared" si="18"/>
        <v>https://drive.google.com/thumbnail?id=1UDZ3DSBMcsK5rQzLJk4M0--CngCzKop9&amp;sz=w1000</v>
      </c>
      <c r="AD341" s="172" t="s">
        <v>713</v>
      </c>
      <c r="AE341" s="74" t="str">
        <f t="shared" si="19"/>
        <v>https://drive.google.com/thumbnail?id=1bYy1Ayup9OPnx4Ey4guSJ9WrktD4_Ot6&amp;sz=w1000</v>
      </c>
      <c r="AF341" s="172" t="s">
        <v>714</v>
      </c>
      <c r="AG341" s="73" t="str">
        <f t="shared" si="20"/>
        <v>https://drive.google.com/thumbnail?id=1dMX3W21nvBkM9WPZUIo18OVNIoRxyreY&amp;sz=w1000</v>
      </c>
      <c r="AH341" s="172" t="s">
        <v>715</v>
      </c>
    </row>
    <row r="342" spans="1:34" ht="22.15" customHeight="1">
      <c r="A342" s="30">
        <v>45534</v>
      </c>
      <c r="B342" s="17" t="s">
        <v>237</v>
      </c>
      <c r="C342" s="17" t="s">
        <v>239</v>
      </c>
      <c r="D342" s="16" t="str" cm="1">
        <f t="array" ref="D342">_xlfn.XLOOKUP(1, (Table1[Project Name]=Table2[[#This Row],[Project ID]])*(Table1[Plot]=Table2[[#This Row],[Plot]]), Table1[Project ID])</f>
        <v>SC-01</v>
      </c>
      <c r="E342" s="69">
        <v>179</v>
      </c>
      <c r="F342" s="70">
        <v>377</v>
      </c>
      <c r="G342" s="69">
        <f>Table2[[#This Row],[Time Elapsed]]+Table2[[#This Row],[Time Remaining]]</f>
        <v>556</v>
      </c>
      <c r="H342" s="159" t="s">
        <v>692</v>
      </c>
      <c r="I342" s="159" t="s">
        <v>693</v>
      </c>
      <c r="J342" s="160">
        <v>3.5900000000000001E-2</v>
      </c>
      <c r="K342" s="161">
        <v>0.14530000000000001</v>
      </c>
      <c r="L342" s="13">
        <f>Table2[[#This Row],[Actual %]]-Table2[[#This Row],[Plan %]]</f>
        <v>0.10940000000000001</v>
      </c>
      <c r="M342" s="165" t="s">
        <v>344</v>
      </c>
      <c r="N342" s="12">
        <v>45891</v>
      </c>
      <c r="O342" s="12"/>
      <c r="P342" s="12">
        <v>45860</v>
      </c>
      <c r="Q342" s="12">
        <v>45534</v>
      </c>
      <c r="R342" s="159" t="s">
        <v>700</v>
      </c>
      <c r="S342" s="159" t="s">
        <v>701</v>
      </c>
      <c r="T342" s="164" t="s">
        <v>702</v>
      </c>
      <c r="U342" s="122">
        <v>78077600</v>
      </c>
      <c r="V342" s="36">
        <v>0</v>
      </c>
      <c r="W342" s="36">
        <f>Table2[[#This Row],[Construction Contract Amount]]+Table2[[#This Row],[Cumulative Variations]]</f>
        <v>78077600</v>
      </c>
      <c r="X342" s="36">
        <v>1576709</v>
      </c>
      <c r="Y342" s="36">
        <v>0</v>
      </c>
      <c r="Z342" s="36">
        <f>Table2[[#This Row],[Final Contract Value]]+Table2[[#This Row],[Supervision Contract amount]]+Table2[[#This Row],[Authority Cost]]</f>
        <v>79654309</v>
      </c>
      <c r="AA342" s="36">
        <v>7682838.1900000004</v>
      </c>
      <c r="AB342" s="36">
        <v>180000</v>
      </c>
      <c r="AC342" s="91" t="str">
        <f t="shared" si="18"/>
        <v>https://drive.google.com/thumbnail?id=1UDZ3DSBMcsK5rQzLJk4M0--CngCzKop9&amp;sz=w1000</v>
      </c>
      <c r="AD342" s="172" t="s">
        <v>713</v>
      </c>
      <c r="AE342" s="74" t="str">
        <f t="shared" si="19"/>
        <v>https://drive.google.com/thumbnail?id=1bYy1Ayup9OPnx4Ey4guSJ9WrktD4_Ot6&amp;sz=w1000</v>
      </c>
      <c r="AF342" s="172" t="s">
        <v>714</v>
      </c>
      <c r="AG342" s="73" t="str">
        <f t="shared" si="20"/>
        <v>https://drive.google.com/thumbnail?id=1dMX3W21nvBkM9WPZUIo18OVNIoRxyreY&amp;sz=w1000</v>
      </c>
      <c r="AH342" s="172" t="s">
        <v>715</v>
      </c>
    </row>
    <row r="343" spans="1:34" ht="22.15" customHeight="1">
      <c r="A343" s="30">
        <v>45534</v>
      </c>
      <c r="B343" s="17" t="s">
        <v>237</v>
      </c>
      <c r="C343" s="17" t="s">
        <v>239</v>
      </c>
      <c r="D343" s="16" t="str" cm="1">
        <f t="array" ref="D343">_xlfn.XLOOKUP(1, (Table1[Project Name]=Table2[[#This Row],[Project ID]])*(Table1[Plot]=Table2[[#This Row],[Plot]]), Table1[Project ID])</f>
        <v>SC-01</v>
      </c>
      <c r="E343" s="69">
        <v>179</v>
      </c>
      <c r="F343" s="70">
        <v>377</v>
      </c>
      <c r="G343" s="69">
        <f>Table2[[#This Row],[Time Elapsed]]+Table2[[#This Row],[Time Remaining]]</f>
        <v>556</v>
      </c>
      <c r="H343" s="159" t="s">
        <v>692</v>
      </c>
      <c r="I343" s="159" t="s">
        <v>693</v>
      </c>
      <c r="J343" s="160">
        <v>3.5900000000000001E-2</v>
      </c>
      <c r="K343" s="161">
        <v>0.14530000000000001</v>
      </c>
      <c r="L343" s="13">
        <f>Table2[[#This Row],[Actual %]]-Table2[[#This Row],[Plan %]]</f>
        <v>0.10940000000000001</v>
      </c>
      <c r="M343" s="165" t="s">
        <v>302</v>
      </c>
      <c r="N343" s="12">
        <v>45904</v>
      </c>
      <c r="O343" s="12"/>
      <c r="P343" s="12">
        <v>45873</v>
      </c>
      <c r="Q343" s="12">
        <v>45534</v>
      </c>
      <c r="R343" s="159" t="s">
        <v>700</v>
      </c>
      <c r="S343" s="159" t="s">
        <v>701</v>
      </c>
      <c r="T343" s="164" t="s">
        <v>702</v>
      </c>
      <c r="U343" s="122">
        <v>78077600</v>
      </c>
      <c r="V343" s="36">
        <v>0</v>
      </c>
      <c r="W343" s="36">
        <f>Table2[[#This Row],[Construction Contract Amount]]+Table2[[#This Row],[Cumulative Variations]]</f>
        <v>78077600</v>
      </c>
      <c r="X343" s="36">
        <v>1576709</v>
      </c>
      <c r="Y343" s="36">
        <v>0</v>
      </c>
      <c r="Z343" s="36">
        <f>Table2[[#This Row],[Final Contract Value]]+Table2[[#This Row],[Supervision Contract amount]]+Table2[[#This Row],[Authority Cost]]</f>
        <v>79654309</v>
      </c>
      <c r="AA343" s="36">
        <v>7682838.1900000004</v>
      </c>
      <c r="AB343" s="36">
        <v>180000</v>
      </c>
      <c r="AC343" s="91" t="str">
        <f t="shared" si="18"/>
        <v>https://drive.google.com/thumbnail?id=1UDZ3DSBMcsK5rQzLJk4M0--CngCzKop9&amp;sz=w1000</v>
      </c>
      <c r="AD343" s="172" t="s">
        <v>713</v>
      </c>
      <c r="AE343" s="74" t="str">
        <f t="shared" si="19"/>
        <v>https://drive.google.com/thumbnail?id=1bYy1Ayup9OPnx4Ey4guSJ9WrktD4_Ot6&amp;sz=w1000</v>
      </c>
      <c r="AF343" s="172" t="s">
        <v>714</v>
      </c>
      <c r="AG343" s="73" t="str">
        <f t="shared" si="20"/>
        <v>https://drive.google.com/thumbnail?id=1dMX3W21nvBkM9WPZUIo18OVNIoRxyreY&amp;sz=w1000</v>
      </c>
      <c r="AH343" s="172" t="s">
        <v>715</v>
      </c>
    </row>
    <row r="344" spans="1:34" ht="22.15" customHeight="1">
      <c r="A344" s="30">
        <v>45534</v>
      </c>
      <c r="B344" s="17" t="s">
        <v>244</v>
      </c>
      <c r="C344" s="17" t="s">
        <v>78</v>
      </c>
      <c r="D344" s="16" t="str" cm="1">
        <f t="array" ref="D344">_xlfn.XLOOKUP(1, (Table1[Project Name]=Table2[[#This Row],[Project ID]])*(Table1[Plot]=Table2[[#This Row],[Plot]]), Table1[Project ID])</f>
        <v>SC-02</v>
      </c>
      <c r="E344" s="69">
        <v>348</v>
      </c>
      <c r="F344" s="70">
        <v>199</v>
      </c>
      <c r="G344" s="69">
        <f>Table2[[#This Row],[Time Elapsed]]+Table2[[#This Row],[Time Remaining]]</f>
        <v>547</v>
      </c>
      <c r="H344" s="159" t="s">
        <v>694</v>
      </c>
      <c r="I344" s="159" t="s">
        <v>693</v>
      </c>
      <c r="J344" s="160">
        <v>0.23769999999999999</v>
      </c>
      <c r="K344" s="161">
        <v>0.25140000000000001</v>
      </c>
      <c r="L344" s="13">
        <f>Table2[[#This Row],[Actual %]]-Table2[[#This Row],[Plan %]]</f>
        <v>1.3700000000000018E-2</v>
      </c>
      <c r="M344" s="163" t="s">
        <v>285</v>
      </c>
      <c r="N344" s="12">
        <v>45187</v>
      </c>
      <c r="O344" s="12">
        <v>45195</v>
      </c>
      <c r="P344" s="12"/>
      <c r="Q344" s="12">
        <v>45534</v>
      </c>
      <c r="R344" s="159" t="s">
        <v>700</v>
      </c>
      <c r="S344" s="159" t="s">
        <v>701</v>
      </c>
      <c r="T344" s="164" t="s">
        <v>707</v>
      </c>
      <c r="U344" s="122">
        <v>78077600</v>
      </c>
      <c r="V344" s="36">
        <v>0</v>
      </c>
      <c r="W344" s="36">
        <f>Table2[[#This Row],[Construction Contract Amount]]+Table2[[#This Row],[Cumulative Variations]]</f>
        <v>78077600</v>
      </c>
      <c r="X344" s="36">
        <v>1576709</v>
      </c>
      <c r="Y344" s="36">
        <v>0</v>
      </c>
      <c r="Z344" s="36">
        <f>Table2[[#This Row],[Final Contract Value]]+Table2[[#This Row],[Supervision Contract amount]]+Table2[[#This Row],[Authority Cost]]</f>
        <v>79654309</v>
      </c>
      <c r="AA344" s="36">
        <v>10152055.77</v>
      </c>
      <c r="AB344" s="36">
        <v>180000</v>
      </c>
      <c r="AC344" s="91" t="str">
        <f t="shared" si="18"/>
        <v>https://drive.google.com/thumbnail?id=1j8yRlDYok5MJSeLQ4eUWBEa5wF2-pNRd&amp;sz=w1000</v>
      </c>
      <c r="AD344" s="172" t="s">
        <v>716</v>
      </c>
      <c r="AE344" s="74" t="str">
        <f t="shared" si="19"/>
        <v>https://drive.google.com/thumbnail?id=1Kj7pGsto2d8qxWBBNeFSXHt0ZCv3amEr&amp;sz=w1000</v>
      </c>
      <c r="AF344" s="172" t="s">
        <v>717</v>
      </c>
      <c r="AG344" s="73" t="str">
        <f t="shared" si="20"/>
        <v>https://drive.google.com/thumbnail?id=1rOTt3bC6ZLN5P-SA_JVctRcIj9J1mxVr&amp;sz=w1000</v>
      </c>
      <c r="AH344" s="172" t="s">
        <v>718</v>
      </c>
    </row>
    <row r="345" spans="1:34" ht="22.15" customHeight="1">
      <c r="A345" s="30">
        <v>45534</v>
      </c>
      <c r="B345" s="17" t="s">
        <v>244</v>
      </c>
      <c r="C345" s="17" t="s">
        <v>78</v>
      </c>
      <c r="D345" s="16" t="str" cm="1">
        <f t="array" ref="D345">_xlfn.XLOOKUP(1, (Table1[Project Name]=Table2[[#This Row],[Project ID]])*(Table1[Plot]=Table2[[#This Row],[Plot]]), Table1[Project ID])</f>
        <v>SC-02</v>
      </c>
      <c r="E345" s="69">
        <v>348</v>
      </c>
      <c r="F345" s="70">
        <v>199</v>
      </c>
      <c r="G345" s="69">
        <f>Table2[[#This Row],[Time Elapsed]]+Table2[[#This Row],[Time Remaining]]</f>
        <v>547</v>
      </c>
      <c r="H345" s="159" t="s">
        <v>694</v>
      </c>
      <c r="I345" s="159" t="s">
        <v>693</v>
      </c>
      <c r="J345" s="160">
        <v>0.23769999999999999</v>
      </c>
      <c r="K345" s="161">
        <v>0.25140000000000001</v>
      </c>
      <c r="L345" s="13">
        <f>Table2[[#This Row],[Actual %]]-Table2[[#This Row],[Plan %]]</f>
        <v>1.3700000000000018E-2</v>
      </c>
      <c r="M345" s="165" t="s">
        <v>51</v>
      </c>
      <c r="N345" s="12">
        <v>45220</v>
      </c>
      <c r="O345" s="12">
        <v>45266</v>
      </c>
      <c r="P345" s="12"/>
      <c r="Q345" s="12">
        <v>45534</v>
      </c>
      <c r="R345" s="159" t="s">
        <v>700</v>
      </c>
      <c r="S345" s="159" t="s">
        <v>701</v>
      </c>
      <c r="T345" s="164" t="s">
        <v>707</v>
      </c>
      <c r="U345" s="122">
        <v>78077600</v>
      </c>
      <c r="V345" s="36">
        <v>0</v>
      </c>
      <c r="W345" s="36">
        <f>Table2[[#This Row],[Construction Contract Amount]]+Table2[[#This Row],[Cumulative Variations]]</f>
        <v>78077600</v>
      </c>
      <c r="X345" s="36">
        <v>1576709</v>
      </c>
      <c r="Y345" s="36">
        <v>0</v>
      </c>
      <c r="Z345" s="36">
        <f>Table2[[#This Row],[Final Contract Value]]+Table2[[#This Row],[Supervision Contract amount]]+Table2[[#This Row],[Authority Cost]]</f>
        <v>79654309</v>
      </c>
      <c r="AA345" s="36">
        <v>10152055.77</v>
      </c>
      <c r="AB345" s="36">
        <v>180000</v>
      </c>
      <c r="AC345" s="91" t="str">
        <f t="shared" si="18"/>
        <v>https://drive.google.com/thumbnail?id=1j8yRlDYok5MJSeLQ4eUWBEa5wF2-pNRd&amp;sz=w1000</v>
      </c>
      <c r="AD345" s="172" t="s">
        <v>716</v>
      </c>
      <c r="AE345" s="74" t="str">
        <f t="shared" si="19"/>
        <v>https://drive.google.com/thumbnail?id=1Kj7pGsto2d8qxWBBNeFSXHt0ZCv3amEr&amp;sz=w1000</v>
      </c>
      <c r="AF345" s="172" t="s">
        <v>717</v>
      </c>
      <c r="AG345" s="73" t="str">
        <f t="shared" si="20"/>
        <v>https://drive.google.com/thumbnail?id=1rOTt3bC6ZLN5P-SA_JVctRcIj9J1mxVr&amp;sz=w1000</v>
      </c>
      <c r="AH345" s="172" t="s">
        <v>718</v>
      </c>
    </row>
    <row r="346" spans="1:34" ht="22.15" customHeight="1">
      <c r="A346" s="30">
        <v>45534</v>
      </c>
      <c r="B346" s="17" t="s">
        <v>244</v>
      </c>
      <c r="C346" s="17" t="s">
        <v>78</v>
      </c>
      <c r="D346" s="16" t="str" cm="1">
        <f t="array" ref="D346">_xlfn.XLOOKUP(1, (Table1[Project Name]=Table2[[#This Row],[Project ID]])*(Table1[Plot]=Table2[[#This Row],[Plot]]), Table1[Project ID])</f>
        <v>SC-02</v>
      </c>
      <c r="E346" s="69">
        <v>348</v>
      </c>
      <c r="F346" s="70">
        <v>199</v>
      </c>
      <c r="G346" s="69">
        <f>Table2[[#This Row],[Time Elapsed]]+Table2[[#This Row],[Time Remaining]]</f>
        <v>547</v>
      </c>
      <c r="H346" s="159" t="s">
        <v>694</v>
      </c>
      <c r="I346" s="159" t="s">
        <v>693</v>
      </c>
      <c r="J346" s="160">
        <v>0.23769999999999999</v>
      </c>
      <c r="K346" s="161">
        <v>0.25140000000000001</v>
      </c>
      <c r="L346" s="13">
        <f>Table2[[#This Row],[Actual %]]-Table2[[#This Row],[Plan %]]</f>
        <v>1.3700000000000018E-2</v>
      </c>
      <c r="M346" s="165" t="s">
        <v>287</v>
      </c>
      <c r="N346" s="12">
        <v>45429</v>
      </c>
      <c r="O346" s="12">
        <v>45435</v>
      </c>
      <c r="P346" s="12"/>
      <c r="Q346" s="12">
        <v>45534</v>
      </c>
      <c r="R346" s="159" t="s">
        <v>700</v>
      </c>
      <c r="S346" s="159" t="s">
        <v>701</v>
      </c>
      <c r="T346" s="164" t="s">
        <v>707</v>
      </c>
      <c r="U346" s="122">
        <v>78077600</v>
      </c>
      <c r="V346" s="36">
        <v>0</v>
      </c>
      <c r="W346" s="36">
        <f>Table2[[#This Row],[Construction Contract Amount]]+Table2[[#This Row],[Cumulative Variations]]</f>
        <v>78077600</v>
      </c>
      <c r="X346" s="36">
        <v>1576709</v>
      </c>
      <c r="Y346" s="36">
        <v>0</v>
      </c>
      <c r="Z346" s="36">
        <f>Table2[[#This Row],[Final Contract Value]]+Table2[[#This Row],[Supervision Contract amount]]+Table2[[#This Row],[Authority Cost]]</f>
        <v>79654309</v>
      </c>
      <c r="AA346" s="36">
        <v>10152055.77</v>
      </c>
      <c r="AB346" s="36">
        <v>180000</v>
      </c>
      <c r="AC346" s="91" t="str">
        <f t="shared" si="18"/>
        <v>https://drive.google.com/thumbnail?id=1j8yRlDYok5MJSeLQ4eUWBEa5wF2-pNRd&amp;sz=w1000</v>
      </c>
      <c r="AD346" s="172" t="s">
        <v>716</v>
      </c>
      <c r="AE346" s="74" t="str">
        <f t="shared" si="19"/>
        <v>https://drive.google.com/thumbnail?id=1Kj7pGsto2d8qxWBBNeFSXHt0ZCv3amEr&amp;sz=w1000</v>
      </c>
      <c r="AF346" s="172" t="s">
        <v>717</v>
      </c>
      <c r="AG346" s="73" t="str">
        <f t="shared" si="20"/>
        <v>https://drive.google.com/thumbnail?id=1rOTt3bC6ZLN5P-SA_JVctRcIj9J1mxVr&amp;sz=w1000</v>
      </c>
      <c r="AH346" s="172" t="s">
        <v>718</v>
      </c>
    </row>
    <row r="347" spans="1:34" ht="22.15" customHeight="1">
      <c r="A347" s="30">
        <v>45534</v>
      </c>
      <c r="B347" s="17" t="s">
        <v>244</v>
      </c>
      <c r="C347" s="17" t="s">
        <v>78</v>
      </c>
      <c r="D347" s="16" t="str" cm="1">
        <f t="array" ref="D347">_xlfn.XLOOKUP(1, (Table1[Project Name]=Table2[[#This Row],[Project ID]])*(Table1[Plot]=Table2[[#This Row],[Plot]]), Table1[Project ID])</f>
        <v>SC-02</v>
      </c>
      <c r="E347" s="69">
        <v>348</v>
      </c>
      <c r="F347" s="70">
        <v>199</v>
      </c>
      <c r="G347" s="69">
        <f>Table2[[#This Row],[Time Elapsed]]+Table2[[#This Row],[Time Remaining]]</f>
        <v>547</v>
      </c>
      <c r="H347" s="159" t="s">
        <v>694</v>
      </c>
      <c r="I347" s="159" t="s">
        <v>693</v>
      </c>
      <c r="J347" s="160">
        <v>0.23769999999999999</v>
      </c>
      <c r="K347" s="161">
        <v>0.25140000000000001</v>
      </c>
      <c r="L347" s="13">
        <f>Table2[[#This Row],[Actual %]]-Table2[[#This Row],[Plan %]]</f>
        <v>1.3700000000000018E-2</v>
      </c>
      <c r="M347" s="165" t="s">
        <v>703</v>
      </c>
      <c r="N347" s="12">
        <v>45510</v>
      </c>
      <c r="O347" s="12"/>
      <c r="P347" s="12">
        <v>45541</v>
      </c>
      <c r="Q347" s="12">
        <v>45534</v>
      </c>
      <c r="R347" s="159" t="s">
        <v>700</v>
      </c>
      <c r="S347" s="159" t="s">
        <v>701</v>
      </c>
      <c r="T347" s="164" t="s">
        <v>707</v>
      </c>
      <c r="U347" s="122">
        <v>78077600</v>
      </c>
      <c r="V347" s="36">
        <v>0</v>
      </c>
      <c r="W347" s="36">
        <f>Table2[[#This Row],[Construction Contract Amount]]+Table2[[#This Row],[Cumulative Variations]]</f>
        <v>78077600</v>
      </c>
      <c r="X347" s="36">
        <v>1576709</v>
      </c>
      <c r="Y347" s="36">
        <v>0</v>
      </c>
      <c r="Z347" s="36">
        <f>Table2[[#This Row],[Final Contract Value]]+Table2[[#This Row],[Supervision Contract amount]]+Table2[[#This Row],[Authority Cost]]</f>
        <v>79654309</v>
      </c>
      <c r="AA347" s="36">
        <v>10152055.77</v>
      </c>
      <c r="AB347" s="36">
        <v>180000</v>
      </c>
      <c r="AC347" s="91" t="str">
        <f t="shared" si="18"/>
        <v>https://drive.google.com/thumbnail?id=1j8yRlDYok5MJSeLQ4eUWBEa5wF2-pNRd&amp;sz=w1000</v>
      </c>
      <c r="AD347" s="172" t="s">
        <v>716</v>
      </c>
      <c r="AE347" s="74" t="str">
        <f t="shared" si="19"/>
        <v>https://drive.google.com/thumbnail?id=1Kj7pGsto2d8qxWBBNeFSXHt0ZCv3amEr&amp;sz=w1000</v>
      </c>
      <c r="AF347" s="172" t="s">
        <v>717</v>
      </c>
      <c r="AG347" s="73" t="str">
        <f t="shared" si="20"/>
        <v>https://drive.google.com/thumbnail?id=1rOTt3bC6ZLN5P-SA_JVctRcIj9J1mxVr&amp;sz=w1000</v>
      </c>
      <c r="AH347" s="172" t="s">
        <v>718</v>
      </c>
    </row>
    <row r="348" spans="1:34" ht="22.15" customHeight="1">
      <c r="A348" s="30">
        <v>45534</v>
      </c>
      <c r="B348" s="17" t="s">
        <v>244</v>
      </c>
      <c r="C348" s="17" t="s">
        <v>78</v>
      </c>
      <c r="D348" s="16" t="str" cm="1">
        <f t="array" ref="D348">_xlfn.XLOOKUP(1, (Table1[Project Name]=Table2[[#This Row],[Project ID]])*(Table1[Plot]=Table2[[#This Row],[Plot]]), Table1[Project ID])</f>
        <v>SC-02</v>
      </c>
      <c r="E348" s="69">
        <v>348</v>
      </c>
      <c r="F348" s="70">
        <v>199</v>
      </c>
      <c r="G348" s="69">
        <f>Table2[[#This Row],[Time Elapsed]]+Table2[[#This Row],[Time Remaining]]</f>
        <v>547</v>
      </c>
      <c r="H348" s="159" t="s">
        <v>694</v>
      </c>
      <c r="I348" s="159" t="s">
        <v>693</v>
      </c>
      <c r="J348" s="160">
        <v>0.23769999999999999</v>
      </c>
      <c r="K348" s="161">
        <v>0.25140000000000001</v>
      </c>
      <c r="L348" s="13">
        <f>Table2[[#This Row],[Actual %]]-Table2[[#This Row],[Plan %]]</f>
        <v>1.3700000000000018E-2</v>
      </c>
      <c r="M348" s="165" t="s">
        <v>704</v>
      </c>
      <c r="N348" s="12">
        <v>45603</v>
      </c>
      <c r="O348" s="12"/>
      <c r="P348" s="12">
        <v>45574</v>
      </c>
      <c r="Q348" s="12">
        <v>45534</v>
      </c>
      <c r="R348" s="159" t="s">
        <v>700</v>
      </c>
      <c r="S348" s="159" t="s">
        <v>701</v>
      </c>
      <c r="T348" s="164" t="s">
        <v>707</v>
      </c>
      <c r="U348" s="122">
        <v>78077600</v>
      </c>
      <c r="V348" s="36">
        <v>0</v>
      </c>
      <c r="W348" s="36">
        <f>Table2[[#This Row],[Construction Contract Amount]]+Table2[[#This Row],[Cumulative Variations]]</f>
        <v>78077600</v>
      </c>
      <c r="X348" s="36">
        <v>1576709</v>
      </c>
      <c r="Y348" s="36">
        <v>0</v>
      </c>
      <c r="Z348" s="36">
        <f>Table2[[#This Row],[Final Contract Value]]+Table2[[#This Row],[Supervision Contract amount]]+Table2[[#This Row],[Authority Cost]]</f>
        <v>79654309</v>
      </c>
      <c r="AA348" s="36">
        <v>10152055.77</v>
      </c>
      <c r="AB348" s="36">
        <v>180000</v>
      </c>
      <c r="AC348" s="91" t="str">
        <f t="shared" si="18"/>
        <v>https://drive.google.com/thumbnail?id=1j8yRlDYok5MJSeLQ4eUWBEa5wF2-pNRd&amp;sz=w1000</v>
      </c>
      <c r="AD348" s="172" t="s">
        <v>716</v>
      </c>
      <c r="AE348" s="74" t="str">
        <f t="shared" si="19"/>
        <v>https://drive.google.com/thumbnail?id=1Kj7pGsto2d8qxWBBNeFSXHt0ZCv3amEr&amp;sz=w1000</v>
      </c>
      <c r="AF348" s="172" t="s">
        <v>717</v>
      </c>
      <c r="AG348" s="73" t="str">
        <f t="shared" si="20"/>
        <v>https://drive.google.com/thumbnail?id=1rOTt3bC6ZLN5P-SA_JVctRcIj9J1mxVr&amp;sz=w1000</v>
      </c>
      <c r="AH348" s="172" t="s">
        <v>718</v>
      </c>
    </row>
    <row r="349" spans="1:34" ht="22.15" customHeight="1">
      <c r="A349" s="30">
        <v>45534</v>
      </c>
      <c r="B349" s="17" t="s">
        <v>244</v>
      </c>
      <c r="C349" s="17" t="s">
        <v>78</v>
      </c>
      <c r="D349" s="16" t="str" cm="1">
        <f t="array" ref="D349">_xlfn.XLOOKUP(1, (Table1[Project Name]=Table2[[#This Row],[Project ID]])*(Table1[Plot]=Table2[[#This Row],[Plot]]), Table1[Project ID])</f>
        <v>SC-02</v>
      </c>
      <c r="E349" s="69">
        <v>348</v>
      </c>
      <c r="F349" s="70">
        <v>199</v>
      </c>
      <c r="G349" s="69">
        <f>Table2[[#This Row],[Time Elapsed]]+Table2[[#This Row],[Time Remaining]]</f>
        <v>547</v>
      </c>
      <c r="H349" s="159" t="s">
        <v>694</v>
      </c>
      <c r="I349" s="159" t="s">
        <v>693</v>
      </c>
      <c r="J349" s="160">
        <v>0.23769999999999999</v>
      </c>
      <c r="K349" s="161">
        <v>0.25140000000000001</v>
      </c>
      <c r="L349" s="13">
        <f>Table2[[#This Row],[Actual %]]-Table2[[#This Row],[Plan %]]</f>
        <v>1.3700000000000018E-2</v>
      </c>
      <c r="M349" s="165" t="s">
        <v>705</v>
      </c>
      <c r="N349" s="12">
        <v>45511</v>
      </c>
      <c r="O349" s="12">
        <v>45477</v>
      </c>
      <c r="P349" s="12"/>
      <c r="Q349" s="12">
        <v>45534</v>
      </c>
      <c r="R349" s="159" t="s">
        <v>700</v>
      </c>
      <c r="S349" s="159" t="s">
        <v>701</v>
      </c>
      <c r="T349" s="164" t="s">
        <v>707</v>
      </c>
      <c r="U349" s="122">
        <v>78077600</v>
      </c>
      <c r="V349" s="36">
        <v>0</v>
      </c>
      <c r="W349" s="36">
        <f>Table2[[#This Row],[Construction Contract Amount]]+Table2[[#This Row],[Cumulative Variations]]</f>
        <v>78077600</v>
      </c>
      <c r="X349" s="36">
        <v>1576709</v>
      </c>
      <c r="Y349" s="36">
        <v>0</v>
      </c>
      <c r="Z349" s="36">
        <f>Table2[[#This Row],[Final Contract Value]]+Table2[[#This Row],[Supervision Contract amount]]+Table2[[#This Row],[Authority Cost]]</f>
        <v>79654309</v>
      </c>
      <c r="AA349" s="36">
        <v>10152055.77</v>
      </c>
      <c r="AB349" s="36">
        <v>180000</v>
      </c>
      <c r="AC349" s="91" t="str">
        <f t="shared" si="18"/>
        <v>https://drive.google.com/thumbnail?id=1j8yRlDYok5MJSeLQ4eUWBEa5wF2-pNRd&amp;sz=w1000</v>
      </c>
      <c r="AD349" s="172" t="s">
        <v>716</v>
      </c>
      <c r="AE349" s="74" t="str">
        <f t="shared" si="19"/>
        <v>https://drive.google.com/thumbnail?id=1Kj7pGsto2d8qxWBBNeFSXHt0ZCv3amEr&amp;sz=w1000</v>
      </c>
      <c r="AF349" s="172" t="s">
        <v>717</v>
      </c>
      <c r="AG349" s="73" t="str">
        <f t="shared" si="20"/>
        <v>https://drive.google.com/thumbnail?id=1rOTt3bC6ZLN5P-SA_JVctRcIj9J1mxVr&amp;sz=w1000</v>
      </c>
      <c r="AH349" s="172" t="s">
        <v>718</v>
      </c>
    </row>
    <row r="350" spans="1:34" ht="22.15" customHeight="1">
      <c r="A350" s="30">
        <v>45534</v>
      </c>
      <c r="B350" s="17" t="s">
        <v>244</v>
      </c>
      <c r="C350" s="17" t="s">
        <v>78</v>
      </c>
      <c r="D350" s="16" t="str" cm="1">
        <f t="array" ref="D350">_xlfn.XLOOKUP(1, (Table1[Project Name]=Table2[[#This Row],[Project ID]])*(Table1[Plot]=Table2[[#This Row],[Plot]]), Table1[Project ID])</f>
        <v>SC-02</v>
      </c>
      <c r="E350" s="69">
        <v>348</v>
      </c>
      <c r="F350" s="70">
        <v>199</v>
      </c>
      <c r="G350" s="69">
        <f>Table2[[#This Row],[Time Elapsed]]+Table2[[#This Row],[Time Remaining]]</f>
        <v>547</v>
      </c>
      <c r="H350" s="159" t="s">
        <v>694</v>
      </c>
      <c r="I350" s="159" t="s">
        <v>693</v>
      </c>
      <c r="J350" s="160">
        <v>0.23769999999999999</v>
      </c>
      <c r="K350" s="161">
        <v>0.25140000000000001</v>
      </c>
      <c r="L350" s="13">
        <f>Table2[[#This Row],[Actual %]]-Table2[[#This Row],[Plan %]]</f>
        <v>1.3700000000000018E-2</v>
      </c>
      <c r="M350" s="165" t="s">
        <v>706</v>
      </c>
      <c r="N350" s="12">
        <v>45596</v>
      </c>
      <c r="O350" s="12"/>
      <c r="P350" s="12">
        <v>45590</v>
      </c>
      <c r="Q350" s="12">
        <v>45534</v>
      </c>
      <c r="R350" s="159" t="s">
        <v>700</v>
      </c>
      <c r="S350" s="159" t="s">
        <v>701</v>
      </c>
      <c r="T350" s="164" t="s">
        <v>707</v>
      </c>
      <c r="U350" s="122">
        <v>78077600</v>
      </c>
      <c r="V350" s="36">
        <v>0</v>
      </c>
      <c r="W350" s="36">
        <f>Table2[[#This Row],[Construction Contract Amount]]+Table2[[#This Row],[Cumulative Variations]]</f>
        <v>78077600</v>
      </c>
      <c r="X350" s="36">
        <v>1576709</v>
      </c>
      <c r="Y350" s="36">
        <v>0</v>
      </c>
      <c r="Z350" s="36">
        <f>Table2[[#This Row],[Final Contract Value]]+Table2[[#This Row],[Supervision Contract amount]]+Table2[[#This Row],[Authority Cost]]</f>
        <v>79654309</v>
      </c>
      <c r="AA350" s="36">
        <v>10152055.77</v>
      </c>
      <c r="AB350" s="36">
        <v>180000</v>
      </c>
      <c r="AC350" s="91" t="str">
        <f t="shared" si="18"/>
        <v>https://drive.google.com/thumbnail?id=1j8yRlDYok5MJSeLQ4eUWBEa5wF2-pNRd&amp;sz=w1000</v>
      </c>
      <c r="AD350" s="172" t="s">
        <v>716</v>
      </c>
      <c r="AE350" s="74" t="str">
        <f t="shared" si="19"/>
        <v>https://drive.google.com/thumbnail?id=1Kj7pGsto2d8qxWBBNeFSXHt0ZCv3amEr&amp;sz=w1000</v>
      </c>
      <c r="AF350" s="172" t="s">
        <v>717</v>
      </c>
      <c r="AG350" s="73" t="str">
        <f t="shared" si="20"/>
        <v>https://drive.google.com/thumbnail?id=1rOTt3bC6ZLN5P-SA_JVctRcIj9J1mxVr&amp;sz=w1000</v>
      </c>
      <c r="AH350" s="172" t="s">
        <v>718</v>
      </c>
    </row>
    <row r="351" spans="1:34" ht="22.15" customHeight="1">
      <c r="A351" s="30">
        <v>45534</v>
      </c>
      <c r="B351" s="17" t="s">
        <v>244</v>
      </c>
      <c r="C351" s="17" t="s">
        <v>78</v>
      </c>
      <c r="D351" s="16" t="str" cm="1">
        <f t="array" ref="D351">_xlfn.XLOOKUP(1, (Table1[Project Name]=Table2[[#This Row],[Project ID]])*(Table1[Plot]=Table2[[#This Row],[Plot]]), Table1[Project ID])</f>
        <v>SC-02</v>
      </c>
      <c r="E351" s="69">
        <v>348</v>
      </c>
      <c r="F351" s="70">
        <v>199</v>
      </c>
      <c r="G351" s="69">
        <f>Table2[[#This Row],[Time Elapsed]]+Table2[[#This Row],[Time Remaining]]</f>
        <v>547</v>
      </c>
      <c r="H351" s="159" t="s">
        <v>694</v>
      </c>
      <c r="I351" s="159" t="s">
        <v>693</v>
      </c>
      <c r="J351" s="160">
        <v>0.23769999999999999</v>
      </c>
      <c r="K351" s="161">
        <v>0.25140000000000001</v>
      </c>
      <c r="L351" s="13">
        <f>Table2[[#This Row],[Actual %]]-Table2[[#This Row],[Plan %]]</f>
        <v>1.3700000000000018E-2</v>
      </c>
      <c r="M351" s="165" t="s">
        <v>280</v>
      </c>
      <c r="N351" s="12">
        <v>45682</v>
      </c>
      <c r="O351" s="12"/>
      <c r="P351" s="12">
        <v>45787</v>
      </c>
      <c r="Q351" s="12">
        <v>45534</v>
      </c>
      <c r="R351" s="159" t="s">
        <v>700</v>
      </c>
      <c r="S351" s="159" t="s">
        <v>701</v>
      </c>
      <c r="T351" s="164" t="s">
        <v>707</v>
      </c>
      <c r="U351" s="122">
        <v>78077600</v>
      </c>
      <c r="V351" s="36">
        <v>0</v>
      </c>
      <c r="W351" s="36">
        <f>Table2[[#This Row],[Construction Contract Amount]]+Table2[[#This Row],[Cumulative Variations]]</f>
        <v>78077600</v>
      </c>
      <c r="X351" s="36">
        <v>1576709</v>
      </c>
      <c r="Y351" s="36">
        <v>0</v>
      </c>
      <c r="Z351" s="36">
        <f>Table2[[#This Row],[Final Contract Value]]+Table2[[#This Row],[Supervision Contract amount]]+Table2[[#This Row],[Authority Cost]]</f>
        <v>79654309</v>
      </c>
      <c r="AA351" s="36">
        <v>10152055.77</v>
      </c>
      <c r="AB351" s="36">
        <v>180000</v>
      </c>
      <c r="AC351" s="91" t="str">
        <f t="shared" si="18"/>
        <v>https://drive.google.com/thumbnail?id=1j8yRlDYok5MJSeLQ4eUWBEa5wF2-pNRd&amp;sz=w1000</v>
      </c>
      <c r="AD351" s="172" t="s">
        <v>716</v>
      </c>
      <c r="AE351" s="74" t="str">
        <f t="shared" si="19"/>
        <v>https://drive.google.com/thumbnail?id=1Kj7pGsto2d8qxWBBNeFSXHt0ZCv3amEr&amp;sz=w1000</v>
      </c>
      <c r="AF351" s="172" t="s">
        <v>717</v>
      </c>
      <c r="AG351" s="73" t="str">
        <f t="shared" si="20"/>
        <v>https://drive.google.com/thumbnail?id=1rOTt3bC6ZLN5P-SA_JVctRcIj9J1mxVr&amp;sz=w1000</v>
      </c>
      <c r="AH351" s="172" t="s">
        <v>718</v>
      </c>
    </row>
    <row r="352" spans="1:34" ht="22.15" customHeight="1">
      <c r="A352" s="30">
        <v>45534</v>
      </c>
      <c r="B352" s="17" t="s">
        <v>244</v>
      </c>
      <c r="C352" s="17" t="s">
        <v>78</v>
      </c>
      <c r="D352" s="16" t="str" cm="1">
        <f t="array" ref="D352">_xlfn.XLOOKUP(1, (Table1[Project Name]=Table2[[#This Row],[Project ID]])*(Table1[Plot]=Table2[[#This Row],[Plot]]), Table1[Project ID])</f>
        <v>SC-02</v>
      </c>
      <c r="E352" s="69">
        <v>348</v>
      </c>
      <c r="F352" s="70">
        <v>199</v>
      </c>
      <c r="G352" s="69">
        <f>Table2[[#This Row],[Time Elapsed]]+Table2[[#This Row],[Time Remaining]]</f>
        <v>547</v>
      </c>
      <c r="H352" s="159" t="s">
        <v>694</v>
      </c>
      <c r="I352" s="159" t="s">
        <v>693</v>
      </c>
      <c r="J352" s="160">
        <v>0.23769999999999999</v>
      </c>
      <c r="K352" s="161">
        <v>0.25140000000000001</v>
      </c>
      <c r="L352" s="13">
        <f>Table2[[#This Row],[Actual %]]-Table2[[#This Row],[Plan %]]</f>
        <v>1.3700000000000018E-2</v>
      </c>
      <c r="M352" s="165" t="s">
        <v>343</v>
      </c>
      <c r="N352" s="12">
        <v>45701</v>
      </c>
      <c r="O352" s="12"/>
      <c r="P352" s="12">
        <v>45803</v>
      </c>
      <c r="Q352" s="12">
        <v>45534</v>
      </c>
      <c r="R352" s="159" t="s">
        <v>700</v>
      </c>
      <c r="S352" s="159" t="s">
        <v>701</v>
      </c>
      <c r="T352" s="164" t="s">
        <v>707</v>
      </c>
      <c r="U352" s="122">
        <v>78077600</v>
      </c>
      <c r="V352" s="36">
        <v>0</v>
      </c>
      <c r="W352" s="36">
        <f>Table2[[#This Row],[Construction Contract Amount]]+Table2[[#This Row],[Cumulative Variations]]</f>
        <v>78077600</v>
      </c>
      <c r="X352" s="36">
        <v>1576709</v>
      </c>
      <c r="Y352" s="36">
        <v>0</v>
      </c>
      <c r="Z352" s="36">
        <f>Table2[[#This Row],[Final Contract Value]]+Table2[[#This Row],[Supervision Contract amount]]+Table2[[#This Row],[Authority Cost]]</f>
        <v>79654309</v>
      </c>
      <c r="AA352" s="36">
        <v>10152055.77</v>
      </c>
      <c r="AB352" s="36">
        <v>180000</v>
      </c>
      <c r="AC352" s="91" t="str">
        <f t="shared" si="18"/>
        <v>https://drive.google.com/thumbnail?id=1j8yRlDYok5MJSeLQ4eUWBEa5wF2-pNRd&amp;sz=w1000</v>
      </c>
      <c r="AD352" s="172" t="s">
        <v>716</v>
      </c>
      <c r="AE352" s="74" t="str">
        <f t="shared" si="19"/>
        <v>https://drive.google.com/thumbnail?id=1Kj7pGsto2d8qxWBBNeFSXHt0ZCv3amEr&amp;sz=w1000</v>
      </c>
      <c r="AF352" s="172" t="s">
        <v>717</v>
      </c>
      <c r="AG352" s="73" t="str">
        <f t="shared" si="20"/>
        <v>https://drive.google.com/thumbnail?id=1rOTt3bC6ZLN5P-SA_JVctRcIj9J1mxVr&amp;sz=w1000</v>
      </c>
      <c r="AH352" s="172" t="s">
        <v>718</v>
      </c>
    </row>
    <row r="353" spans="1:34" ht="22.15" customHeight="1">
      <c r="A353" s="30">
        <v>45534</v>
      </c>
      <c r="B353" s="17" t="s">
        <v>244</v>
      </c>
      <c r="C353" s="17" t="s">
        <v>78</v>
      </c>
      <c r="D353" s="16" t="str" cm="1">
        <f t="array" ref="D353">_xlfn.XLOOKUP(1, (Table1[Project Name]=Table2[[#This Row],[Project ID]])*(Table1[Plot]=Table2[[#This Row],[Plot]]), Table1[Project ID])</f>
        <v>SC-02</v>
      </c>
      <c r="E353" s="69">
        <v>348</v>
      </c>
      <c r="F353" s="70">
        <v>199</v>
      </c>
      <c r="G353" s="69">
        <f>Table2[[#This Row],[Time Elapsed]]+Table2[[#This Row],[Time Remaining]]</f>
        <v>547</v>
      </c>
      <c r="H353" s="159" t="s">
        <v>694</v>
      </c>
      <c r="I353" s="159" t="s">
        <v>693</v>
      </c>
      <c r="J353" s="160">
        <v>0.23769999999999999</v>
      </c>
      <c r="K353" s="161">
        <v>0.25140000000000001</v>
      </c>
      <c r="L353" s="13">
        <f>Table2[[#This Row],[Actual %]]-Table2[[#This Row],[Plan %]]</f>
        <v>1.3700000000000018E-2</v>
      </c>
      <c r="M353" s="165" t="s">
        <v>344</v>
      </c>
      <c r="N353" s="12">
        <v>45720</v>
      </c>
      <c r="O353" s="12"/>
      <c r="P353" s="12">
        <v>45824</v>
      </c>
      <c r="Q353" s="12">
        <v>45534</v>
      </c>
      <c r="R353" s="159" t="s">
        <v>700</v>
      </c>
      <c r="S353" s="159" t="s">
        <v>701</v>
      </c>
      <c r="T353" s="164" t="s">
        <v>707</v>
      </c>
      <c r="U353" s="122">
        <v>78077600</v>
      </c>
      <c r="V353" s="36">
        <v>0</v>
      </c>
      <c r="W353" s="36">
        <f>Table2[[#This Row],[Construction Contract Amount]]+Table2[[#This Row],[Cumulative Variations]]</f>
        <v>78077600</v>
      </c>
      <c r="X353" s="36">
        <v>1576709</v>
      </c>
      <c r="Y353" s="36">
        <v>0</v>
      </c>
      <c r="Z353" s="36">
        <f>Table2[[#This Row],[Final Contract Value]]+Table2[[#This Row],[Supervision Contract amount]]+Table2[[#This Row],[Authority Cost]]</f>
        <v>79654309</v>
      </c>
      <c r="AA353" s="36">
        <v>10152055.77</v>
      </c>
      <c r="AB353" s="36">
        <v>180000</v>
      </c>
      <c r="AC353" s="91" t="str">
        <f t="shared" si="18"/>
        <v>https://drive.google.com/thumbnail?id=1j8yRlDYok5MJSeLQ4eUWBEa5wF2-pNRd&amp;sz=w1000</v>
      </c>
      <c r="AD353" s="172" t="s">
        <v>716</v>
      </c>
      <c r="AE353" s="74" t="str">
        <f t="shared" si="19"/>
        <v>https://drive.google.com/thumbnail?id=1Kj7pGsto2d8qxWBBNeFSXHt0ZCv3amEr&amp;sz=w1000</v>
      </c>
      <c r="AF353" s="172" t="s">
        <v>717</v>
      </c>
      <c r="AG353" s="73" t="str">
        <f t="shared" si="20"/>
        <v>https://drive.google.com/thumbnail?id=1rOTt3bC6ZLN5P-SA_JVctRcIj9J1mxVr&amp;sz=w1000</v>
      </c>
      <c r="AH353" s="172" t="s">
        <v>718</v>
      </c>
    </row>
    <row r="354" spans="1:34" ht="22.15" customHeight="1">
      <c r="A354" s="30">
        <v>45534</v>
      </c>
      <c r="B354" s="17" t="s">
        <v>244</v>
      </c>
      <c r="C354" s="17" t="s">
        <v>78</v>
      </c>
      <c r="D354" s="16" t="str" cm="1">
        <f t="array" ref="D354">_xlfn.XLOOKUP(1, (Table1[Project Name]=Table2[[#This Row],[Project ID]])*(Table1[Plot]=Table2[[#This Row],[Plot]]), Table1[Project ID])</f>
        <v>SC-02</v>
      </c>
      <c r="E354" s="69">
        <v>348</v>
      </c>
      <c r="F354" s="70">
        <v>199</v>
      </c>
      <c r="G354" s="69">
        <f>Table2[[#This Row],[Time Elapsed]]+Table2[[#This Row],[Time Remaining]]</f>
        <v>547</v>
      </c>
      <c r="H354" s="159" t="s">
        <v>694</v>
      </c>
      <c r="I354" s="159" t="s">
        <v>693</v>
      </c>
      <c r="J354" s="160">
        <v>0.23769999999999999</v>
      </c>
      <c r="K354" s="161">
        <v>0.25140000000000001</v>
      </c>
      <c r="L354" s="13">
        <f>Table2[[#This Row],[Actual %]]-Table2[[#This Row],[Plan %]]</f>
        <v>1.3700000000000018E-2</v>
      </c>
      <c r="M354" s="165" t="s">
        <v>302</v>
      </c>
      <c r="N354" s="12">
        <v>45733</v>
      </c>
      <c r="O354" s="12"/>
      <c r="P354" s="12">
        <v>45838</v>
      </c>
      <c r="Q354" s="12">
        <v>45534</v>
      </c>
      <c r="R354" s="159" t="s">
        <v>700</v>
      </c>
      <c r="S354" s="159" t="s">
        <v>701</v>
      </c>
      <c r="T354" s="164" t="s">
        <v>707</v>
      </c>
      <c r="U354" s="122">
        <v>78077600</v>
      </c>
      <c r="V354" s="36">
        <v>0</v>
      </c>
      <c r="W354" s="36">
        <f>Table2[[#This Row],[Construction Contract Amount]]+Table2[[#This Row],[Cumulative Variations]]</f>
        <v>78077600</v>
      </c>
      <c r="X354" s="36">
        <v>1576709</v>
      </c>
      <c r="Y354" s="36">
        <v>0</v>
      </c>
      <c r="Z354" s="36">
        <f>Table2[[#This Row],[Final Contract Value]]+Table2[[#This Row],[Supervision Contract amount]]+Table2[[#This Row],[Authority Cost]]</f>
        <v>79654309</v>
      </c>
      <c r="AA354" s="36">
        <v>10152055.77</v>
      </c>
      <c r="AB354" s="36">
        <v>180000</v>
      </c>
      <c r="AC354" s="91" t="str">
        <f t="shared" si="18"/>
        <v>https://drive.google.com/thumbnail?id=1j8yRlDYok5MJSeLQ4eUWBEa5wF2-pNRd&amp;sz=w1000</v>
      </c>
      <c r="AD354" s="172" t="s">
        <v>716</v>
      </c>
      <c r="AE354" s="74" t="str">
        <f t="shared" si="19"/>
        <v>https://drive.google.com/thumbnail?id=1Kj7pGsto2d8qxWBBNeFSXHt0ZCv3amEr&amp;sz=w1000</v>
      </c>
      <c r="AF354" s="172" t="s">
        <v>717</v>
      </c>
      <c r="AG354" s="73" t="str">
        <f t="shared" si="20"/>
        <v>https://drive.google.com/thumbnail?id=1rOTt3bC6ZLN5P-SA_JVctRcIj9J1mxVr&amp;sz=w1000</v>
      </c>
      <c r="AH354" s="172" t="s">
        <v>718</v>
      </c>
    </row>
    <row r="355" spans="1:34" ht="22.15" customHeight="1">
      <c r="A355" s="30">
        <v>45534</v>
      </c>
      <c r="B355" s="17" t="s">
        <v>247</v>
      </c>
      <c r="C355" s="17" t="s">
        <v>11</v>
      </c>
      <c r="D355" s="16" t="str" cm="1">
        <f t="array" ref="D355">_xlfn.XLOOKUP(1, (Table1[Project Name]=Table2[[#This Row],[Project ID]])*(Table1[Plot]=Table2[[#This Row],[Plot]]), Table1[Project ID])</f>
        <v>SC-03</v>
      </c>
      <c r="E355" s="69">
        <v>275</v>
      </c>
      <c r="F355" s="70">
        <v>272</v>
      </c>
      <c r="G355" s="69">
        <f>Table2[[#This Row],[Time Elapsed]]+Table2[[#This Row],[Time Remaining]]</f>
        <v>547</v>
      </c>
      <c r="H355" s="159" t="s">
        <v>695</v>
      </c>
      <c r="I355" s="159" t="s">
        <v>693</v>
      </c>
      <c r="J355" s="160">
        <v>7.6499999999999999E-2</v>
      </c>
      <c r="K355" s="161">
        <v>0.1767</v>
      </c>
      <c r="L355" s="13">
        <f>Table2[[#This Row],[Actual %]]-Table2[[#This Row],[Plan %]]</f>
        <v>0.1002</v>
      </c>
      <c r="M355" s="163" t="s">
        <v>285</v>
      </c>
      <c r="N355" s="12">
        <v>45260</v>
      </c>
      <c r="O355" s="12">
        <v>45260</v>
      </c>
      <c r="P355" s="12"/>
      <c r="Q355" s="12">
        <v>45534</v>
      </c>
      <c r="R355" s="159" t="s">
        <v>700</v>
      </c>
      <c r="S355" s="159" t="s">
        <v>701</v>
      </c>
      <c r="T355" s="164" t="s">
        <v>708</v>
      </c>
      <c r="U355" s="122">
        <v>78077600</v>
      </c>
      <c r="V355" s="36">
        <v>0</v>
      </c>
      <c r="W355" s="36">
        <f>Table2[[#This Row],[Construction Contract Amount]]+Table2[[#This Row],[Cumulative Variations]]</f>
        <v>78077600</v>
      </c>
      <c r="X355" s="36">
        <v>1576709</v>
      </c>
      <c r="Y355" s="36">
        <v>0</v>
      </c>
      <c r="Z355" s="36">
        <f>Table2[[#This Row],[Final Contract Value]]+Table2[[#This Row],[Supervision Contract amount]]+Table2[[#This Row],[Authority Cost]]</f>
        <v>79654309</v>
      </c>
      <c r="AA355" s="36">
        <v>9409120.25</v>
      </c>
      <c r="AB355" s="36">
        <v>180000</v>
      </c>
      <c r="AC355" s="91" t="str">
        <f t="shared" si="18"/>
        <v>https://drive.google.com/thumbnail?id=1ywKHanqfzSMK2cHlLA75K0HmRTEgQa4h&amp;sz=w1000</v>
      </c>
      <c r="AD355" s="172" t="s">
        <v>719</v>
      </c>
      <c r="AE355" s="74" t="str">
        <f t="shared" si="19"/>
        <v>https://drive.google.com/thumbnail?id=12sTUZOMQU8Yb4ZMfjTWU89XE7G6Mx5fV&amp;sz=w1000</v>
      </c>
      <c r="AF355" s="172" t="s">
        <v>720</v>
      </c>
      <c r="AG355" s="73" t="str">
        <f t="shared" si="20"/>
        <v>https://drive.google.com/thumbnail?id=1q1S8kM3uWaJrbD9mRZ_cWxaj0alzeKgN&amp;sz=w1000</v>
      </c>
      <c r="AH355" s="172" t="s">
        <v>721</v>
      </c>
    </row>
    <row r="356" spans="1:34" ht="22.15" customHeight="1">
      <c r="A356" s="30">
        <v>45534</v>
      </c>
      <c r="B356" s="17" t="s">
        <v>247</v>
      </c>
      <c r="C356" s="17" t="s">
        <v>11</v>
      </c>
      <c r="D356" s="16" t="str" cm="1">
        <f t="array" ref="D356">_xlfn.XLOOKUP(1, (Table1[Project Name]=Table2[[#This Row],[Project ID]])*(Table1[Plot]=Table2[[#This Row],[Plot]]), Table1[Project ID])</f>
        <v>SC-03</v>
      </c>
      <c r="E356" s="69">
        <v>275</v>
      </c>
      <c r="F356" s="70">
        <v>272</v>
      </c>
      <c r="G356" s="69">
        <f>Table2[[#This Row],[Time Elapsed]]+Table2[[#This Row],[Time Remaining]]</f>
        <v>547</v>
      </c>
      <c r="H356" s="159" t="s">
        <v>695</v>
      </c>
      <c r="I356" s="159" t="s">
        <v>693</v>
      </c>
      <c r="J356" s="160">
        <v>7.6499999999999999E-2</v>
      </c>
      <c r="K356" s="161">
        <v>0.1767</v>
      </c>
      <c r="L356" s="13">
        <f>Table2[[#This Row],[Actual %]]-Table2[[#This Row],[Plan %]]</f>
        <v>0.1002</v>
      </c>
      <c r="M356" s="165" t="s">
        <v>51</v>
      </c>
      <c r="N356" s="12">
        <v>45296</v>
      </c>
      <c r="O356" s="12">
        <v>45297</v>
      </c>
      <c r="P356" s="12"/>
      <c r="Q356" s="12">
        <v>45534</v>
      </c>
      <c r="R356" s="159" t="s">
        <v>700</v>
      </c>
      <c r="S356" s="159" t="s">
        <v>701</v>
      </c>
      <c r="T356" s="164" t="s">
        <v>708</v>
      </c>
      <c r="U356" s="122">
        <v>78077600</v>
      </c>
      <c r="V356" s="36">
        <v>0</v>
      </c>
      <c r="W356" s="36">
        <f>Table2[[#This Row],[Construction Contract Amount]]+Table2[[#This Row],[Cumulative Variations]]</f>
        <v>78077600</v>
      </c>
      <c r="X356" s="36">
        <v>1576709</v>
      </c>
      <c r="Y356" s="36">
        <v>0</v>
      </c>
      <c r="Z356" s="36">
        <f>Table2[[#This Row],[Final Contract Value]]+Table2[[#This Row],[Supervision Contract amount]]+Table2[[#This Row],[Authority Cost]]</f>
        <v>79654309</v>
      </c>
      <c r="AA356" s="36">
        <v>9409120.25</v>
      </c>
      <c r="AB356" s="36">
        <v>180000</v>
      </c>
      <c r="AC356" s="91" t="str">
        <f t="shared" si="18"/>
        <v>https://drive.google.com/thumbnail?id=1ywKHanqfzSMK2cHlLA75K0HmRTEgQa4h&amp;sz=w1000</v>
      </c>
      <c r="AD356" s="172" t="s">
        <v>719</v>
      </c>
      <c r="AE356" s="74" t="str">
        <f t="shared" si="19"/>
        <v>https://drive.google.com/thumbnail?id=12sTUZOMQU8Yb4ZMfjTWU89XE7G6Mx5fV&amp;sz=w1000</v>
      </c>
      <c r="AF356" s="172" t="s">
        <v>720</v>
      </c>
      <c r="AG356" s="73" t="str">
        <f t="shared" si="20"/>
        <v>https://drive.google.com/thumbnail?id=1q1S8kM3uWaJrbD9mRZ_cWxaj0alzeKgN&amp;sz=w1000</v>
      </c>
      <c r="AH356" s="172" t="s">
        <v>721</v>
      </c>
    </row>
    <row r="357" spans="1:34" ht="22.15" customHeight="1">
      <c r="A357" s="30">
        <v>45534</v>
      </c>
      <c r="B357" s="17" t="s">
        <v>247</v>
      </c>
      <c r="C357" s="17" t="s">
        <v>11</v>
      </c>
      <c r="D357" s="16" t="str" cm="1">
        <f t="array" ref="D357">_xlfn.XLOOKUP(1, (Table1[Project Name]=Table2[[#This Row],[Project ID]])*(Table1[Plot]=Table2[[#This Row],[Plot]]), Table1[Project ID])</f>
        <v>SC-03</v>
      </c>
      <c r="E357" s="69">
        <v>275</v>
      </c>
      <c r="F357" s="70">
        <v>272</v>
      </c>
      <c r="G357" s="69">
        <f>Table2[[#This Row],[Time Elapsed]]+Table2[[#This Row],[Time Remaining]]</f>
        <v>547</v>
      </c>
      <c r="H357" s="159" t="s">
        <v>695</v>
      </c>
      <c r="I357" s="159" t="s">
        <v>693</v>
      </c>
      <c r="J357" s="160">
        <v>7.6499999999999999E-2</v>
      </c>
      <c r="K357" s="161">
        <v>0.1767</v>
      </c>
      <c r="L357" s="13">
        <f>Table2[[#This Row],[Actual %]]-Table2[[#This Row],[Plan %]]</f>
        <v>0.1002</v>
      </c>
      <c r="M357" s="165" t="s">
        <v>287</v>
      </c>
      <c r="N357" s="12">
        <v>45502</v>
      </c>
      <c r="O357" s="12">
        <v>45463</v>
      </c>
      <c r="P357" s="12"/>
      <c r="Q357" s="12">
        <v>45534</v>
      </c>
      <c r="R357" s="159" t="s">
        <v>700</v>
      </c>
      <c r="S357" s="159" t="s">
        <v>701</v>
      </c>
      <c r="T357" s="164" t="s">
        <v>708</v>
      </c>
      <c r="U357" s="122">
        <v>78077600</v>
      </c>
      <c r="V357" s="36">
        <v>0</v>
      </c>
      <c r="W357" s="36">
        <f>Table2[[#This Row],[Construction Contract Amount]]+Table2[[#This Row],[Cumulative Variations]]</f>
        <v>78077600</v>
      </c>
      <c r="X357" s="36">
        <v>1576709</v>
      </c>
      <c r="Y357" s="36">
        <v>0</v>
      </c>
      <c r="Z357" s="36">
        <f>Table2[[#This Row],[Final Contract Value]]+Table2[[#This Row],[Supervision Contract amount]]+Table2[[#This Row],[Authority Cost]]</f>
        <v>79654309</v>
      </c>
      <c r="AA357" s="36">
        <v>9409120.25</v>
      </c>
      <c r="AB357" s="36">
        <v>180000</v>
      </c>
      <c r="AC357" s="91" t="str">
        <f t="shared" si="18"/>
        <v>https://drive.google.com/thumbnail?id=1ywKHanqfzSMK2cHlLA75K0HmRTEgQa4h&amp;sz=w1000</v>
      </c>
      <c r="AD357" s="172" t="s">
        <v>719</v>
      </c>
      <c r="AE357" s="74" t="str">
        <f t="shared" si="19"/>
        <v>https://drive.google.com/thumbnail?id=12sTUZOMQU8Yb4ZMfjTWU89XE7G6Mx5fV&amp;sz=w1000</v>
      </c>
      <c r="AF357" s="172" t="s">
        <v>720</v>
      </c>
      <c r="AG357" s="73" t="str">
        <f t="shared" si="20"/>
        <v>https://drive.google.com/thumbnail?id=1q1S8kM3uWaJrbD9mRZ_cWxaj0alzeKgN&amp;sz=w1000</v>
      </c>
      <c r="AH357" s="172" t="s">
        <v>721</v>
      </c>
    </row>
    <row r="358" spans="1:34" ht="22.15" customHeight="1">
      <c r="A358" s="30">
        <v>45534</v>
      </c>
      <c r="B358" s="17" t="s">
        <v>247</v>
      </c>
      <c r="C358" s="17" t="s">
        <v>11</v>
      </c>
      <c r="D358" s="16" t="str" cm="1">
        <f t="array" ref="D358">_xlfn.XLOOKUP(1, (Table1[Project Name]=Table2[[#This Row],[Project ID]])*(Table1[Plot]=Table2[[#This Row],[Plot]]), Table1[Project ID])</f>
        <v>SC-03</v>
      </c>
      <c r="E358" s="69">
        <v>275</v>
      </c>
      <c r="F358" s="70">
        <v>272</v>
      </c>
      <c r="G358" s="69">
        <f>Table2[[#This Row],[Time Elapsed]]+Table2[[#This Row],[Time Remaining]]</f>
        <v>547</v>
      </c>
      <c r="H358" s="159" t="s">
        <v>695</v>
      </c>
      <c r="I358" s="159" t="s">
        <v>693</v>
      </c>
      <c r="J358" s="160">
        <v>7.6499999999999999E-2</v>
      </c>
      <c r="K358" s="161">
        <v>0.1767</v>
      </c>
      <c r="L358" s="13">
        <f>Table2[[#This Row],[Actual %]]-Table2[[#This Row],[Plan %]]</f>
        <v>0.1002</v>
      </c>
      <c r="M358" s="165" t="s">
        <v>703</v>
      </c>
      <c r="N358" s="12">
        <v>45579</v>
      </c>
      <c r="O358" s="12"/>
      <c r="P358" s="12">
        <v>45548</v>
      </c>
      <c r="Q358" s="12">
        <v>45534</v>
      </c>
      <c r="R358" s="159" t="s">
        <v>700</v>
      </c>
      <c r="S358" s="159" t="s">
        <v>701</v>
      </c>
      <c r="T358" s="164" t="s">
        <v>708</v>
      </c>
      <c r="U358" s="122">
        <v>78077600</v>
      </c>
      <c r="V358" s="36">
        <v>0</v>
      </c>
      <c r="W358" s="36">
        <f>Table2[[#This Row],[Construction Contract Amount]]+Table2[[#This Row],[Cumulative Variations]]</f>
        <v>78077600</v>
      </c>
      <c r="X358" s="36">
        <v>1576709</v>
      </c>
      <c r="Y358" s="36">
        <v>0</v>
      </c>
      <c r="Z358" s="36">
        <f>Table2[[#This Row],[Final Contract Value]]+Table2[[#This Row],[Supervision Contract amount]]+Table2[[#This Row],[Authority Cost]]</f>
        <v>79654309</v>
      </c>
      <c r="AA358" s="36">
        <v>9409120.25</v>
      </c>
      <c r="AB358" s="36">
        <v>180000</v>
      </c>
      <c r="AC358" s="91" t="str">
        <f t="shared" si="18"/>
        <v>https://drive.google.com/thumbnail?id=1ywKHanqfzSMK2cHlLA75K0HmRTEgQa4h&amp;sz=w1000</v>
      </c>
      <c r="AD358" s="172" t="s">
        <v>719</v>
      </c>
      <c r="AE358" s="74" t="str">
        <f t="shared" si="19"/>
        <v>https://drive.google.com/thumbnail?id=12sTUZOMQU8Yb4ZMfjTWU89XE7G6Mx5fV&amp;sz=w1000</v>
      </c>
      <c r="AF358" s="172" t="s">
        <v>720</v>
      </c>
      <c r="AG358" s="73" t="str">
        <f t="shared" si="20"/>
        <v>https://drive.google.com/thumbnail?id=1q1S8kM3uWaJrbD9mRZ_cWxaj0alzeKgN&amp;sz=w1000</v>
      </c>
      <c r="AH358" s="172" t="s">
        <v>721</v>
      </c>
    </row>
    <row r="359" spans="1:34" ht="22.15" customHeight="1">
      <c r="A359" s="30">
        <v>45534</v>
      </c>
      <c r="B359" s="17" t="s">
        <v>247</v>
      </c>
      <c r="C359" s="17" t="s">
        <v>11</v>
      </c>
      <c r="D359" s="16" t="str" cm="1">
        <f t="array" ref="D359">_xlfn.XLOOKUP(1, (Table1[Project Name]=Table2[[#This Row],[Project ID]])*(Table1[Plot]=Table2[[#This Row],[Plot]]), Table1[Project ID])</f>
        <v>SC-03</v>
      </c>
      <c r="E359" s="69">
        <v>275</v>
      </c>
      <c r="F359" s="70">
        <v>272</v>
      </c>
      <c r="G359" s="69">
        <f>Table2[[#This Row],[Time Elapsed]]+Table2[[#This Row],[Time Remaining]]</f>
        <v>547</v>
      </c>
      <c r="H359" s="159" t="s">
        <v>695</v>
      </c>
      <c r="I359" s="159" t="s">
        <v>693</v>
      </c>
      <c r="J359" s="160">
        <v>7.6499999999999999E-2</v>
      </c>
      <c r="K359" s="161">
        <v>0.1767</v>
      </c>
      <c r="L359" s="13">
        <f>Table2[[#This Row],[Actual %]]-Table2[[#This Row],[Plan %]]</f>
        <v>0.1002</v>
      </c>
      <c r="M359" s="165" t="s">
        <v>704</v>
      </c>
      <c r="N359" s="12">
        <v>45677</v>
      </c>
      <c r="O359" s="12"/>
      <c r="P359" s="12">
        <v>45614</v>
      </c>
      <c r="Q359" s="12">
        <v>45534</v>
      </c>
      <c r="R359" s="159" t="s">
        <v>700</v>
      </c>
      <c r="S359" s="159" t="s">
        <v>701</v>
      </c>
      <c r="T359" s="164" t="s">
        <v>708</v>
      </c>
      <c r="U359" s="122">
        <v>78077600</v>
      </c>
      <c r="V359" s="36">
        <v>0</v>
      </c>
      <c r="W359" s="36">
        <f>Table2[[#This Row],[Construction Contract Amount]]+Table2[[#This Row],[Cumulative Variations]]</f>
        <v>78077600</v>
      </c>
      <c r="X359" s="36">
        <v>1576709</v>
      </c>
      <c r="Y359" s="36">
        <v>0</v>
      </c>
      <c r="Z359" s="36">
        <f>Table2[[#This Row],[Final Contract Value]]+Table2[[#This Row],[Supervision Contract amount]]+Table2[[#This Row],[Authority Cost]]</f>
        <v>79654309</v>
      </c>
      <c r="AA359" s="36">
        <v>9409120.25</v>
      </c>
      <c r="AB359" s="36">
        <v>180000</v>
      </c>
      <c r="AC359" s="91" t="str">
        <f t="shared" si="18"/>
        <v>https://drive.google.com/thumbnail?id=1ywKHanqfzSMK2cHlLA75K0HmRTEgQa4h&amp;sz=w1000</v>
      </c>
      <c r="AD359" s="172" t="s">
        <v>719</v>
      </c>
      <c r="AE359" s="74" t="str">
        <f t="shared" si="19"/>
        <v>https://drive.google.com/thumbnail?id=12sTUZOMQU8Yb4ZMfjTWU89XE7G6Mx5fV&amp;sz=w1000</v>
      </c>
      <c r="AF359" s="172" t="s">
        <v>720</v>
      </c>
      <c r="AG359" s="73" t="str">
        <f t="shared" si="20"/>
        <v>https://drive.google.com/thumbnail?id=1q1S8kM3uWaJrbD9mRZ_cWxaj0alzeKgN&amp;sz=w1000</v>
      </c>
      <c r="AH359" s="172" t="s">
        <v>721</v>
      </c>
    </row>
    <row r="360" spans="1:34" ht="22.15" customHeight="1">
      <c r="A360" s="30">
        <v>45534</v>
      </c>
      <c r="B360" s="17" t="s">
        <v>247</v>
      </c>
      <c r="C360" s="17" t="s">
        <v>11</v>
      </c>
      <c r="D360" s="16" t="str" cm="1">
        <f t="array" ref="D360">_xlfn.XLOOKUP(1, (Table1[Project Name]=Table2[[#This Row],[Project ID]])*(Table1[Plot]=Table2[[#This Row],[Plot]]), Table1[Project ID])</f>
        <v>SC-03</v>
      </c>
      <c r="E360" s="69">
        <v>275</v>
      </c>
      <c r="F360" s="70">
        <v>272</v>
      </c>
      <c r="G360" s="69">
        <f>Table2[[#This Row],[Time Elapsed]]+Table2[[#This Row],[Time Remaining]]</f>
        <v>547</v>
      </c>
      <c r="H360" s="159" t="s">
        <v>695</v>
      </c>
      <c r="I360" s="159" t="s">
        <v>693</v>
      </c>
      <c r="J360" s="160">
        <v>7.6499999999999999E-2</v>
      </c>
      <c r="K360" s="161">
        <v>0.1767</v>
      </c>
      <c r="L360" s="13">
        <f>Table2[[#This Row],[Actual %]]-Table2[[#This Row],[Plan %]]</f>
        <v>0.1002</v>
      </c>
      <c r="M360" s="165" t="s">
        <v>705</v>
      </c>
      <c r="N360" s="12">
        <v>45580</v>
      </c>
      <c r="O360" s="12">
        <v>45472</v>
      </c>
      <c r="P360" s="12"/>
      <c r="Q360" s="12">
        <v>45534</v>
      </c>
      <c r="R360" s="159" t="s">
        <v>700</v>
      </c>
      <c r="S360" s="159" t="s">
        <v>701</v>
      </c>
      <c r="T360" s="164" t="s">
        <v>708</v>
      </c>
      <c r="U360" s="122">
        <v>78077600</v>
      </c>
      <c r="V360" s="36">
        <v>0</v>
      </c>
      <c r="W360" s="36">
        <f>Table2[[#This Row],[Construction Contract Amount]]+Table2[[#This Row],[Cumulative Variations]]</f>
        <v>78077600</v>
      </c>
      <c r="X360" s="36">
        <v>1576709</v>
      </c>
      <c r="Y360" s="36">
        <v>0</v>
      </c>
      <c r="Z360" s="36">
        <f>Table2[[#This Row],[Final Contract Value]]+Table2[[#This Row],[Supervision Contract amount]]+Table2[[#This Row],[Authority Cost]]</f>
        <v>79654309</v>
      </c>
      <c r="AA360" s="36">
        <v>9409120.25</v>
      </c>
      <c r="AB360" s="36">
        <v>180000</v>
      </c>
      <c r="AC360" s="91" t="str">
        <f t="shared" si="18"/>
        <v>https://drive.google.com/thumbnail?id=1ywKHanqfzSMK2cHlLA75K0HmRTEgQa4h&amp;sz=w1000</v>
      </c>
      <c r="AD360" s="172" t="s">
        <v>719</v>
      </c>
      <c r="AE360" s="74" t="str">
        <f t="shared" si="19"/>
        <v>https://drive.google.com/thumbnail?id=12sTUZOMQU8Yb4ZMfjTWU89XE7G6Mx5fV&amp;sz=w1000</v>
      </c>
      <c r="AF360" s="172" t="s">
        <v>720</v>
      </c>
      <c r="AG360" s="73" t="str">
        <f t="shared" si="20"/>
        <v>https://drive.google.com/thumbnail?id=1q1S8kM3uWaJrbD9mRZ_cWxaj0alzeKgN&amp;sz=w1000</v>
      </c>
      <c r="AH360" s="172" t="s">
        <v>721</v>
      </c>
    </row>
    <row r="361" spans="1:34" ht="22.15" customHeight="1">
      <c r="A361" s="30">
        <v>45534</v>
      </c>
      <c r="B361" s="17" t="s">
        <v>247</v>
      </c>
      <c r="C361" s="17" t="s">
        <v>11</v>
      </c>
      <c r="D361" s="16" t="str" cm="1">
        <f t="array" ref="D361">_xlfn.XLOOKUP(1, (Table1[Project Name]=Table2[[#This Row],[Project ID]])*(Table1[Plot]=Table2[[#This Row],[Plot]]), Table1[Project ID])</f>
        <v>SC-03</v>
      </c>
      <c r="E361" s="69">
        <v>275</v>
      </c>
      <c r="F361" s="70">
        <v>272</v>
      </c>
      <c r="G361" s="69">
        <f>Table2[[#This Row],[Time Elapsed]]+Table2[[#This Row],[Time Remaining]]</f>
        <v>547</v>
      </c>
      <c r="H361" s="159" t="s">
        <v>695</v>
      </c>
      <c r="I361" s="159" t="s">
        <v>693</v>
      </c>
      <c r="J361" s="160">
        <v>7.6499999999999999E-2</v>
      </c>
      <c r="K361" s="161">
        <v>0.1767</v>
      </c>
      <c r="L361" s="13">
        <f>Table2[[#This Row],[Actual %]]-Table2[[#This Row],[Plan %]]</f>
        <v>0.1002</v>
      </c>
      <c r="M361" s="165" t="s">
        <v>706</v>
      </c>
      <c r="N361" s="12">
        <v>45671</v>
      </c>
      <c r="O361" s="12"/>
      <c r="P361" s="12">
        <v>45591</v>
      </c>
      <c r="Q361" s="12">
        <v>45534</v>
      </c>
      <c r="R361" s="159" t="s">
        <v>700</v>
      </c>
      <c r="S361" s="159" t="s">
        <v>701</v>
      </c>
      <c r="T361" s="164" t="s">
        <v>708</v>
      </c>
      <c r="U361" s="122">
        <v>78077600</v>
      </c>
      <c r="V361" s="36">
        <v>0</v>
      </c>
      <c r="W361" s="36">
        <f>Table2[[#This Row],[Construction Contract Amount]]+Table2[[#This Row],[Cumulative Variations]]</f>
        <v>78077600</v>
      </c>
      <c r="X361" s="36">
        <v>1576709</v>
      </c>
      <c r="Y361" s="36">
        <v>0</v>
      </c>
      <c r="Z361" s="36">
        <f>Table2[[#This Row],[Final Contract Value]]+Table2[[#This Row],[Supervision Contract amount]]+Table2[[#This Row],[Authority Cost]]</f>
        <v>79654309</v>
      </c>
      <c r="AA361" s="36">
        <v>9409120.25</v>
      </c>
      <c r="AB361" s="36">
        <v>180000</v>
      </c>
      <c r="AC361" s="91" t="str">
        <f t="shared" si="18"/>
        <v>https://drive.google.com/thumbnail?id=1ywKHanqfzSMK2cHlLA75K0HmRTEgQa4h&amp;sz=w1000</v>
      </c>
      <c r="AD361" s="172" t="s">
        <v>719</v>
      </c>
      <c r="AE361" s="74" t="str">
        <f t="shared" si="19"/>
        <v>https://drive.google.com/thumbnail?id=12sTUZOMQU8Yb4ZMfjTWU89XE7G6Mx5fV&amp;sz=w1000</v>
      </c>
      <c r="AF361" s="172" t="s">
        <v>720</v>
      </c>
      <c r="AG361" s="73" t="str">
        <f t="shared" si="20"/>
        <v>https://drive.google.com/thumbnail?id=1q1S8kM3uWaJrbD9mRZ_cWxaj0alzeKgN&amp;sz=w1000</v>
      </c>
      <c r="AH361" s="172" t="s">
        <v>721</v>
      </c>
    </row>
    <row r="362" spans="1:34" ht="22.15" customHeight="1">
      <c r="A362" s="30">
        <v>45534</v>
      </c>
      <c r="B362" s="17" t="s">
        <v>247</v>
      </c>
      <c r="C362" s="17" t="s">
        <v>11</v>
      </c>
      <c r="D362" s="16" t="str" cm="1">
        <f t="array" ref="D362">_xlfn.XLOOKUP(1, (Table1[Project Name]=Table2[[#This Row],[Project ID]])*(Table1[Plot]=Table2[[#This Row],[Plot]]), Table1[Project ID])</f>
        <v>SC-03</v>
      </c>
      <c r="E362" s="69">
        <v>275</v>
      </c>
      <c r="F362" s="70">
        <v>272</v>
      </c>
      <c r="G362" s="69">
        <f>Table2[[#This Row],[Time Elapsed]]+Table2[[#This Row],[Time Remaining]]</f>
        <v>547</v>
      </c>
      <c r="H362" s="159" t="s">
        <v>695</v>
      </c>
      <c r="I362" s="159" t="s">
        <v>693</v>
      </c>
      <c r="J362" s="160">
        <v>7.6499999999999999E-2</v>
      </c>
      <c r="K362" s="161">
        <v>0.1767</v>
      </c>
      <c r="L362" s="13">
        <f>Table2[[#This Row],[Actual %]]-Table2[[#This Row],[Plan %]]</f>
        <v>0.1002</v>
      </c>
      <c r="M362" s="165" t="s">
        <v>280</v>
      </c>
      <c r="N362" s="12">
        <v>45757</v>
      </c>
      <c r="O362" s="12"/>
      <c r="P362" s="12">
        <v>45792</v>
      </c>
      <c r="Q362" s="12">
        <v>45534</v>
      </c>
      <c r="R362" s="159" t="s">
        <v>700</v>
      </c>
      <c r="S362" s="159" t="s">
        <v>701</v>
      </c>
      <c r="T362" s="164" t="s">
        <v>708</v>
      </c>
      <c r="U362" s="122">
        <v>78077600</v>
      </c>
      <c r="V362" s="36">
        <v>0</v>
      </c>
      <c r="W362" s="36">
        <f>Table2[[#This Row],[Construction Contract Amount]]+Table2[[#This Row],[Cumulative Variations]]</f>
        <v>78077600</v>
      </c>
      <c r="X362" s="36">
        <v>1576709</v>
      </c>
      <c r="Y362" s="36">
        <v>0</v>
      </c>
      <c r="Z362" s="36">
        <f>Table2[[#This Row],[Final Contract Value]]+Table2[[#This Row],[Supervision Contract amount]]+Table2[[#This Row],[Authority Cost]]</f>
        <v>79654309</v>
      </c>
      <c r="AA362" s="36">
        <v>9409120.25</v>
      </c>
      <c r="AB362" s="36">
        <v>180000</v>
      </c>
      <c r="AC362" s="91" t="str">
        <f t="shared" si="18"/>
        <v>https://drive.google.com/thumbnail?id=1ywKHanqfzSMK2cHlLA75K0HmRTEgQa4h&amp;sz=w1000</v>
      </c>
      <c r="AD362" s="172" t="s">
        <v>719</v>
      </c>
      <c r="AE362" s="74" t="str">
        <f t="shared" si="19"/>
        <v>https://drive.google.com/thumbnail?id=12sTUZOMQU8Yb4ZMfjTWU89XE7G6Mx5fV&amp;sz=w1000</v>
      </c>
      <c r="AF362" s="172" t="s">
        <v>720</v>
      </c>
      <c r="AG362" s="73" t="str">
        <f t="shared" si="20"/>
        <v>https://drive.google.com/thumbnail?id=1q1S8kM3uWaJrbD9mRZ_cWxaj0alzeKgN&amp;sz=w1000</v>
      </c>
      <c r="AH362" s="172" t="s">
        <v>721</v>
      </c>
    </row>
    <row r="363" spans="1:34" ht="22.15" customHeight="1">
      <c r="A363" s="30">
        <v>45534</v>
      </c>
      <c r="B363" s="17" t="s">
        <v>247</v>
      </c>
      <c r="C363" s="17" t="s">
        <v>11</v>
      </c>
      <c r="D363" s="16" t="str" cm="1">
        <f t="array" ref="D363">_xlfn.XLOOKUP(1, (Table1[Project Name]=Table2[[#This Row],[Project ID]])*(Table1[Plot]=Table2[[#This Row],[Plot]]), Table1[Project ID])</f>
        <v>SC-03</v>
      </c>
      <c r="E363" s="69">
        <v>275</v>
      </c>
      <c r="F363" s="70">
        <v>272</v>
      </c>
      <c r="G363" s="69">
        <f>Table2[[#This Row],[Time Elapsed]]+Table2[[#This Row],[Time Remaining]]</f>
        <v>547</v>
      </c>
      <c r="H363" s="159" t="s">
        <v>695</v>
      </c>
      <c r="I363" s="159" t="s">
        <v>693</v>
      </c>
      <c r="J363" s="160">
        <v>7.6499999999999999E-2</v>
      </c>
      <c r="K363" s="161">
        <v>0.1767</v>
      </c>
      <c r="L363" s="13">
        <f>Table2[[#This Row],[Actual %]]-Table2[[#This Row],[Plan %]]</f>
        <v>0.1002</v>
      </c>
      <c r="M363" s="165" t="s">
        <v>343</v>
      </c>
      <c r="N363" s="12">
        <v>45776</v>
      </c>
      <c r="O363" s="12"/>
      <c r="P363" s="12">
        <v>45803</v>
      </c>
      <c r="Q363" s="12">
        <v>45534</v>
      </c>
      <c r="R363" s="159" t="s">
        <v>700</v>
      </c>
      <c r="S363" s="159" t="s">
        <v>701</v>
      </c>
      <c r="T363" s="164" t="s">
        <v>708</v>
      </c>
      <c r="U363" s="122">
        <v>78077600</v>
      </c>
      <c r="V363" s="36">
        <v>0</v>
      </c>
      <c r="W363" s="36">
        <f>Table2[[#This Row],[Construction Contract Amount]]+Table2[[#This Row],[Cumulative Variations]]</f>
        <v>78077600</v>
      </c>
      <c r="X363" s="36">
        <v>1576709</v>
      </c>
      <c r="Y363" s="36">
        <v>0</v>
      </c>
      <c r="Z363" s="36">
        <f>Table2[[#This Row],[Final Contract Value]]+Table2[[#This Row],[Supervision Contract amount]]+Table2[[#This Row],[Authority Cost]]</f>
        <v>79654309</v>
      </c>
      <c r="AA363" s="36">
        <v>9409120.25</v>
      </c>
      <c r="AB363" s="36">
        <v>180000</v>
      </c>
      <c r="AC363" s="91" t="str">
        <f t="shared" si="18"/>
        <v>https://drive.google.com/thumbnail?id=1ywKHanqfzSMK2cHlLA75K0HmRTEgQa4h&amp;sz=w1000</v>
      </c>
      <c r="AD363" s="172" t="s">
        <v>719</v>
      </c>
      <c r="AE363" s="74" t="str">
        <f t="shared" si="19"/>
        <v>https://drive.google.com/thumbnail?id=12sTUZOMQU8Yb4ZMfjTWU89XE7G6Mx5fV&amp;sz=w1000</v>
      </c>
      <c r="AF363" s="172" t="s">
        <v>720</v>
      </c>
      <c r="AG363" s="73" t="str">
        <f t="shared" si="20"/>
        <v>https://drive.google.com/thumbnail?id=1q1S8kM3uWaJrbD9mRZ_cWxaj0alzeKgN&amp;sz=w1000</v>
      </c>
      <c r="AH363" s="172" t="s">
        <v>721</v>
      </c>
    </row>
    <row r="364" spans="1:34" ht="22.15" customHeight="1">
      <c r="A364" s="30">
        <v>45534</v>
      </c>
      <c r="B364" s="17" t="s">
        <v>247</v>
      </c>
      <c r="C364" s="17" t="s">
        <v>11</v>
      </c>
      <c r="D364" s="16" t="str" cm="1">
        <f t="array" ref="D364">_xlfn.XLOOKUP(1, (Table1[Project Name]=Table2[[#This Row],[Project ID]])*(Table1[Plot]=Table2[[#This Row],[Plot]]), Table1[Project ID])</f>
        <v>SC-03</v>
      </c>
      <c r="E364" s="69">
        <v>275</v>
      </c>
      <c r="F364" s="70">
        <v>272</v>
      </c>
      <c r="G364" s="69">
        <f>Table2[[#This Row],[Time Elapsed]]+Table2[[#This Row],[Time Remaining]]</f>
        <v>547</v>
      </c>
      <c r="H364" s="159" t="s">
        <v>695</v>
      </c>
      <c r="I364" s="159" t="s">
        <v>693</v>
      </c>
      <c r="J364" s="160">
        <v>7.6499999999999999E-2</v>
      </c>
      <c r="K364" s="161">
        <v>0.1767</v>
      </c>
      <c r="L364" s="13">
        <f>Table2[[#This Row],[Actual %]]-Table2[[#This Row],[Plan %]]</f>
        <v>0.1002</v>
      </c>
      <c r="M364" s="165" t="s">
        <v>344</v>
      </c>
      <c r="N364" s="12">
        <v>45793</v>
      </c>
      <c r="O364" s="12"/>
      <c r="P364" s="12">
        <v>45824</v>
      </c>
      <c r="Q364" s="12">
        <v>45534</v>
      </c>
      <c r="R364" s="159" t="s">
        <v>700</v>
      </c>
      <c r="S364" s="159" t="s">
        <v>701</v>
      </c>
      <c r="T364" s="164" t="s">
        <v>708</v>
      </c>
      <c r="U364" s="122">
        <v>78077600</v>
      </c>
      <c r="V364" s="36">
        <v>0</v>
      </c>
      <c r="W364" s="36">
        <f>Table2[[#This Row],[Construction Contract Amount]]+Table2[[#This Row],[Cumulative Variations]]</f>
        <v>78077600</v>
      </c>
      <c r="X364" s="36">
        <v>1576709</v>
      </c>
      <c r="Y364" s="36">
        <v>0</v>
      </c>
      <c r="Z364" s="36">
        <f>Table2[[#This Row],[Final Contract Value]]+Table2[[#This Row],[Supervision Contract amount]]+Table2[[#This Row],[Authority Cost]]</f>
        <v>79654309</v>
      </c>
      <c r="AA364" s="36">
        <v>9409120.25</v>
      </c>
      <c r="AB364" s="36">
        <v>180000</v>
      </c>
      <c r="AC364" s="91" t="str">
        <f t="shared" si="18"/>
        <v>https://drive.google.com/thumbnail?id=1ywKHanqfzSMK2cHlLA75K0HmRTEgQa4h&amp;sz=w1000</v>
      </c>
      <c r="AD364" s="172" t="s">
        <v>719</v>
      </c>
      <c r="AE364" s="74" t="str">
        <f t="shared" si="19"/>
        <v>https://drive.google.com/thumbnail?id=12sTUZOMQU8Yb4ZMfjTWU89XE7G6Mx5fV&amp;sz=w1000</v>
      </c>
      <c r="AF364" s="172" t="s">
        <v>720</v>
      </c>
      <c r="AG364" s="73" t="str">
        <f t="shared" si="20"/>
        <v>https://drive.google.com/thumbnail?id=1q1S8kM3uWaJrbD9mRZ_cWxaj0alzeKgN&amp;sz=w1000</v>
      </c>
      <c r="AH364" s="172" t="s">
        <v>721</v>
      </c>
    </row>
    <row r="365" spans="1:34" ht="22.15" customHeight="1">
      <c r="A365" s="30">
        <v>45534</v>
      </c>
      <c r="B365" s="17" t="s">
        <v>247</v>
      </c>
      <c r="C365" s="17" t="s">
        <v>11</v>
      </c>
      <c r="D365" s="16" t="str" cm="1">
        <f t="array" ref="D365">_xlfn.XLOOKUP(1, (Table1[Project Name]=Table2[[#This Row],[Project ID]])*(Table1[Plot]=Table2[[#This Row],[Plot]]), Table1[Project ID])</f>
        <v>SC-03</v>
      </c>
      <c r="E365" s="69">
        <v>275</v>
      </c>
      <c r="F365" s="70">
        <v>272</v>
      </c>
      <c r="G365" s="69">
        <f>Table2[[#This Row],[Time Elapsed]]+Table2[[#This Row],[Time Remaining]]</f>
        <v>547</v>
      </c>
      <c r="H365" s="159" t="s">
        <v>695</v>
      </c>
      <c r="I365" s="159" t="s">
        <v>693</v>
      </c>
      <c r="J365" s="160">
        <v>7.6499999999999999E-2</v>
      </c>
      <c r="K365" s="161">
        <v>0.1767</v>
      </c>
      <c r="L365" s="13">
        <f>Table2[[#This Row],[Actual %]]-Table2[[#This Row],[Plan %]]</f>
        <v>0.1002</v>
      </c>
      <c r="M365" s="165" t="s">
        <v>302</v>
      </c>
      <c r="N365" s="12">
        <v>45806</v>
      </c>
      <c r="O365" s="12"/>
      <c r="P365" s="12">
        <v>45838</v>
      </c>
      <c r="Q365" s="12">
        <v>45534</v>
      </c>
      <c r="R365" s="159" t="s">
        <v>700</v>
      </c>
      <c r="S365" s="159" t="s">
        <v>701</v>
      </c>
      <c r="T365" s="164" t="s">
        <v>708</v>
      </c>
      <c r="U365" s="122">
        <v>78077600</v>
      </c>
      <c r="V365" s="36">
        <v>0</v>
      </c>
      <c r="W365" s="36">
        <f>Table2[[#This Row],[Construction Contract Amount]]+Table2[[#This Row],[Cumulative Variations]]</f>
        <v>78077600</v>
      </c>
      <c r="X365" s="36">
        <v>1576709</v>
      </c>
      <c r="Y365" s="36">
        <v>0</v>
      </c>
      <c r="Z365" s="36">
        <f>Table2[[#This Row],[Final Contract Value]]+Table2[[#This Row],[Supervision Contract amount]]+Table2[[#This Row],[Authority Cost]]</f>
        <v>79654309</v>
      </c>
      <c r="AA365" s="36">
        <v>9409120.25</v>
      </c>
      <c r="AB365" s="36">
        <v>180000</v>
      </c>
      <c r="AC365" s="91" t="str">
        <f t="shared" si="18"/>
        <v>https://drive.google.com/thumbnail?id=1ywKHanqfzSMK2cHlLA75K0HmRTEgQa4h&amp;sz=w1000</v>
      </c>
      <c r="AD365" s="172" t="s">
        <v>719</v>
      </c>
      <c r="AE365" s="74" t="str">
        <f t="shared" si="19"/>
        <v>https://drive.google.com/thumbnail?id=12sTUZOMQU8Yb4ZMfjTWU89XE7G6Mx5fV&amp;sz=w1000</v>
      </c>
      <c r="AF365" s="172" t="s">
        <v>720</v>
      </c>
      <c r="AG365" s="73" t="str">
        <f t="shared" si="20"/>
        <v>https://drive.google.com/thumbnail?id=1q1S8kM3uWaJrbD9mRZ_cWxaj0alzeKgN&amp;sz=w1000</v>
      </c>
      <c r="AH365" s="172" t="s">
        <v>721</v>
      </c>
    </row>
    <row r="366" spans="1:34" ht="22.15" customHeight="1">
      <c r="A366" s="30">
        <v>45534</v>
      </c>
      <c r="B366" s="17" t="s">
        <v>251</v>
      </c>
      <c r="C366" s="17" t="s">
        <v>253</v>
      </c>
      <c r="D366" s="16" t="str" cm="1">
        <f t="array" ref="D366">_xlfn.XLOOKUP(1, (Table1[Project Name]=Table2[[#This Row],[Project ID]])*(Table1[Plot]=Table2[[#This Row],[Plot]]), Table1[Project ID])</f>
        <v>SC-04</v>
      </c>
      <c r="E366" s="69">
        <v>348</v>
      </c>
      <c r="F366" s="70">
        <v>199</v>
      </c>
      <c r="G366" s="69">
        <f>Table2[[#This Row],[Time Elapsed]]+Table2[[#This Row],[Time Remaining]]</f>
        <v>547</v>
      </c>
      <c r="H366" s="159" t="s">
        <v>696</v>
      </c>
      <c r="I366" s="159" t="s">
        <v>693</v>
      </c>
      <c r="J366" s="160">
        <v>0.23769999999999999</v>
      </c>
      <c r="K366" s="161">
        <v>0.15329999999999999</v>
      </c>
      <c r="L366" s="13">
        <f>Table2[[#This Row],[Actual %]]-Table2[[#This Row],[Plan %]]</f>
        <v>-8.4400000000000003E-2</v>
      </c>
      <c r="M366" s="163" t="s">
        <v>285</v>
      </c>
      <c r="N366" s="12">
        <v>45187</v>
      </c>
      <c r="O366" s="12">
        <v>45195</v>
      </c>
      <c r="P366" s="12"/>
      <c r="Q366" s="12">
        <v>45534</v>
      </c>
      <c r="R366" s="159" t="s">
        <v>700</v>
      </c>
      <c r="S366" s="159" t="s">
        <v>701</v>
      </c>
      <c r="T366" s="164" t="s">
        <v>709</v>
      </c>
      <c r="U366" s="122">
        <v>78077600</v>
      </c>
      <c r="V366" s="36">
        <v>0</v>
      </c>
      <c r="W366" s="36">
        <f>Table2[[#This Row],[Construction Contract Amount]]+Table2[[#This Row],[Cumulative Variations]]</f>
        <v>78077600</v>
      </c>
      <c r="X366" s="36">
        <v>1576709</v>
      </c>
      <c r="Y366" s="36">
        <v>0</v>
      </c>
      <c r="Z366" s="36">
        <f>Table2[[#This Row],[Final Contract Value]]+Table2[[#This Row],[Supervision Contract amount]]+Table2[[#This Row],[Authority Cost]]</f>
        <v>79654309</v>
      </c>
      <c r="AA366" s="36">
        <v>9055227.1500000004</v>
      </c>
      <c r="AB366" s="36">
        <v>180000</v>
      </c>
      <c r="AC366" s="91" t="str">
        <f t="shared" si="18"/>
        <v>https://drive.google.com/thumbnail?id=1a0Y0yLRRfNYWEbl7hjxRwwCR8iQ52iEa&amp;sz=w1000</v>
      </c>
      <c r="AD366" s="172" t="s">
        <v>722</v>
      </c>
      <c r="AE366" s="74" t="str">
        <f t="shared" si="19"/>
        <v>https://drive.google.com/thumbnail?id=1fVGTywNnBvbe_-XZ6i9qc-4BCJw5nmT1&amp;sz=w1000</v>
      </c>
      <c r="AF366" s="172" t="s">
        <v>723</v>
      </c>
      <c r="AG366" s="73" t="str">
        <f t="shared" si="20"/>
        <v>https://drive.google.com/thumbnail?id=14YXw1eE_uNUTiyyJLFE-3TZXAvUd7kRa&amp;sz=w1000</v>
      </c>
      <c r="AH366" s="172" t="s">
        <v>724</v>
      </c>
    </row>
    <row r="367" spans="1:34" ht="22.15" customHeight="1">
      <c r="A367" s="30">
        <v>45534</v>
      </c>
      <c r="B367" s="17" t="s">
        <v>251</v>
      </c>
      <c r="C367" s="17" t="s">
        <v>253</v>
      </c>
      <c r="D367" s="16" t="str" cm="1">
        <f t="array" ref="D367">_xlfn.XLOOKUP(1, (Table1[Project Name]=Table2[[#This Row],[Project ID]])*(Table1[Plot]=Table2[[#This Row],[Plot]]), Table1[Project ID])</f>
        <v>SC-04</v>
      </c>
      <c r="E367" s="69">
        <v>348</v>
      </c>
      <c r="F367" s="70">
        <v>199</v>
      </c>
      <c r="G367" s="69">
        <f>Table2[[#This Row],[Time Elapsed]]+Table2[[#This Row],[Time Remaining]]</f>
        <v>547</v>
      </c>
      <c r="H367" s="159" t="s">
        <v>696</v>
      </c>
      <c r="I367" s="159" t="s">
        <v>693</v>
      </c>
      <c r="J367" s="160">
        <v>0.23769999999999999</v>
      </c>
      <c r="K367" s="161">
        <v>0.15329999999999999</v>
      </c>
      <c r="L367" s="13">
        <f>Table2[[#This Row],[Actual %]]-Table2[[#This Row],[Plan %]]</f>
        <v>-8.4400000000000003E-2</v>
      </c>
      <c r="M367" s="165" t="s">
        <v>51</v>
      </c>
      <c r="N367" s="12">
        <v>45220</v>
      </c>
      <c r="O367" s="12">
        <v>45297</v>
      </c>
      <c r="P367" s="12"/>
      <c r="Q367" s="12">
        <v>45534</v>
      </c>
      <c r="R367" s="159" t="s">
        <v>700</v>
      </c>
      <c r="S367" s="159" t="s">
        <v>701</v>
      </c>
      <c r="T367" s="164" t="s">
        <v>709</v>
      </c>
      <c r="U367" s="122">
        <v>78077600</v>
      </c>
      <c r="V367" s="36">
        <v>0</v>
      </c>
      <c r="W367" s="36">
        <f>Table2[[#This Row],[Construction Contract Amount]]+Table2[[#This Row],[Cumulative Variations]]</f>
        <v>78077600</v>
      </c>
      <c r="X367" s="36">
        <v>1576709</v>
      </c>
      <c r="Y367" s="36">
        <v>0</v>
      </c>
      <c r="Z367" s="36">
        <f>Table2[[#This Row],[Final Contract Value]]+Table2[[#This Row],[Supervision Contract amount]]+Table2[[#This Row],[Authority Cost]]</f>
        <v>79654309</v>
      </c>
      <c r="AA367" s="36">
        <v>9055227.1500000004</v>
      </c>
      <c r="AB367" s="36">
        <v>180000</v>
      </c>
      <c r="AC367" s="91" t="str">
        <f t="shared" si="18"/>
        <v>https://drive.google.com/thumbnail?id=1a0Y0yLRRfNYWEbl7hjxRwwCR8iQ52iEa&amp;sz=w1000</v>
      </c>
      <c r="AD367" s="172" t="s">
        <v>722</v>
      </c>
      <c r="AE367" s="74" t="str">
        <f t="shared" si="19"/>
        <v>https://drive.google.com/thumbnail?id=1fVGTywNnBvbe_-XZ6i9qc-4BCJw5nmT1&amp;sz=w1000</v>
      </c>
      <c r="AF367" s="172" t="s">
        <v>723</v>
      </c>
      <c r="AG367" s="73" t="str">
        <f t="shared" si="20"/>
        <v>https://drive.google.com/thumbnail?id=14YXw1eE_uNUTiyyJLFE-3TZXAvUd7kRa&amp;sz=w1000</v>
      </c>
      <c r="AH367" s="172" t="s">
        <v>724</v>
      </c>
    </row>
    <row r="368" spans="1:34" ht="22.15" customHeight="1">
      <c r="A368" s="30">
        <v>45534</v>
      </c>
      <c r="B368" s="17" t="s">
        <v>251</v>
      </c>
      <c r="C368" s="17" t="s">
        <v>253</v>
      </c>
      <c r="D368" s="16" t="str" cm="1">
        <f t="array" ref="D368">_xlfn.XLOOKUP(1, (Table1[Project Name]=Table2[[#This Row],[Project ID]])*(Table1[Plot]=Table2[[#This Row],[Plot]]), Table1[Project ID])</f>
        <v>SC-04</v>
      </c>
      <c r="E368" s="69">
        <v>348</v>
      </c>
      <c r="F368" s="70">
        <v>199</v>
      </c>
      <c r="G368" s="69">
        <f>Table2[[#This Row],[Time Elapsed]]+Table2[[#This Row],[Time Remaining]]</f>
        <v>547</v>
      </c>
      <c r="H368" s="159" t="s">
        <v>696</v>
      </c>
      <c r="I368" s="159" t="s">
        <v>693</v>
      </c>
      <c r="J368" s="160">
        <v>0.23769999999999999</v>
      </c>
      <c r="K368" s="161">
        <v>0.15329999999999999</v>
      </c>
      <c r="L368" s="13">
        <f>Table2[[#This Row],[Actual %]]-Table2[[#This Row],[Plan %]]</f>
        <v>-8.4400000000000003E-2</v>
      </c>
      <c r="M368" s="165" t="s">
        <v>287</v>
      </c>
      <c r="N368" s="12">
        <v>45429</v>
      </c>
      <c r="O368" s="12">
        <v>45463</v>
      </c>
      <c r="P368" s="12"/>
      <c r="Q368" s="12">
        <v>45534</v>
      </c>
      <c r="R368" s="159" t="s">
        <v>700</v>
      </c>
      <c r="S368" s="159" t="s">
        <v>701</v>
      </c>
      <c r="T368" s="164" t="s">
        <v>709</v>
      </c>
      <c r="U368" s="122">
        <v>78077600</v>
      </c>
      <c r="V368" s="36">
        <v>0</v>
      </c>
      <c r="W368" s="36">
        <f>Table2[[#This Row],[Construction Contract Amount]]+Table2[[#This Row],[Cumulative Variations]]</f>
        <v>78077600</v>
      </c>
      <c r="X368" s="36">
        <v>1576709</v>
      </c>
      <c r="Y368" s="36">
        <v>0</v>
      </c>
      <c r="Z368" s="36">
        <f>Table2[[#This Row],[Final Contract Value]]+Table2[[#This Row],[Supervision Contract amount]]+Table2[[#This Row],[Authority Cost]]</f>
        <v>79654309</v>
      </c>
      <c r="AA368" s="36">
        <v>9055227.1500000004</v>
      </c>
      <c r="AB368" s="36">
        <v>180000</v>
      </c>
      <c r="AC368" s="91" t="str">
        <f t="shared" si="18"/>
        <v>https://drive.google.com/thumbnail?id=1a0Y0yLRRfNYWEbl7hjxRwwCR8iQ52iEa&amp;sz=w1000</v>
      </c>
      <c r="AD368" s="172" t="s">
        <v>722</v>
      </c>
      <c r="AE368" s="74" t="str">
        <f t="shared" si="19"/>
        <v>https://drive.google.com/thumbnail?id=1fVGTywNnBvbe_-XZ6i9qc-4BCJw5nmT1&amp;sz=w1000</v>
      </c>
      <c r="AF368" s="172" t="s">
        <v>723</v>
      </c>
      <c r="AG368" s="73" t="str">
        <f t="shared" si="20"/>
        <v>https://drive.google.com/thumbnail?id=14YXw1eE_uNUTiyyJLFE-3TZXAvUd7kRa&amp;sz=w1000</v>
      </c>
      <c r="AH368" s="172" t="s">
        <v>724</v>
      </c>
    </row>
    <row r="369" spans="1:34" ht="22.15" customHeight="1">
      <c r="A369" s="30">
        <v>45534</v>
      </c>
      <c r="B369" s="17" t="s">
        <v>251</v>
      </c>
      <c r="C369" s="17" t="s">
        <v>253</v>
      </c>
      <c r="D369" s="16" t="str" cm="1">
        <f t="array" ref="D369">_xlfn.XLOOKUP(1, (Table1[Project Name]=Table2[[#This Row],[Project ID]])*(Table1[Plot]=Table2[[#This Row],[Plot]]), Table1[Project ID])</f>
        <v>SC-04</v>
      </c>
      <c r="E369" s="69">
        <v>348</v>
      </c>
      <c r="F369" s="70">
        <v>199</v>
      </c>
      <c r="G369" s="69">
        <f>Table2[[#This Row],[Time Elapsed]]+Table2[[#This Row],[Time Remaining]]</f>
        <v>547</v>
      </c>
      <c r="H369" s="159" t="s">
        <v>696</v>
      </c>
      <c r="I369" s="159" t="s">
        <v>693</v>
      </c>
      <c r="J369" s="160">
        <v>0.23769999999999999</v>
      </c>
      <c r="K369" s="161">
        <v>0.15329999999999999</v>
      </c>
      <c r="L369" s="13">
        <f>Table2[[#This Row],[Actual %]]-Table2[[#This Row],[Plan %]]</f>
        <v>-8.4400000000000003E-2</v>
      </c>
      <c r="M369" s="165" t="s">
        <v>703</v>
      </c>
      <c r="N369" s="12">
        <v>45510</v>
      </c>
      <c r="O369" s="12"/>
      <c r="P369" s="12">
        <v>45548</v>
      </c>
      <c r="Q369" s="12">
        <v>45534</v>
      </c>
      <c r="R369" s="159" t="s">
        <v>700</v>
      </c>
      <c r="S369" s="159" t="s">
        <v>701</v>
      </c>
      <c r="T369" s="164" t="s">
        <v>709</v>
      </c>
      <c r="U369" s="122">
        <v>78077600</v>
      </c>
      <c r="V369" s="36">
        <v>0</v>
      </c>
      <c r="W369" s="36">
        <f>Table2[[#This Row],[Construction Contract Amount]]+Table2[[#This Row],[Cumulative Variations]]</f>
        <v>78077600</v>
      </c>
      <c r="X369" s="36">
        <v>1576709</v>
      </c>
      <c r="Y369" s="36">
        <v>0</v>
      </c>
      <c r="Z369" s="36">
        <f>Table2[[#This Row],[Final Contract Value]]+Table2[[#This Row],[Supervision Contract amount]]+Table2[[#This Row],[Authority Cost]]</f>
        <v>79654309</v>
      </c>
      <c r="AA369" s="36">
        <v>9055227.1500000004</v>
      </c>
      <c r="AB369" s="36">
        <v>180000</v>
      </c>
      <c r="AC369" s="91" t="str">
        <f t="shared" si="18"/>
        <v>https://drive.google.com/thumbnail?id=1a0Y0yLRRfNYWEbl7hjxRwwCR8iQ52iEa&amp;sz=w1000</v>
      </c>
      <c r="AD369" s="172" t="s">
        <v>722</v>
      </c>
      <c r="AE369" s="74" t="str">
        <f t="shared" si="19"/>
        <v>https://drive.google.com/thumbnail?id=1fVGTywNnBvbe_-XZ6i9qc-4BCJw5nmT1&amp;sz=w1000</v>
      </c>
      <c r="AF369" s="172" t="s">
        <v>723</v>
      </c>
      <c r="AG369" s="73" t="str">
        <f t="shared" si="20"/>
        <v>https://drive.google.com/thumbnail?id=14YXw1eE_uNUTiyyJLFE-3TZXAvUd7kRa&amp;sz=w1000</v>
      </c>
      <c r="AH369" s="172" t="s">
        <v>724</v>
      </c>
    </row>
    <row r="370" spans="1:34" ht="22.15" customHeight="1">
      <c r="A370" s="30">
        <v>45534</v>
      </c>
      <c r="B370" s="17" t="s">
        <v>251</v>
      </c>
      <c r="C370" s="17" t="s">
        <v>253</v>
      </c>
      <c r="D370" s="16" t="str" cm="1">
        <f t="array" ref="D370">_xlfn.XLOOKUP(1, (Table1[Project Name]=Table2[[#This Row],[Project ID]])*(Table1[Plot]=Table2[[#This Row],[Plot]]), Table1[Project ID])</f>
        <v>SC-04</v>
      </c>
      <c r="E370" s="69">
        <v>348</v>
      </c>
      <c r="F370" s="70">
        <v>199</v>
      </c>
      <c r="G370" s="69">
        <f>Table2[[#This Row],[Time Elapsed]]+Table2[[#This Row],[Time Remaining]]</f>
        <v>547</v>
      </c>
      <c r="H370" s="159" t="s">
        <v>696</v>
      </c>
      <c r="I370" s="159" t="s">
        <v>693</v>
      </c>
      <c r="J370" s="160">
        <v>0.23769999999999999</v>
      </c>
      <c r="K370" s="161">
        <v>0.15329999999999999</v>
      </c>
      <c r="L370" s="13">
        <f>Table2[[#This Row],[Actual %]]-Table2[[#This Row],[Plan %]]</f>
        <v>-8.4400000000000003E-2</v>
      </c>
      <c r="M370" s="165" t="s">
        <v>704</v>
      </c>
      <c r="N370" s="12">
        <v>45603</v>
      </c>
      <c r="O370" s="12"/>
      <c r="P370" s="12">
        <v>45612</v>
      </c>
      <c r="Q370" s="12">
        <v>45534</v>
      </c>
      <c r="R370" s="159" t="s">
        <v>700</v>
      </c>
      <c r="S370" s="159" t="s">
        <v>701</v>
      </c>
      <c r="T370" s="164" t="s">
        <v>709</v>
      </c>
      <c r="U370" s="122">
        <v>78077600</v>
      </c>
      <c r="V370" s="36">
        <v>0</v>
      </c>
      <c r="W370" s="36">
        <f>Table2[[#This Row],[Construction Contract Amount]]+Table2[[#This Row],[Cumulative Variations]]</f>
        <v>78077600</v>
      </c>
      <c r="X370" s="36">
        <v>1576709</v>
      </c>
      <c r="Y370" s="36">
        <v>0</v>
      </c>
      <c r="Z370" s="36">
        <f>Table2[[#This Row],[Final Contract Value]]+Table2[[#This Row],[Supervision Contract amount]]+Table2[[#This Row],[Authority Cost]]</f>
        <v>79654309</v>
      </c>
      <c r="AA370" s="36">
        <v>9055227.1500000004</v>
      </c>
      <c r="AB370" s="36">
        <v>180000</v>
      </c>
      <c r="AC370" s="91" t="str">
        <f t="shared" si="18"/>
        <v>https://drive.google.com/thumbnail?id=1a0Y0yLRRfNYWEbl7hjxRwwCR8iQ52iEa&amp;sz=w1000</v>
      </c>
      <c r="AD370" s="172" t="s">
        <v>722</v>
      </c>
      <c r="AE370" s="74" t="str">
        <f t="shared" si="19"/>
        <v>https://drive.google.com/thumbnail?id=1fVGTywNnBvbe_-XZ6i9qc-4BCJw5nmT1&amp;sz=w1000</v>
      </c>
      <c r="AF370" s="172" t="s">
        <v>723</v>
      </c>
      <c r="AG370" s="73" t="str">
        <f t="shared" si="20"/>
        <v>https://drive.google.com/thumbnail?id=14YXw1eE_uNUTiyyJLFE-3TZXAvUd7kRa&amp;sz=w1000</v>
      </c>
      <c r="AH370" s="172" t="s">
        <v>724</v>
      </c>
    </row>
    <row r="371" spans="1:34" ht="22.15" customHeight="1">
      <c r="A371" s="30">
        <v>45534</v>
      </c>
      <c r="B371" s="17" t="s">
        <v>251</v>
      </c>
      <c r="C371" s="17" t="s">
        <v>253</v>
      </c>
      <c r="D371" s="16" t="str" cm="1">
        <f t="array" ref="D371">_xlfn.XLOOKUP(1, (Table1[Project Name]=Table2[[#This Row],[Project ID]])*(Table1[Plot]=Table2[[#This Row],[Plot]]), Table1[Project ID])</f>
        <v>SC-04</v>
      </c>
      <c r="E371" s="69">
        <v>348</v>
      </c>
      <c r="F371" s="70">
        <v>199</v>
      </c>
      <c r="G371" s="69">
        <f>Table2[[#This Row],[Time Elapsed]]+Table2[[#This Row],[Time Remaining]]</f>
        <v>547</v>
      </c>
      <c r="H371" s="159" t="s">
        <v>696</v>
      </c>
      <c r="I371" s="159" t="s">
        <v>693</v>
      </c>
      <c r="J371" s="160">
        <v>0.23769999999999999</v>
      </c>
      <c r="K371" s="161">
        <v>0.15329999999999999</v>
      </c>
      <c r="L371" s="13">
        <f>Table2[[#This Row],[Actual %]]-Table2[[#This Row],[Plan %]]</f>
        <v>-8.4400000000000003E-2</v>
      </c>
      <c r="M371" s="165" t="s">
        <v>705</v>
      </c>
      <c r="N371" s="12">
        <v>45511</v>
      </c>
      <c r="O371" s="12"/>
      <c r="P371" s="12">
        <v>45535</v>
      </c>
      <c r="Q371" s="12">
        <v>45534</v>
      </c>
      <c r="R371" s="159" t="s">
        <v>700</v>
      </c>
      <c r="S371" s="159" t="s">
        <v>701</v>
      </c>
      <c r="T371" s="164" t="s">
        <v>709</v>
      </c>
      <c r="U371" s="122">
        <v>78077600</v>
      </c>
      <c r="V371" s="36">
        <v>0</v>
      </c>
      <c r="W371" s="36">
        <f>Table2[[#This Row],[Construction Contract Amount]]+Table2[[#This Row],[Cumulative Variations]]</f>
        <v>78077600</v>
      </c>
      <c r="X371" s="36">
        <v>1576709</v>
      </c>
      <c r="Y371" s="36">
        <v>0</v>
      </c>
      <c r="Z371" s="36">
        <f>Table2[[#This Row],[Final Contract Value]]+Table2[[#This Row],[Supervision Contract amount]]+Table2[[#This Row],[Authority Cost]]</f>
        <v>79654309</v>
      </c>
      <c r="AA371" s="36">
        <v>9055227.1500000004</v>
      </c>
      <c r="AB371" s="36">
        <v>180000</v>
      </c>
      <c r="AC371" s="91" t="str">
        <f t="shared" si="18"/>
        <v>https://drive.google.com/thumbnail?id=1a0Y0yLRRfNYWEbl7hjxRwwCR8iQ52iEa&amp;sz=w1000</v>
      </c>
      <c r="AD371" s="172" t="s">
        <v>722</v>
      </c>
      <c r="AE371" s="74" t="str">
        <f t="shared" si="19"/>
        <v>https://drive.google.com/thumbnail?id=1fVGTywNnBvbe_-XZ6i9qc-4BCJw5nmT1&amp;sz=w1000</v>
      </c>
      <c r="AF371" s="172" t="s">
        <v>723</v>
      </c>
      <c r="AG371" s="73" t="str">
        <f t="shared" si="20"/>
        <v>https://drive.google.com/thumbnail?id=14YXw1eE_uNUTiyyJLFE-3TZXAvUd7kRa&amp;sz=w1000</v>
      </c>
      <c r="AH371" s="172" t="s">
        <v>724</v>
      </c>
    </row>
    <row r="372" spans="1:34" ht="22.15" customHeight="1">
      <c r="A372" s="30">
        <v>45534</v>
      </c>
      <c r="B372" s="17" t="s">
        <v>251</v>
      </c>
      <c r="C372" s="17" t="s">
        <v>253</v>
      </c>
      <c r="D372" s="16" t="str" cm="1">
        <f t="array" ref="D372">_xlfn.XLOOKUP(1, (Table1[Project Name]=Table2[[#This Row],[Project ID]])*(Table1[Plot]=Table2[[#This Row],[Plot]]), Table1[Project ID])</f>
        <v>SC-04</v>
      </c>
      <c r="E372" s="69">
        <v>348</v>
      </c>
      <c r="F372" s="70">
        <v>199</v>
      </c>
      <c r="G372" s="69">
        <f>Table2[[#This Row],[Time Elapsed]]+Table2[[#This Row],[Time Remaining]]</f>
        <v>547</v>
      </c>
      <c r="H372" s="159" t="s">
        <v>696</v>
      </c>
      <c r="I372" s="159" t="s">
        <v>693</v>
      </c>
      <c r="J372" s="160">
        <v>0.23769999999999999</v>
      </c>
      <c r="K372" s="161">
        <v>0.15329999999999999</v>
      </c>
      <c r="L372" s="13">
        <f>Table2[[#This Row],[Actual %]]-Table2[[#This Row],[Plan %]]</f>
        <v>-8.4400000000000003E-2</v>
      </c>
      <c r="M372" s="165" t="s">
        <v>706</v>
      </c>
      <c r="N372" s="12">
        <v>45596</v>
      </c>
      <c r="O372" s="12"/>
      <c r="P372" s="12">
        <v>45610</v>
      </c>
      <c r="Q372" s="12">
        <v>45534</v>
      </c>
      <c r="R372" s="159" t="s">
        <v>700</v>
      </c>
      <c r="S372" s="159" t="s">
        <v>701</v>
      </c>
      <c r="T372" s="164" t="s">
        <v>709</v>
      </c>
      <c r="U372" s="122">
        <v>78077600</v>
      </c>
      <c r="V372" s="36">
        <v>0</v>
      </c>
      <c r="W372" s="36">
        <f>Table2[[#This Row],[Construction Contract Amount]]+Table2[[#This Row],[Cumulative Variations]]</f>
        <v>78077600</v>
      </c>
      <c r="X372" s="36">
        <v>1576709</v>
      </c>
      <c r="Y372" s="36">
        <v>0</v>
      </c>
      <c r="Z372" s="36">
        <f>Table2[[#This Row],[Final Contract Value]]+Table2[[#This Row],[Supervision Contract amount]]+Table2[[#This Row],[Authority Cost]]</f>
        <v>79654309</v>
      </c>
      <c r="AA372" s="36">
        <v>9055227.1500000004</v>
      </c>
      <c r="AB372" s="36">
        <v>180000</v>
      </c>
      <c r="AC372" s="91" t="str">
        <f t="shared" si="18"/>
        <v>https://drive.google.com/thumbnail?id=1a0Y0yLRRfNYWEbl7hjxRwwCR8iQ52iEa&amp;sz=w1000</v>
      </c>
      <c r="AD372" s="172" t="s">
        <v>722</v>
      </c>
      <c r="AE372" s="74" t="str">
        <f t="shared" si="19"/>
        <v>https://drive.google.com/thumbnail?id=1fVGTywNnBvbe_-XZ6i9qc-4BCJw5nmT1&amp;sz=w1000</v>
      </c>
      <c r="AF372" s="172" t="s">
        <v>723</v>
      </c>
      <c r="AG372" s="73" t="str">
        <f t="shared" si="20"/>
        <v>https://drive.google.com/thumbnail?id=14YXw1eE_uNUTiyyJLFE-3TZXAvUd7kRa&amp;sz=w1000</v>
      </c>
      <c r="AH372" s="172" t="s">
        <v>724</v>
      </c>
    </row>
    <row r="373" spans="1:34" ht="22.15" customHeight="1">
      <c r="A373" s="30">
        <v>45534</v>
      </c>
      <c r="B373" s="17" t="s">
        <v>251</v>
      </c>
      <c r="C373" s="17" t="s">
        <v>253</v>
      </c>
      <c r="D373" s="16" t="str" cm="1">
        <f t="array" ref="D373">_xlfn.XLOOKUP(1, (Table1[Project Name]=Table2[[#This Row],[Project ID]])*(Table1[Plot]=Table2[[#This Row],[Plot]]), Table1[Project ID])</f>
        <v>SC-04</v>
      </c>
      <c r="E373" s="69">
        <v>348</v>
      </c>
      <c r="F373" s="70">
        <v>199</v>
      </c>
      <c r="G373" s="69">
        <f>Table2[[#This Row],[Time Elapsed]]+Table2[[#This Row],[Time Remaining]]</f>
        <v>547</v>
      </c>
      <c r="H373" s="159" t="s">
        <v>696</v>
      </c>
      <c r="I373" s="159" t="s">
        <v>693</v>
      </c>
      <c r="J373" s="160">
        <v>0.23769999999999999</v>
      </c>
      <c r="K373" s="161">
        <v>0.15329999999999999</v>
      </c>
      <c r="L373" s="13">
        <f>Table2[[#This Row],[Actual %]]-Table2[[#This Row],[Plan %]]</f>
        <v>-8.4400000000000003E-2</v>
      </c>
      <c r="M373" s="165" t="s">
        <v>280</v>
      </c>
      <c r="N373" s="12">
        <v>45682</v>
      </c>
      <c r="O373" s="12"/>
      <c r="P373" s="12">
        <v>45792</v>
      </c>
      <c r="Q373" s="12">
        <v>45534</v>
      </c>
      <c r="R373" s="159" t="s">
        <v>700</v>
      </c>
      <c r="S373" s="159" t="s">
        <v>701</v>
      </c>
      <c r="T373" s="164" t="s">
        <v>709</v>
      </c>
      <c r="U373" s="122">
        <v>78077600</v>
      </c>
      <c r="V373" s="36">
        <v>0</v>
      </c>
      <c r="W373" s="36">
        <f>Table2[[#This Row],[Construction Contract Amount]]+Table2[[#This Row],[Cumulative Variations]]</f>
        <v>78077600</v>
      </c>
      <c r="X373" s="36">
        <v>1576709</v>
      </c>
      <c r="Y373" s="36">
        <v>0</v>
      </c>
      <c r="Z373" s="36">
        <f>Table2[[#This Row],[Final Contract Value]]+Table2[[#This Row],[Supervision Contract amount]]+Table2[[#This Row],[Authority Cost]]</f>
        <v>79654309</v>
      </c>
      <c r="AA373" s="36">
        <v>9055227.1500000004</v>
      </c>
      <c r="AB373" s="36">
        <v>180000</v>
      </c>
      <c r="AC373" s="91" t="str">
        <f t="shared" si="18"/>
        <v>https://drive.google.com/thumbnail?id=1a0Y0yLRRfNYWEbl7hjxRwwCR8iQ52iEa&amp;sz=w1000</v>
      </c>
      <c r="AD373" s="172" t="s">
        <v>722</v>
      </c>
      <c r="AE373" s="74" t="str">
        <f t="shared" si="19"/>
        <v>https://drive.google.com/thumbnail?id=1fVGTywNnBvbe_-XZ6i9qc-4BCJw5nmT1&amp;sz=w1000</v>
      </c>
      <c r="AF373" s="172" t="s">
        <v>723</v>
      </c>
      <c r="AG373" s="73" t="str">
        <f t="shared" si="20"/>
        <v>https://drive.google.com/thumbnail?id=14YXw1eE_uNUTiyyJLFE-3TZXAvUd7kRa&amp;sz=w1000</v>
      </c>
      <c r="AH373" s="172" t="s">
        <v>724</v>
      </c>
    </row>
    <row r="374" spans="1:34" ht="22.15" customHeight="1">
      <c r="A374" s="30">
        <v>45534</v>
      </c>
      <c r="B374" s="17" t="s">
        <v>251</v>
      </c>
      <c r="C374" s="17" t="s">
        <v>253</v>
      </c>
      <c r="D374" s="16" t="str" cm="1">
        <f t="array" ref="D374">_xlfn.XLOOKUP(1, (Table1[Project Name]=Table2[[#This Row],[Project ID]])*(Table1[Plot]=Table2[[#This Row],[Plot]]), Table1[Project ID])</f>
        <v>SC-04</v>
      </c>
      <c r="E374" s="69">
        <v>348</v>
      </c>
      <c r="F374" s="70">
        <v>199</v>
      </c>
      <c r="G374" s="69">
        <f>Table2[[#This Row],[Time Elapsed]]+Table2[[#This Row],[Time Remaining]]</f>
        <v>547</v>
      </c>
      <c r="H374" s="159" t="s">
        <v>696</v>
      </c>
      <c r="I374" s="159" t="s">
        <v>693</v>
      </c>
      <c r="J374" s="160">
        <v>0.23769999999999999</v>
      </c>
      <c r="K374" s="161">
        <v>0.15329999999999999</v>
      </c>
      <c r="L374" s="13">
        <f>Table2[[#This Row],[Actual %]]-Table2[[#This Row],[Plan %]]</f>
        <v>-8.4400000000000003E-2</v>
      </c>
      <c r="M374" s="165" t="s">
        <v>343</v>
      </c>
      <c r="N374" s="12">
        <v>45701</v>
      </c>
      <c r="O374" s="12"/>
      <c r="P374" s="12">
        <v>45803</v>
      </c>
      <c r="Q374" s="12">
        <v>45534</v>
      </c>
      <c r="R374" s="159" t="s">
        <v>700</v>
      </c>
      <c r="S374" s="159" t="s">
        <v>701</v>
      </c>
      <c r="T374" s="164" t="s">
        <v>709</v>
      </c>
      <c r="U374" s="122">
        <v>78077600</v>
      </c>
      <c r="V374" s="36">
        <v>0</v>
      </c>
      <c r="W374" s="36">
        <f>Table2[[#This Row],[Construction Contract Amount]]+Table2[[#This Row],[Cumulative Variations]]</f>
        <v>78077600</v>
      </c>
      <c r="X374" s="36">
        <v>1576709</v>
      </c>
      <c r="Y374" s="36">
        <v>0</v>
      </c>
      <c r="Z374" s="36">
        <f>Table2[[#This Row],[Final Contract Value]]+Table2[[#This Row],[Supervision Contract amount]]+Table2[[#This Row],[Authority Cost]]</f>
        <v>79654309</v>
      </c>
      <c r="AA374" s="36">
        <v>9055227.1500000004</v>
      </c>
      <c r="AB374" s="36">
        <v>180000</v>
      </c>
      <c r="AC374" s="91" t="str">
        <f t="shared" si="18"/>
        <v>https://drive.google.com/thumbnail?id=1a0Y0yLRRfNYWEbl7hjxRwwCR8iQ52iEa&amp;sz=w1000</v>
      </c>
      <c r="AD374" s="172" t="s">
        <v>722</v>
      </c>
      <c r="AE374" s="74" t="str">
        <f t="shared" si="19"/>
        <v>https://drive.google.com/thumbnail?id=1fVGTywNnBvbe_-XZ6i9qc-4BCJw5nmT1&amp;sz=w1000</v>
      </c>
      <c r="AF374" s="172" t="s">
        <v>723</v>
      </c>
      <c r="AG374" s="73" t="str">
        <f t="shared" si="20"/>
        <v>https://drive.google.com/thumbnail?id=14YXw1eE_uNUTiyyJLFE-3TZXAvUd7kRa&amp;sz=w1000</v>
      </c>
      <c r="AH374" s="172" t="s">
        <v>724</v>
      </c>
    </row>
    <row r="375" spans="1:34" ht="22.15" customHeight="1">
      <c r="A375" s="30">
        <v>45534</v>
      </c>
      <c r="B375" s="17" t="s">
        <v>251</v>
      </c>
      <c r="C375" s="17" t="s">
        <v>253</v>
      </c>
      <c r="D375" s="16" t="str" cm="1">
        <f t="array" ref="D375">_xlfn.XLOOKUP(1, (Table1[Project Name]=Table2[[#This Row],[Project ID]])*(Table1[Plot]=Table2[[#This Row],[Plot]]), Table1[Project ID])</f>
        <v>SC-04</v>
      </c>
      <c r="E375" s="69">
        <v>348</v>
      </c>
      <c r="F375" s="70">
        <v>199</v>
      </c>
      <c r="G375" s="69">
        <f>Table2[[#This Row],[Time Elapsed]]+Table2[[#This Row],[Time Remaining]]</f>
        <v>547</v>
      </c>
      <c r="H375" s="159" t="s">
        <v>696</v>
      </c>
      <c r="I375" s="159" t="s">
        <v>693</v>
      </c>
      <c r="J375" s="160">
        <v>0.23769999999999999</v>
      </c>
      <c r="K375" s="161">
        <v>0.15329999999999999</v>
      </c>
      <c r="L375" s="13">
        <f>Table2[[#This Row],[Actual %]]-Table2[[#This Row],[Plan %]]</f>
        <v>-8.4400000000000003E-2</v>
      </c>
      <c r="M375" s="165" t="s">
        <v>344</v>
      </c>
      <c r="N375" s="12">
        <v>45720</v>
      </c>
      <c r="O375" s="12"/>
      <c r="P375" s="12">
        <v>45824</v>
      </c>
      <c r="Q375" s="12">
        <v>45534</v>
      </c>
      <c r="R375" s="159" t="s">
        <v>700</v>
      </c>
      <c r="S375" s="159" t="s">
        <v>701</v>
      </c>
      <c r="T375" s="164" t="s">
        <v>709</v>
      </c>
      <c r="U375" s="122">
        <v>78077600</v>
      </c>
      <c r="V375" s="36">
        <v>0</v>
      </c>
      <c r="W375" s="36">
        <f>Table2[[#This Row],[Construction Contract Amount]]+Table2[[#This Row],[Cumulative Variations]]</f>
        <v>78077600</v>
      </c>
      <c r="X375" s="36">
        <v>1576709</v>
      </c>
      <c r="Y375" s="36">
        <v>0</v>
      </c>
      <c r="Z375" s="36">
        <f>Table2[[#This Row],[Final Contract Value]]+Table2[[#This Row],[Supervision Contract amount]]+Table2[[#This Row],[Authority Cost]]</f>
        <v>79654309</v>
      </c>
      <c r="AA375" s="36">
        <v>9055227.1500000004</v>
      </c>
      <c r="AB375" s="36">
        <v>180000</v>
      </c>
      <c r="AC375" s="91" t="str">
        <f t="shared" si="18"/>
        <v>https://drive.google.com/thumbnail?id=1a0Y0yLRRfNYWEbl7hjxRwwCR8iQ52iEa&amp;sz=w1000</v>
      </c>
      <c r="AD375" s="172" t="s">
        <v>722</v>
      </c>
      <c r="AE375" s="74" t="str">
        <f t="shared" si="19"/>
        <v>https://drive.google.com/thumbnail?id=1fVGTywNnBvbe_-XZ6i9qc-4BCJw5nmT1&amp;sz=w1000</v>
      </c>
      <c r="AF375" s="172" t="s">
        <v>723</v>
      </c>
      <c r="AG375" s="73" t="str">
        <f t="shared" si="20"/>
        <v>https://drive.google.com/thumbnail?id=14YXw1eE_uNUTiyyJLFE-3TZXAvUd7kRa&amp;sz=w1000</v>
      </c>
      <c r="AH375" s="172" t="s">
        <v>724</v>
      </c>
    </row>
    <row r="376" spans="1:34" ht="22.15" customHeight="1">
      <c r="A376" s="30">
        <v>45534</v>
      </c>
      <c r="B376" s="17" t="s">
        <v>251</v>
      </c>
      <c r="C376" s="17" t="s">
        <v>253</v>
      </c>
      <c r="D376" s="16" t="str" cm="1">
        <f t="array" ref="D376">_xlfn.XLOOKUP(1, (Table1[Project Name]=Table2[[#This Row],[Project ID]])*(Table1[Plot]=Table2[[#This Row],[Plot]]), Table1[Project ID])</f>
        <v>SC-04</v>
      </c>
      <c r="E376" s="69">
        <v>348</v>
      </c>
      <c r="F376" s="70">
        <v>199</v>
      </c>
      <c r="G376" s="69">
        <f>Table2[[#This Row],[Time Elapsed]]+Table2[[#This Row],[Time Remaining]]</f>
        <v>547</v>
      </c>
      <c r="H376" s="159" t="s">
        <v>696</v>
      </c>
      <c r="I376" s="159" t="s">
        <v>693</v>
      </c>
      <c r="J376" s="160">
        <v>0.23769999999999999</v>
      </c>
      <c r="K376" s="161">
        <v>0.15329999999999999</v>
      </c>
      <c r="L376" s="13">
        <f>Table2[[#This Row],[Actual %]]-Table2[[#This Row],[Plan %]]</f>
        <v>-8.4400000000000003E-2</v>
      </c>
      <c r="M376" s="165" t="s">
        <v>302</v>
      </c>
      <c r="N376" s="12">
        <v>45733</v>
      </c>
      <c r="O376" s="12"/>
      <c r="P376" s="12">
        <v>45838</v>
      </c>
      <c r="Q376" s="12">
        <v>45534</v>
      </c>
      <c r="R376" s="159" t="s">
        <v>700</v>
      </c>
      <c r="S376" s="159" t="s">
        <v>701</v>
      </c>
      <c r="T376" s="164" t="s">
        <v>709</v>
      </c>
      <c r="U376" s="122">
        <v>78077600</v>
      </c>
      <c r="V376" s="36">
        <v>0</v>
      </c>
      <c r="W376" s="36">
        <f>Table2[[#This Row],[Construction Contract Amount]]+Table2[[#This Row],[Cumulative Variations]]</f>
        <v>78077600</v>
      </c>
      <c r="X376" s="36">
        <v>1576709</v>
      </c>
      <c r="Y376" s="36">
        <v>0</v>
      </c>
      <c r="Z376" s="36">
        <f>Table2[[#This Row],[Final Contract Value]]+Table2[[#This Row],[Supervision Contract amount]]+Table2[[#This Row],[Authority Cost]]</f>
        <v>79654309</v>
      </c>
      <c r="AA376" s="36">
        <v>9055227.1500000004</v>
      </c>
      <c r="AB376" s="36">
        <v>180000</v>
      </c>
      <c r="AC376" s="91" t="str">
        <f t="shared" si="18"/>
        <v>https://drive.google.com/thumbnail?id=1a0Y0yLRRfNYWEbl7hjxRwwCR8iQ52iEa&amp;sz=w1000</v>
      </c>
      <c r="AD376" s="172" t="s">
        <v>722</v>
      </c>
      <c r="AE376" s="74" t="str">
        <f t="shared" si="19"/>
        <v>https://drive.google.com/thumbnail?id=1fVGTywNnBvbe_-XZ6i9qc-4BCJw5nmT1&amp;sz=w1000</v>
      </c>
      <c r="AF376" s="172" t="s">
        <v>723</v>
      </c>
      <c r="AG376" s="73" t="str">
        <f t="shared" si="20"/>
        <v>https://drive.google.com/thumbnail?id=14YXw1eE_uNUTiyyJLFE-3TZXAvUd7kRa&amp;sz=w1000</v>
      </c>
      <c r="AH376" s="172" t="s">
        <v>724</v>
      </c>
    </row>
    <row r="377" spans="1:34" ht="22.15" customHeight="1">
      <c r="A377" s="30">
        <v>45534</v>
      </c>
      <c r="B377" s="17" t="s">
        <v>255</v>
      </c>
      <c r="C377" s="17" t="s">
        <v>258</v>
      </c>
      <c r="D377" s="16" t="str" cm="1">
        <f t="array" ref="D377">_xlfn.XLOOKUP(1, (Table1[Project Name]=Table2[[#This Row],[Project ID]])*(Table1[Plot]=Table2[[#This Row],[Plot]]), Table1[Project ID])</f>
        <v>SC-05</v>
      </c>
      <c r="E377" s="69">
        <v>348</v>
      </c>
      <c r="F377" s="70">
        <v>199</v>
      </c>
      <c r="G377" s="69">
        <f>Table2[[#This Row],[Time Elapsed]]+Table2[[#This Row],[Time Remaining]]</f>
        <v>547</v>
      </c>
      <c r="H377" s="162" t="s">
        <v>697</v>
      </c>
      <c r="I377" s="159" t="s">
        <v>693</v>
      </c>
      <c r="J377" s="160">
        <v>0.23769999999999999</v>
      </c>
      <c r="K377" s="161">
        <v>0.1797</v>
      </c>
      <c r="L377" s="13">
        <f>Table2[[#This Row],[Actual %]]-Table2[[#This Row],[Plan %]]</f>
        <v>-5.7999999999999996E-2</v>
      </c>
      <c r="M377" s="163" t="s">
        <v>285</v>
      </c>
      <c r="N377" s="12">
        <v>45187</v>
      </c>
      <c r="O377" s="12">
        <v>45195</v>
      </c>
      <c r="P377" s="12"/>
      <c r="Q377" s="12">
        <v>45534</v>
      </c>
      <c r="R377" s="159" t="s">
        <v>700</v>
      </c>
      <c r="S377" s="159" t="s">
        <v>701</v>
      </c>
      <c r="T377" s="164" t="s">
        <v>710</v>
      </c>
      <c r="U377" s="122">
        <v>78077600</v>
      </c>
      <c r="V377" s="36">
        <v>0</v>
      </c>
      <c r="W377" s="36">
        <f>Table2[[#This Row],[Construction Contract Amount]]+Table2[[#This Row],[Cumulative Variations]]</f>
        <v>78077600</v>
      </c>
      <c r="X377" s="36">
        <v>1576709</v>
      </c>
      <c r="Y377" s="36">
        <v>0</v>
      </c>
      <c r="Z377" s="36">
        <f>Table2[[#This Row],[Final Contract Value]]+Table2[[#This Row],[Supervision Contract amount]]+Table2[[#This Row],[Authority Cost]]</f>
        <v>79654309</v>
      </c>
      <c r="AA377" s="36">
        <v>9105088.1699999999</v>
      </c>
      <c r="AB377" s="36">
        <v>180000</v>
      </c>
      <c r="AC377" s="91" t="str">
        <f t="shared" si="18"/>
        <v>https://drive.google.com/thumbnail?id=1xtKK1s6-PHzFzBwpapa8NlHm2NARujAZ&amp;sz=w1000</v>
      </c>
      <c r="AD377" s="172" t="s">
        <v>725</v>
      </c>
      <c r="AE377" s="74" t="str">
        <f t="shared" si="19"/>
        <v>https://drive.google.com/thumbnail?id=1SVtLDrCgd-EGMvj8P0ZCjolJ1bcQnWdH&amp;sz=w1000</v>
      </c>
      <c r="AF377" s="172" t="s">
        <v>726</v>
      </c>
      <c r="AG377" s="73" t="str">
        <f t="shared" si="20"/>
        <v>https://drive.google.com/thumbnail?id=1SQaSL7hmUFSKHN8i7pVPvx3STLMqAOAw&amp;sz=w1000</v>
      </c>
      <c r="AH377" s="172" t="s">
        <v>727</v>
      </c>
    </row>
    <row r="378" spans="1:34" ht="22.15" customHeight="1">
      <c r="A378" s="30">
        <v>45534</v>
      </c>
      <c r="B378" s="17" t="s">
        <v>255</v>
      </c>
      <c r="C378" s="17" t="s">
        <v>258</v>
      </c>
      <c r="D378" s="16" t="str" cm="1">
        <f t="array" ref="D378">_xlfn.XLOOKUP(1, (Table1[Project Name]=Table2[[#This Row],[Project ID]])*(Table1[Plot]=Table2[[#This Row],[Plot]]), Table1[Project ID])</f>
        <v>SC-05</v>
      </c>
      <c r="E378" s="69">
        <v>348</v>
      </c>
      <c r="F378" s="70">
        <v>199</v>
      </c>
      <c r="G378" s="69">
        <f>Table2[[#This Row],[Time Elapsed]]+Table2[[#This Row],[Time Remaining]]</f>
        <v>547</v>
      </c>
      <c r="H378" s="162" t="s">
        <v>697</v>
      </c>
      <c r="I378" s="159" t="s">
        <v>693</v>
      </c>
      <c r="J378" s="160">
        <v>0.23769999999999999</v>
      </c>
      <c r="K378" s="161">
        <v>0.1797</v>
      </c>
      <c r="L378" s="13">
        <f>Table2[[#This Row],[Actual %]]-Table2[[#This Row],[Plan %]]</f>
        <v>-5.7999999999999996E-2</v>
      </c>
      <c r="M378" s="165" t="s">
        <v>51</v>
      </c>
      <c r="N378" s="12">
        <v>45220</v>
      </c>
      <c r="O378" s="12">
        <v>45297</v>
      </c>
      <c r="P378" s="12"/>
      <c r="Q378" s="12">
        <v>45534</v>
      </c>
      <c r="R378" s="159" t="s">
        <v>700</v>
      </c>
      <c r="S378" s="159" t="s">
        <v>701</v>
      </c>
      <c r="T378" s="164" t="s">
        <v>710</v>
      </c>
      <c r="U378" s="122">
        <v>78077600</v>
      </c>
      <c r="V378" s="36">
        <v>0</v>
      </c>
      <c r="W378" s="36">
        <f>Table2[[#This Row],[Construction Contract Amount]]+Table2[[#This Row],[Cumulative Variations]]</f>
        <v>78077600</v>
      </c>
      <c r="X378" s="36">
        <v>1576709</v>
      </c>
      <c r="Y378" s="36">
        <v>0</v>
      </c>
      <c r="Z378" s="36">
        <f>Table2[[#This Row],[Final Contract Value]]+Table2[[#This Row],[Supervision Contract amount]]+Table2[[#This Row],[Authority Cost]]</f>
        <v>79654309</v>
      </c>
      <c r="AA378" s="36">
        <v>9105088.1699999999</v>
      </c>
      <c r="AB378" s="36">
        <v>180000</v>
      </c>
      <c r="AC378" s="91" t="str">
        <f t="shared" si="18"/>
        <v>https://drive.google.com/thumbnail?id=1xtKK1s6-PHzFzBwpapa8NlHm2NARujAZ&amp;sz=w1000</v>
      </c>
      <c r="AD378" s="172" t="s">
        <v>725</v>
      </c>
      <c r="AE378" s="74" t="str">
        <f t="shared" si="19"/>
        <v>https://drive.google.com/thumbnail?id=1SVtLDrCgd-EGMvj8P0ZCjolJ1bcQnWdH&amp;sz=w1000</v>
      </c>
      <c r="AF378" s="172" t="s">
        <v>726</v>
      </c>
      <c r="AG378" s="73" t="str">
        <f t="shared" si="20"/>
        <v>https://drive.google.com/thumbnail?id=1SQaSL7hmUFSKHN8i7pVPvx3STLMqAOAw&amp;sz=w1000</v>
      </c>
      <c r="AH378" s="172" t="s">
        <v>727</v>
      </c>
    </row>
    <row r="379" spans="1:34" ht="22.15" customHeight="1">
      <c r="A379" s="30">
        <v>45534</v>
      </c>
      <c r="B379" s="17" t="s">
        <v>255</v>
      </c>
      <c r="C379" s="17" t="s">
        <v>258</v>
      </c>
      <c r="D379" s="16" t="str" cm="1">
        <f t="array" ref="D379">_xlfn.XLOOKUP(1, (Table1[Project Name]=Table2[[#This Row],[Project ID]])*(Table1[Plot]=Table2[[#This Row],[Plot]]), Table1[Project ID])</f>
        <v>SC-05</v>
      </c>
      <c r="E379" s="69">
        <v>348</v>
      </c>
      <c r="F379" s="70">
        <v>199</v>
      </c>
      <c r="G379" s="69">
        <f>Table2[[#This Row],[Time Elapsed]]+Table2[[#This Row],[Time Remaining]]</f>
        <v>547</v>
      </c>
      <c r="H379" s="162" t="s">
        <v>697</v>
      </c>
      <c r="I379" s="159" t="s">
        <v>693</v>
      </c>
      <c r="J379" s="160">
        <v>0.23769999999999999</v>
      </c>
      <c r="K379" s="161">
        <v>0.1797</v>
      </c>
      <c r="L379" s="13">
        <f>Table2[[#This Row],[Actual %]]-Table2[[#This Row],[Plan %]]</f>
        <v>-5.7999999999999996E-2</v>
      </c>
      <c r="M379" s="165" t="s">
        <v>287</v>
      </c>
      <c r="N379" s="12">
        <v>45429</v>
      </c>
      <c r="O379" s="12">
        <v>45447</v>
      </c>
      <c r="P379" s="12"/>
      <c r="Q379" s="12">
        <v>45534</v>
      </c>
      <c r="R379" s="159" t="s">
        <v>700</v>
      </c>
      <c r="S379" s="159" t="s">
        <v>701</v>
      </c>
      <c r="T379" s="164" t="s">
        <v>710</v>
      </c>
      <c r="U379" s="122">
        <v>78077600</v>
      </c>
      <c r="V379" s="36">
        <v>0</v>
      </c>
      <c r="W379" s="36">
        <f>Table2[[#This Row],[Construction Contract Amount]]+Table2[[#This Row],[Cumulative Variations]]</f>
        <v>78077600</v>
      </c>
      <c r="X379" s="36">
        <v>1576709</v>
      </c>
      <c r="Y379" s="36">
        <v>0</v>
      </c>
      <c r="Z379" s="36">
        <f>Table2[[#This Row],[Final Contract Value]]+Table2[[#This Row],[Supervision Contract amount]]+Table2[[#This Row],[Authority Cost]]</f>
        <v>79654309</v>
      </c>
      <c r="AA379" s="36">
        <v>9105088.1699999999</v>
      </c>
      <c r="AB379" s="36">
        <v>180000</v>
      </c>
      <c r="AC379" s="91" t="str">
        <f t="shared" si="18"/>
        <v>https://drive.google.com/thumbnail?id=1xtKK1s6-PHzFzBwpapa8NlHm2NARujAZ&amp;sz=w1000</v>
      </c>
      <c r="AD379" s="172" t="s">
        <v>725</v>
      </c>
      <c r="AE379" s="74" t="str">
        <f t="shared" si="19"/>
        <v>https://drive.google.com/thumbnail?id=1SVtLDrCgd-EGMvj8P0ZCjolJ1bcQnWdH&amp;sz=w1000</v>
      </c>
      <c r="AF379" s="172" t="s">
        <v>726</v>
      </c>
      <c r="AG379" s="73" t="str">
        <f t="shared" si="20"/>
        <v>https://drive.google.com/thumbnail?id=1SQaSL7hmUFSKHN8i7pVPvx3STLMqAOAw&amp;sz=w1000</v>
      </c>
      <c r="AH379" s="172" t="s">
        <v>727</v>
      </c>
    </row>
    <row r="380" spans="1:34" ht="22.15" customHeight="1">
      <c r="A380" s="30">
        <v>45534</v>
      </c>
      <c r="B380" s="17" t="s">
        <v>255</v>
      </c>
      <c r="C380" s="17" t="s">
        <v>258</v>
      </c>
      <c r="D380" s="16" t="str" cm="1">
        <f t="array" ref="D380">_xlfn.XLOOKUP(1, (Table1[Project Name]=Table2[[#This Row],[Project ID]])*(Table1[Plot]=Table2[[#This Row],[Plot]]), Table1[Project ID])</f>
        <v>SC-05</v>
      </c>
      <c r="E380" s="69">
        <v>348</v>
      </c>
      <c r="F380" s="70">
        <v>199</v>
      </c>
      <c r="G380" s="69">
        <f>Table2[[#This Row],[Time Elapsed]]+Table2[[#This Row],[Time Remaining]]</f>
        <v>547</v>
      </c>
      <c r="H380" s="162" t="s">
        <v>697</v>
      </c>
      <c r="I380" s="159" t="s">
        <v>693</v>
      </c>
      <c r="J380" s="160">
        <v>0.23769999999999999</v>
      </c>
      <c r="K380" s="161">
        <v>0.1797</v>
      </c>
      <c r="L380" s="13">
        <f>Table2[[#This Row],[Actual %]]-Table2[[#This Row],[Plan %]]</f>
        <v>-5.7999999999999996E-2</v>
      </c>
      <c r="M380" s="165" t="s">
        <v>703</v>
      </c>
      <c r="N380" s="12">
        <v>45510</v>
      </c>
      <c r="O380" s="12"/>
      <c r="P380" s="12">
        <v>45552</v>
      </c>
      <c r="Q380" s="12">
        <v>45534</v>
      </c>
      <c r="R380" s="159" t="s">
        <v>700</v>
      </c>
      <c r="S380" s="159" t="s">
        <v>701</v>
      </c>
      <c r="T380" s="164" t="s">
        <v>710</v>
      </c>
      <c r="U380" s="122">
        <v>78077600</v>
      </c>
      <c r="V380" s="36">
        <v>0</v>
      </c>
      <c r="W380" s="36">
        <f>Table2[[#This Row],[Construction Contract Amount]]+Table2[[#This Row],[Cumulative Variations]]</f>
        <v>78077600</v>
      </c>
      <c r="X380" s="36">
        <v>1576709</v>
      </c>
      <c r="Y380" s="36">
        <v>0</v>
      </c>
      <c r="Z380" s="36">
        <f>Table2[[#This Row],[Final Contract Value]]+Table2[[#This Row],[Supervision Contract amount]]+Table2[[#This Row],[Authority Cost]]</f>
        <v>79654309</v>
      </c>
      <c r="AA380" s="36">
        <v>9105088.1699999999</v>
      </c>
      <c r="AB380" s="36">
        <v>180000</v>
      </c>
      <c r="AC380" s="91" t="str">
        <f t="shared" si="18"/>
        <v>https://drive.google.com/thumbnail?id=1xtKK1s6-PHzFzBwpapa8NlHm2NARujAZ&amp;sz=w1000</v>
      </c>
      <c r="AD380" s="172" t="s">
        <v>725</v>
      </c>
      <c r="AE380" s="74" t="str">
        <f t="shared" si="19"/>
        <v>https://drive.google.com/thumbnail?id=1SVtLDrCgd-EGMvj8P0ZCjolJ1bcQnWdH&amp;sz=w1000</v>
      </c>
      <c r="AF380" s="172" t="s">
        <v>726</v>
      </c>
      <c r="AG380" s="73" t="str">
        <f t="shared" si="20"/>
        <v>https://drive.google.com/thumbnail?id=1SQaSL7hmUFSKHN8i7pVPvx3STLMqAOAw&amp;sz=w1000</v>
      </c>
      <c r="AH380" s="172" t="s">
        <v>727</v>
      </c>
    </row>
    <row r="381" spans="1:34" ht="22.15" customHeight="1">
      <c r="A381" s="30">
        <v>45534</v>
      </c>
      <c r="B381" s="17" t="s">
        <v>255</v>
      </c>
      <c r="C381" s="17" t="s">
        <v>258</v>
      </c>
      <c r="D381" s="16" t="str" cm="1">
        <f t="array" ref="D381">_xlfn.XLOOKUP(1, (Table1[Project Name]=Table2[[#This Row],[Project ID]])*(Table1[Plot]=Table2[[#This Row],[Plot]]), Table1[Project ID])</f>
        <v>SC-05</v>
      </c>
      <c r="E381" s="69">
        <v>348</v>
      </c>
      <c r="F381" s="70">
        <v>199</v>
      </c>
      <c r="G381" s="69">
        <f>Table2[[#This Row],[Time Elapsed]]+Table2[[#This Row],[Time Remaining]]</f>
        <v>547</v>
      </c>
      <c r="H381" s="162" t="s">
        <v>697</v>
      </c>
      <c r="I381" s="159" t="s">
        <v>693</v>
      </c>
      <c r="J381" s="160">
        <v>0.23769999999999999</v>
      </c>
      <c r="K381" s="161">
        <v>0.1797</v>
      </c>
      <c r="L381" s="13">
        <f>Table2[[#This Row],[Actual %]]-Table2[[#This Row],[Plan %]]</f>
        <v>-5.7999999999999996E-2</v>
      </c>
      <c r="M381" s="165" t="s">
        <v>704</v>
      </c>
      <c r="N381" s="12">
        <v>45603</v>
      </c>
      <c r="O381" s="12"/>
      <c r="P381" s="12">
        <v>45579</v>
      </c>
      <c r="Q381" s="12">
        <v>45534</v>
      </c>
      <c r="R381" s="159" t="s">
        <v>700</v>
      </c>
      <c r="S381" s="159" t="s">
        <v>701</v>
      </c>
      <c r="T381" s="164" t="s">
        <v>710</v>
      </c>
      <c r="U381" s="122">
        <v>78077600</v>
      </c>
      <c r="V381" s="36">
        <v>0</v>
      </c>
      <c r="W381" s="36">
        <f>Table2[[#This Row],[Construction Contract Amount]]+Table2[[#This Row],[Cumulative Variations]]</f>
        <v>78077600</v>
      </c>
      <c r="X381" s="36">
        <v>1576709</v>
      </c>
      <c r="Y381" s="36">
        <v>0</v>
      </c>
      <c r="Z381" s="36">
        <f>Table2[[#This Row],[Final Contract Value]]+Table2[[#This Row],[Supervision Contract amount]]+Table2[[#This Row],[Authority Cost]]</f>
        <v>79654309</v>
      </c>
      <c r="AA381" s="36">
        <v>9105088.1699999999</v>
      </c>
      <c r="AB381" s="36">
        <v>180000</v>
      </c>
      <c r="AC381" s="91" t="str">
        <f t="shared" si="18"/>
        <v>https://drive.google.com/thumbnail?id=1xtKK1s6-PHzFzBwpapa8NlHm2NARujAZ&amp;sz=w1000</v>
      </c>
      <c r="AD381" s="172" t="s">
        <v>725</v>
      </c>
      <c r="AE381" s="74" t="str">
        <f t="shared" si="19"/>
        <v>https://drive.google.com/thumbnail?id=1SVtLDrCgd-EGMvj8P0ZCjolJ1bcQnWdH&amp;sz=w1000</v>
      </c>
      <c r="AF381" s="172" t="s">
        <v>726</v>
      </c>
      <c r="AG381" s="73" t="str">
        <f t="shared" si="20"/>
        <v>https://drive.google.com/thumbnail?id=1SQaSL7hmUFSKHN8i7pVPvx3STLMqAOAw&amp;sz=w1000</v>
      </c>
      <c r="AH381" s="172" t="s">
        <v>727</v>
      </c>
    </row>
    <row r="382" spans="1:34" ht="22.15" customHeight="1">
      <c r="A382" s="30">
        <v>45534</v>
      </c>
      <c r="B382" s="17" t="s">
        <v>255</v>
      </c>
      <c r="C382" s="17" t="s">
        <v>258</v>
      </c>
      <c r="D382" s="16" t="str" cm="1">
        <f t="array" ref="D382">_xlfn.XLOOKUP(1, (Table1[Project Name]=Table2[[#This Row],[Project ID]])*(Table1[Plot]=Table2[[#This Row],[Plot]]), Table1[Project ID])</f>
        <v>SC-05</v>
      </c>
      <c r="E382" s="69">
        <v>348</v>
      </c>
      <c r="F382" s="70">
        <v>199</v>
      </c>
      <c r="G382" s="69">
        <f>Table2[[#This Row],[Time Elapsed]]+Table2[[#This Row],[Time Remaining]]</f>
        <v>547</v>
      </c>
      <c r="H382" s="162" t="s">
        <v>697</v>
      </c>
      <c r="I382" s="159" t="s">
        <v>693</v>
      </c>
      <c r="J382" s="160">
        <v>0.23769999999999999</v>
      </c>
      <c r="K382" s="161">
        <v>0.1797</v>
      </c>
      <c r="L382" s="13">
        <f>Table2[[#This Row],[Actual %]]-Table2[[#This Row],[Plan %]]</f>
        <v>-5.7999999999999996E-2</v>
      </c>
      <c r="M382" s="165" t="s">
        <v>705</v>
      </c>
      <c r="N382" s="12">
        <v>45511</v>
      </c>
      <c r="O382" s="12"/>
      <c r="P382" s="12">
        <v>45535</v>
      </c>
      <c r="Q382" s="12">
        <v>45534</v>
      </c>
      <c r="R382" s="159" t="s">
        <v>700</v>
      </c>
      <c r="S382" s="159" t="s">
        <v>701</v>
      </c>
      <c r="T382" s="164" t="s">
        <v>710</v>
      </c>
      <c r="U382" s="122">
        <v>78077600</v>
      </c>
      <c r="V382" s="36">
        <v>0</v>
      </c>
      <c r="W382" s="36">
        <f>Table2[[#This Row],[Construction Contract Amount]]+Table2[[#This Row],[Cumulative Variations]]</f>
        <v>78077600</v>
      </c>
      <c r="X382" s="36">
        <v>1576709</v>
      </c>
      <c r="Y382" s="36">
        <v>0</v>
      </c>
      <c r="Z382" s="36">
        <f>Table2[[#This Row],[Final Contract Value]]+Table2[[#This Row],[Supervision Contract amount]]+Table2[[#This Row],[Authority Cost]]</f>
        <v>79654309</v>
      </c>
      <c r="AA382" s="36">
        <v>9105088.1699999999</v>
      </c>
      <c r="AB382" s="36">
        <v>180000</v>
      </c>
      <c r="AC382" s="91" t="str">
        <f t="shared" si="18"/>
        <v>https://drive.google.com/thumbnail?id=1xtKK1s6-PHzFzBwpapa8NlHm2NARujAZ&amp;sz=w1000</v>
      </c>
      <c r="AD382" s="172" t="s">
        <v>725</v>
      </c>
      <c r="AE382" s="74" t="str">
        <f t="shared" si="19"/>
        <v>https://drive.google.com/thumbnail?id=1SVtLDrCgd-EGMvj8P0ZCjolJ1bcQnWdH&amp;sz=w1000</v>
      </c>
      <c r="AF382" s="172" t="s">
        <v>726</v>
      </c>
      <c r="AG382" s="73" t="str">
        <f t="shared" si="20"/>
        <v>https://drive.google.com/thumbnail?id=1SQaSL7hmUFSKHN8i7pVPvx3STLMqAOAw&amp;sz=w1000</v>
      </c>
      <c r="AH382" s="172" t="s">
        <v>727</v>
      </c>
    </row>
    <row r="383" spans="1:34" ht="22.15" customHeight="1">
      <c r="A383" s="30">
        <v>45534</v>
      </c>
      <c r="B383" s="17" t="s">
        <v>255</v>
      </c>
      <c r="C383" s="17" t="s">
        <v>258</v>
      </c>
      <c r="D383" s="16" t="str" cm="1">
        <f t="array" ref="D383">_xlfn.XLOOKUP(1, (Table1[Project Name]=Table2[[#This Row],[Project ID]])*(Table1[Plot]=Table2[[#This Row],[Plot]]), Table1[Project ID])</f>
        <v>SC-05</v>
      </c>
      <c r="E383" s="69">
        <v>348</v>
      </c>
      <c r="F383" s="70">
        <v>199</v>
      </c>
      <c r="G383" s="69">
        <f>Table2[[#This Row],[Time Elapsed]]+Table2[[#This Row],[Time Remaining]]</f>
        <v>547</v>
      </c>
      <c r="H383" s="162" t="s">
        <v>697</v>
      </c>
      <c r="I383" s="159" t="s">
        <v>693</v>
      </c>
      <c r="J383" s="160">
        <v>0.23769999999999999</v>
      </c>
      <c r="K383" s="161">
        <v>0.1797</v>
      </c>
      <c r="L383" s="13">
        <f>Table2[[#This Row],[Actual %]]-Table2[[#This Row],[Plan %]]</f>
        <v>-5.7999999999999996E-2</v>
      </c>
      <c r="M383" s="165" t="s">
        <v>706</v>
      </c>
      <c r="N383" s="12">
        <v>45596</v>
      </c>
      <c r="O383" s="12"/>
      <c r="P383" s="12">
        <v>45598</v>
      </c>
      <c r="Q383" s="12">
        <v>45534</v>
      </c>
      <c r="R383" s="159" t="s">
        <v>700</v>
      </c>
      <c r="S383" s="159" t="s">
        <v>701</v>
      </c>
      <c r="T383" s="164" t="s">
        <v>710</v>
      </c>
      <c r="U383" s="122">
        <v>78077600</v>
      </c>
      <c r="V383" s="36">
        <v>0</v>
      </c>
      <c r="W383" s="36">
        <f>Table2[[#This Row],[Construction Contract Amount]]+Table2[[#This Row],[Cumulative Variations]]</f>
        <v>78077600</v>
      </c>
      <c r="X383" s="36">
        <v>1576709</v>
      </c>
      <c r="Y383" s="36">
        <v>0</v>
      </c>
      <c r="Z383" s="36">
        <f>Table2[[#This Row],[Final Contract Value]]+Table2[[#This Row],[Supervision Contract amount]]+Table2[[#This Row],[Authority Cost]]</f>
        <v>79654309</v>
      </c>
      <c r="AA383" s="36">
        <v>9105088.1699999999</v>
      </c>
      <c r="AB383" s="36">
        <v>180000</v>
      </c>
      <c r="AC383" s="91" t="str">
        <f t="shared" si="18"/>
        <v>https://drive.google.com/thumbnail?id=1xtKK1s6-PHzFzBwpapa8NlHm2NARujAZ&amp;sz=w1000</v>
      </c>
      <c r="AD383" s="172" t="s">
        <v>725</v>
      </c>
      <c r="AE383" s="74" t="str">
        <f t="shared" si="19"/>
        <v>https://drive.google.com/thumbnail?id=1SVtLDrCgd-EGMvj8P0ZCjolJ1bcQnWdH&amp;sz=w1000</v>
      </c>
      <c r="AF383" s="172" t="s">
        <v>726</v>
      </c>
      <c r="AG383" s="73" t="str">
        <f t="shared" si="20"/>
        <v>https://drive.google.com/thumbnail?id=1SQaSL7hmUFSKHN8i7pVPvx3STLMqAOAw&amp;sz=w1000</v>
      </c>
      <c r="AH383" s="172" t="s">
        <v>727</v>
      </c>
    </row>
    <row r="384" spans="1:34" ht="22.15" customHeight="1">
      <c r="A384" s="30">
        <v>45534</v>
      </c>
      <c r="B384" s="17" t="s">
        <v>255</v>
      </c>
      <c r="C384" s="17" t="s">
        <v>258</v>
      </c>
      <c r="D384" s="16" t="str" cm="1">
        <f t="array" ref="D384">_xlfn.XLOOKUP(1, (Table1[Project Name]=Table2[[#This Row],[Project ID]])*(Table1[Plot]=Table2[[#This Row],[Plot]]), Table1[Project ID])</f>
        <v>SC-05</v>
      </c>
      <c r="E384" s="69">
        <v>348</v>
      </c>
      <c r="F384" s="70">
        <v>199</v>
      </c>
      <c r="G384" s="69">
        <f>Table2[[#This Row],[Time Elapsed]]+Table2[[#This Row],[Time Remaining]]</f>
        <v>547</v>
      </c>
      <c r="H384" s="162" t="s">
        <v>697</v>
      </c>
      <c r="I384" s="159" t="s">
        <v>693</v>
      </c>
      <c r="J384" s="160">
        <v>0.23769999999999999</v>
      </c>
      <c r="K384" s="161">
        <v>0.1797</v>
      </c>
      <c r="L384" s="13">
        <f>Table2[[#This Row],[Actual %]]-Table2[[#This Row],[Plan %]]</f>
        <v>-5.7999999999999996E-2</v>
      </c>
      <c r="M384" s="165" t="s">
        <v>280</v>
      </c>
      <c r="N384" s="12">
        <v>45682</v>
      </c>
      <c r="O384" s="12"/>
      <c r="P384" s="12">
        <v>45792</v>
      </c>
      <c r="Q384" s="12">
        <v>45534</v>
      </c>
      <c r="R384" s="159" t="s">
        <v>700</v>
      </c>
      <c r="S384" s="159" t="s">
        <v>701</v>
      </c>
      <c r="T384" s="164" t="s">
        <v>710</v>
      </c>
      <c r="U384" s="122">
        <v>78077600</v>
      </c>
      <c r="V384" s="36">
        <v>0</v>
      </c>
      <c r="W384" s="36">
        <f>Table2[[#This Row],[Construction Contract Amount]]+Table2[[#This Row],[Cumulative Variations]]</f>
        <v>78077600</v>
      </c>
      <c r="X384" s="36">
        <v>1576709</v>
      </c>
      <c r="Y384" s="36">
        <v>0</v>
      </c>
      <c r="Z384" s="36">
        <f>Table2[[#This Row],[Final Contract Value]]+Table2[[#This Row],[Supervision Contract amount]]+Table2[[#This Row],[Authority Cost]]</f>
        <v>79654309</v>
      </c>
      <c r="AA384" s="36">
        <v>9105088.1699999999</v>
      </c>
      <c r="AB384" s="36">
        <v>180000</v>
      </c>
      <c r="AC384" s="91" t="str">
        <f t="shared" si="18"/>
        <v>https://drive.google.com/thumbnail?id=1xtKK1s6-PHzFzBwpapa8NlHm2NARujAZ&amp;sz=w1000</v>
      </c>
      <c r="AD384" s="172" t="s">
        <v>725</v>
      </c>
      <c r="AE384" s="74" t="str">
        <f t="shared" si="19"/>
        <v>https://drive.google.com/thumbnail?id=1SVtLDrCgd-EGMvj8P0ZCjolJ1bcQnWdH&amp;sz=w1000</v>
      </c>
      <c r="AF384" s="172" t="s">
        <v>726</v>
      </c>
      <c r="AG384" s="73" t="str">
        <f t="shared" si="20"/>
        <v>https://drive.google.com/thumbnail?id=1SQaSL7hmUFSKHN8i7pVPvx3STLMqAOAw&amp;sz=w1000</v>
      </c>
      <c r="AH384" s="172" t="s">
        <v>727</v>
      </c>
    </row>
    <row r="385" spans="1:34" ht="22.15" customHeight="1">
      <c r="A385" s="30">
        <v>45534</v>
      </c>
      <c r="B385" s="17" t="s">
        <v>255</v>
      </c>
      <c r="C385" s="17" t="s">
        <v>258</v>
      </c>
      <c r="D385" s="16" t="str" cm="1">
        <f t="array" ref="D385">_xlfn.XLOOKUP(1, (Table1[Project Name]=Table2[[#This Row],[Project ID]])*(Table1[Plot]=Table2[[#This Row],[Plot]]), Table1[Project ID])</f>
        <v>SC-05</v>
      </c>
      <c r="E385" s="69">
        <v>348</v>
      </c>
      <c r="F385" s="70">
        <v>199</v>
      </c>
      <c r="G385" s="69">
        <f>Table2[[#This Row],[Time Elapsed]]+Table2[[#This Row],[Time Remaining]]</f>
        <v>547</v>
      </c>
      <c r="H385" s="162" t="s">
        <v>697</v>
      </c>
      <c r="I385" s="159" t="s">
        <v>693</v>
      </c>
      <c r="J385" s="160">
        <v>0.23769999999999999</v>
      </c>
      <c r="K385" s="161">
        <v>0.1797</v>
      </c>
      <c r="L385" s="13">
        <f>Table2[[#This Row],[Actual %]]-Table2[[#This Row],[Plan %]]</f>
        <v>-5.7999999999999996E-2</v>
      </c>
      <c r="M385" s="165" t="s">
        <v>343</v>
      </c>
      <c r="N385" s="12">
        <v>45701</v>
      </c>
      <c r="O385" s="12"/>
      <c r="P385" s="12">
        <v>45803</v>
      </c>
      <c r="Q385" s="12">
        <v>45534</v>
      </c>
      <c r="R385" s="159" t="s">
        <v>700</v>
      </c>
      <c r="S385" s="159" t="s">
        <v>701</v>
      </c>
      <c r="T385" s="164" t="s">
        <v>710</v>
      </c>
      <c r="U385" s="122">
        <v>78077600</v>
      </c>
      <c r="V385" s="36">
        <v>0</v>
      </c>
      <c r="W385" s="36">
        <f>Table2[[#This Row],[Construction Contract Amount]]+Table2[[#This Row],[Cumulative Variations]]</f>
        <v>78077600</v>
      </c>
      <c r="X385" s="36">
        <v>1576709</v>
      </c>
      <c r="Y385" s="36">
        <v>0</v>
      </c>
      <c r="Z385" s="36">
        <f>Table2[[#This Row],[Final Contract Value]]+Table2[[#This Row],[Supervision Contract amount]]+Table2[[#This Row],[Authority Cost]]</f>
        <v>79654309</v>
      </c>
      <c r="AA385" s="36">
        <v>9105088.1699999999</v>
      </c>
      <c r="AB385" s="36">
        <v>180000</v>
      </c>
      <c r="AC385" s="91" t="str">
        <f t="shared" si="18"/>
        <v>https://drive.google.com/thumbnail?id=1xtKK1s6-PHzFzBwpapa8NlHm2NARujAZ&amp;sz=w1000</v>
      </c>
      <c r="AD385" s="172" t="s">
        <v>725</v>
      </c>
      <c r="AE385" s="74" t="str">
        <f t="shared" si="19"/>
        <v>https://drive.google.com/thumbnail?id=1SVtLDrCgd-EGMvj8P0ZCjolJ1bcQnWdH&amp;sz=w1000</v>
      </c>
      <c r="AF385" s="172" t="s">
        <v>726</v>
      </c>
      <c r="AG385" s="73" t="str">
        <f t="shared" si="20"/>
        <v>https://drive.google.com/thumbnail?id=1SQaSL7hmUFSKHN8i7pVPvx3STLMqAOAw&amp;sz=w1000</v>
      </c>
      <c r="AH385" s="172" t="s">
        <v>727</v>
      </c>
    </row>
    <row r="386" spans="1:34" ht="22.15" customHeight="1">
      <c r="A386" s="30">
        <v>45534</v>
      </c>
      <c r="B386" s="17" t="s">
        <v>255</v>
      </c>
      <c r="C386" s="17" t="s">
        <v>258</v>
      </c>
      <c r="D386" s="16" t="str" cm="1">
        <f t="array" ref="D386">_xlfn.XLOOKUP(1, (Table1[Project Name]=Table2[[#This Row],[Project ID]])*(Table1[Plot]=Table2[[#This Row],[Plot]]), Table1[Project ID])</f>
        <v>SC-05</v>
      </c>
      <c r="E386" s="69">
        <v>348</v>
      </c>
      <c r="F386" s="70">
        <v>199</v>
      </c>
      <c r="G386" s="69">
        <f>Table2[[#This Row],[Time Elapsed]]+Table2[[#This Row],[Time Remaining]]</f>
        <v>547</v>
      </c>
      <c r="H386" s="162" t="s">
        <v>697</v>
      </c>
      <c r="I386" s="159" t="s">
        <v>693</v>
      </c>
      <c r="J386" s="160">
        <v>0.23769999999999999</v>
      </c>
      <c r="K386" s="161">
        <v>0.1797</v>
      </c>
      <c r="L386" s="13">
        <f>Table2[[#This Row],[Actual %]]-Table2[[#This Row],[Plan %]]</f>
        <v>-5.7999999999999996E-2</v>
      </c>
      <c r="M386" s="165" t="s">
        <v>344</v>
      </c>
      <c r="N386" s="12">
        <v>45720</v>
      </c>
      <c r="O386" s="12"/>
      <c r="P386" s="12">
        <v>45824</v>
      </c>
      <c r="Q386" s="12">
        <v>45534</v>
      </c>
      <c r="R386" s="159" t="s">
        <v>700</v>
      </c>
      <c r="S386" s="159" t="s">
        <v>701</v>
      </c>
      <c r="T386" s="164" t="s">
        <v>710</v>
      </c>
      <c r="U386" s="122">
        <v>78077600</v>
      </c>
      <c r="V386" s="36">
        <v>0</v>
      </c>
      <c r="W386" s="36">
        <f>Table2[[#This Row],[Construction Contract Amount]]+Table2[[#This Row],[Cumulative Variations]]</f>
        <v>78077600</v>
      </c>
      <c r="X386" s="36">
        <v>1576709</v>
      </c>
      <c r="Y386" s="36">
        <v>0</v>
      </c>
      <c r="Z386" s="36">
        <f>Table2[[#This Row],[Final Contract Value]]+Table2[[#This Row],[Supervision Contract amount]]+Table2[[#This Row],[Authority Cost]]</f>
        <v>79654309</v>
      </c>
      <c r="AA386" s="36">
        <v>9105088.1699999999</v>
      </c>
      <c r="AB386" s="36">
        <v>180000</v>
      </c>
      <c r="AC386" s="91" t="str">
        <f t="shared" ref="AC386:AC449" si="21">CONCATENATE("https://drive.google.com/thumbnail?id=", MID(AD386, FIND("/d/", AD386) + 3, FIND("/view", AD386) - FIND("/d/", AD386) - 3), "&amp;sz=w1000")</f>
        <v>https://drive.google.com/thumbnail?id=1xtKK1s6-PHzFzBwpapa8NlHm2NARujAZ&amp;sz=w1000</v>
      </c>
      <c r="AD386" s="172" t="s">
        <v>725</v>
      </c>
      <c r="AE386" s="74" t="str">
        <f t="shared" ref="AE386:AE449" si="22">CONCATENATE("https://drive.google.com/thumbnail?id=", MID(AF386, FIND("/d/", AF386) + 3, FIND("/view", AF386) - FIND("/d/", AF386) - 3), "&amp;sz=w1000")</f>
        <v>https://drive.google.com/thumbnail?id=1SVtLDrCgd-EGMvj8P0ZCjolJ1bcQnWdH&amp;sz=w1000</v>
      </c>
      <c r="AF386" s="172" t="s">
        <v>726</v>
      </c>
      <c r="AG386" s="73" t="str">
        <f t="shared" ref="AG386:AG449" si="23">CONCATENATE("https://drive.google.com/thumbnail?id=", MID(AH386, FIND("/d/", AH386) + 3, FIND("/view", AH386) - FIND("/d/", AH386) - 3), "&amp;sz=w1000")</f>
        <v>https://drive.google.com/thumbnail?id=1SQaSL7hmUFSKHN8i7pVPvx3STLMqAOAw&amp;sz=w1000</v>
      </c>
      <c r="AH386" s="172" t="s">
        <v>727</v>
      </c>
    </row>
    <row r="387" spans="1:34" ht="22.15" customHeight="1">
      <c r="A387" s="30">
        <v>45534</v>
      </c>
      <c r="B387" s="17" t="s">
        <v>255</v>
      </c>
      <c r="C387" s="17" t="s">
        <v>258</v>
      </c>
      <c r="D387" s="16" t="str" cm="1">
        <f t="array" ref="D387">_xlfn.XLOOKUP(1, (Table1[Project Name]=Table2[[#This Row],[Project ID]])*(Table1[Plot]=Table2[[#This Row],[Plot]]), Table1[Project ID])</f>
        <v>SC-05</v>
      </c>
      <c r="E387" s="69">
        <v>348</v>
      </c>
      <c r="F387" s="70">
        <v>199</v>
      </c>
      <c r="G387" s="69">
        <f>Table2[[#This Row],[Time Elapsed]]+Table2[[#This Row],[Time Remaining]]</f>
        <v>547</v>
      </c>
      <c r="H387" s="162" t="s">
        <v>697</v>
      </c>
      <c r="I387" s="159" t="s">
        <v>693</v>
      </c>
      <c r="J387" s="160">
        <v>0.23769999999999999</v>
      </c>
      <c r="K387" s="161">
        <v>0.1797</v>
      </c>
      <c r="L387" s="13">
        <f>Table2[[#This Row],[Actual %]]-Table2[[#This Row],[Plan %]]</f>
        <v>-5.7999999999999996E-2</v>
      </c>
      <c r="M387" s="165" t="s">
        <v>302</v>
      </c>
      <c r="N387" s="12">
        <v>45733</v>
      </c>
      <c r="O387" s="12"/>
      <c r="P387" s="12">
        <v>45838</v>
      </c>
      <c r="Q387" s="12">
        <v>45534</v>
      </c>
      <c r="R387" s="159" t="s">
        <v>700</v>
      </c>
      <c r="S387" s="159" t="s">
        <v>701</v>
      </c>
      <c r="T387" s="164" t="s">
        <v>710</v>
      </c>
      <c r="U387" s="122">
        <v>78077600</v>
      </c>
      <c r="V387" s="36"/>
      <c r="W387" s="36">
        <f>Table2[[#This Row],[Construction Contract Amount]]+Table2[[#This Row],[Cumulative Variations]]</f>
        <v>78077600</v>
      </c>
      <c r="X387" s="36">
        <v>1576709</v>
      </c>
      <c r="Y387" s="36">
        <v>0</v>
      </c>
      <c r="Z387" s="36">
        <f>Table2[[#This Row],[Final Contract Value]]+Table2[[#This Row],[Supervision Contract amount]]+Table2[[#This Row],[Authority Cost]]</f>
        <v>79654309</v>
      </c>
      <c r="AA387" s="36">
        <v>9105088.1699999999</v>
      </c>
      <c r="AB387" s="36">
        <v>180000</v>
      </c>
      <c r="AC387" s="91" t="str">
        <f t="shared" si="21"/>
        <v>https://drive.google.com/thumbnail?id=1xtKK1s6-PHzFzBwpapa8NlHm2NARujAZ&amp;sz=w1000</v>
      </c>
      <c r="AD387" s="172" t="s">
        <v>725</v>
      </c>
      <c r="AE387" s="74" t="str">
        <f t="shared" si="22"/>
        <v>https://drive.google.com/thumbnail?id=1SVtLDrCgd-EGMvj8P0ZCjolJ1bcQnWdH&amp;sz=w1000</v>
      </c>
      <c r="AF387" s="172" t="s">
        <v>726</v>
      </c>
      <c r="AG387" s="73" t="str">
        <f t="shared" si="23"/>
        <v>https://drive.google.com/thumbnail?id=1SQaSL7hmUFSKHN8i7pVPvx3STLMqAOAw&amp;sz=w1000</v>
      </c>
      <c r="AH387" s="172" t="s">
        <v>727</v>
      </c>
    </row>
    <row r="388" spans="1:34" ht="22.15" customHeight="1">
      <c r="A388" s="30">
        <v>45534</v>
      </c>
      <c r="B388" s="17" t="s">
        <v>260</v>
      </c>
      <c r="C388" s="17" t="s">
        <v>262</v>
      </c>
      <c r="D388" s="16" t="str" cm="1">
        <f t="array" ref="D388">_xlfn.XLOOKUP(1, (Table1[Project Name]=Table2[[#This Row],[Project ID]])*(Table1[Plot]=Table2[[#This Row],[Plot]]), Table1[Project ID])</f>
        <v>SC-06</v>
      </c>
      <c r="E388" s="69">
        <v>348</v>
      </c>
      <c r="F388" s="70">
        <v>199</v>
      </c>
      <c r="G388" s="69">
        <f>Table2[[#This Row],[Time Elapsed]]+Table2[[#This Row],[Time Remaining]]</f>
        <v>547</v>
      </c>
      <c r="H388" s="162" t="s">
        <v>698</v>
      </c>
      <c r="I388" s="159" t="s">
        <v>693</v>
      </c>
      <c r="J388" s="160">
        <v>0.23880000000000001</v>
      </c>
      <c r="K388" s="161">
        <v>0.2024</v>
      </c>
      <c r="L388" s="13">
        <f>Table2[[#This Row],[Actual %]]-Table2[[#This Row],[Plan %]]</f>
        <v>-3.6400000000000016E-2</v>
      </c>
      <c r="M388" s="163" t="s">
        <v>285</v>
      </c>
      <c r="N388" s="12">
        <v>45187</v>
      </c>
      <c r="O388" s="12">
        <v>45195</v>
      </c>
      <c r="P388" s="12"/>
      <c r="Q388" s="12">
        <v>45534</v>
      </c>
      <c r="R388" s="159" t="s">
        <v>700</v>
      </c>
      <c r="S388" s="159" t="s">
        <v>701</v>
      </c>
      <c r="T388" s="164" t="s">
        <v>711</v>
      </c>
      <c r="U388" s="122">
        <v>78077600</v>
      </c>
      <c r="V388" s="36"/>
      <c r="W388" s="36">
        <f>Table2[[#This Row],[Construction Contract Amount]]+Table2[[#This Row],[Cumulative Variations]]</f>
        <v>78077600</v>
      </c>
      <c r="X388" s="36">
        <v>1576709</v>
      </c>
      <c r="Y388" s="36">
        <v>0</v>
      </c>
      <c r="Z388" s="36">
        <f>Table2[[#This Row],[Final Contract Value]]+Table2[[#This Row],[Supervision Contract amount]]+Table2[[#This Row],[Authority Cost]]</f>
        <v>79654309</v>
      </c>
      <c r="AA388" s="36">
        <v>9564148.0700000003</v>
      </c>
      <c r="AB388" s="36">
        <v>180000</v>
      </c>
      <c r="AC388" s="91" t="str">
        <f t="shared" si="21"/>
        <v>https://drive.google.com/thumbnail?id=1ObN57YJNOg65CaDV-I6Uf3vEwf4ffCFW&amp;sz=w1000</v>
      </c>
      <c r="AD388" s="172" t="s">
        <v>728</v>
      </c>
      <c r="AE388" s="74" t="str">
        <f t="shared" si="22"/>
        <v>https://drive.google.com/thumbnail?id=17_08NSWt7_gBt9GqJ59cc4phZ7kJIzsK&amp;sz=w1000</v>
      </c>
      <c r="AF388" s="172" t="s">
        <v>729</v>
      </c>
      <c r="AG388" s="73" t="str">
        <f t="shared" si="23"/>
        <v>https://drive.google.com/thumbnail?id=1eUqriZfZ8ZcnMu4n6LORw1pcnpQae1-d&amp;sz=w1000</v>
      </c>
      <c r="AH388" s="172" t="s">
        <v>730</v>
      </c>
    </row>
    <row r="389" spans="1:34" ht="22.15" customHeight="1">
      <c r="A389" s="30">
        <v>45534</v>
      </c>
      <c r="B389" s="17" t="s">
        <v>260</v>
      </c>
      <c r="C389" s="17" t="s">
        <v>262</v>
      </c>
      <c r="D389" s="16" t="str" cm="1">
        <f t="array" ref="D389">_xlfn.XLOOKUP(1, (Table1[Project Name]=Table2[[#This Row],[Project ID]])*(Table1[Plot]=Table2[[#This Row],[Plot]]), Table1[Project ID])</f>
        <v>SC-06</v>
      </c>
      <c r="E389" s="69">
        <v>348</v>
      </c>
      <c r="F389" s="70">
        <v>199</v>
      </c>
      <c r="G389" s="69">
        <f>Table2[[#This Row],[Time Elapsed]]+Table2[[#This Row],[Time Remaining]]</f>
        <v>547</v>
      </c>
      <c r="H389" s="162" t="s">
        <v>698</v>
      </c>
      <c r="I389" s="159" t="s">
        <v>693</v>
      </c>
      <c r="J389" s="160">
        <v>0.23880000000000001</v>
      </c>
      <c r="K389" s="161">
        <v>0.2024</v>
      </c>
      <c r="L389" s="13">
        <f>Table2[[#This Row],[Actual %]]-Table2[[#This Row],[Plan %]]</f>
        <v>-3.6400000000000016E-2</v>
      </c>
      <c r="M389" s="165" t="s">
        <v>51</v>
      </c>
      <c r="N389" s="12">
        <v>45220</v>
      </c>
      <c r="O389" s="12">
        <v>45297</v>
      </c>
      <c r="P389" s="12"/>
      <c r="Q389" s="12">
        <v>45534</v>
      </c>
      <c r="R389" s="159" t="s">
        <v>700</v>
      </c>
      <c r="S389" s="159" t="s">
        <v>701</v>
      </c>
      <c r="T389" s="164" t="s">
        <v>711</v>
      </c>
      <c r="U389" s="122">
        <v>78077600</v>
      </c>
      <c r="V389" s="36"/>
      <c r="W389" s="36">
        <f>Table2[[#This Row],[Construction Contract Amount]]+Table2[[#This Row],[Cumulative Variations]]</f>
        <v>78077600</v>
      </c>
      <c r="X389" s="36">
        <v>1576709</v>
      </c>
      <c r="Y389" s="36">
        <v>0</v>
      </c>
      <c r="Z389" s="36">
        <f>Table2[[#This Row],[Final Contract Value]]+Table2[[#This Row],[Supervision Contract amount]]+Table2[[#This Row],[Authority Cost]]</f>
        <v>79654309</v>
      </c>
      <c r="AA389" s="36">
        <v>9564148.0700000003</v>
      </c>
      <c r="AB389" s="36">
        <v>180000</v>
      </c>
      <c r="AC389" s="91" t="str">
        <f t="shared" si="21"/>
        <v>https://drive.google.com/thumbnail?id=1ObN57YJNOg65CaDV-I6Uf3vEwf4ffCFW&amp;sz=w1000</v>
      </c>
      <c r="AD389" s="172" t="s">
        <v>728</v>
      </c>
      <c r="AE389" s="74" t="str">
        <f t="shared" si="22"/>
        <v>https://drive.google.com/thumbnail?id=17_08NSWt7_gBt9GqJ59cc4phZ7kJIzsK&amp;sz=w1000</v>
      </c>
      <c r="AF389" s="172" t="s">
        <v>729</v>
      </c>
      <c r="AG389" s="73" t="str">
        <f t="shared" si="23"/>
        <v>https://drive.google.com/thumbnail?id=1eUqriZfZ8ZcnMu4n6LORw1pcnpQae1-d&amp;sz=w1000</v>
      </c>
      <c r="AH389" s="172" t="s">
        <v>730</v>
      </c>
    </row>
    <row r="390" spans="1:34" ht="22.15" customHeight="1">
      <c r="A390" s="30">
        <v>45534</v>
      </c>
      <c r="B390" s="17" t="s">
        <v>260</v>
      </c>
      <c r="C390" s="17" t="s">
        <v>262</v>
      </c>
      <c r="D390" s="16" t="str" cm="1">
        <f t="array" ref="D390">_xlfn.XLOOKUP(1, (Table1[Project Name]=Table2[[#This Row],[Project ID]])*(Table1[Plot]=Table2[[#This Row],[Plot]]), Table1[Project ID])</f>
        <v>SC-06</v>
      </c>
      <c r="E390" s="69">
        <v>348</v>
      </c>
      <c r="F390" s="70">
        <v>199</v>
      </c>
      <c r="G390" s="69">
        <f>Table2[[#This Row],[Time Elapsed]]+Table2[[#This Row],[Time Remaining]]</f>
        <v>547</v>
      </c>
      <c r="H390" s="162" t="s">
        <v>698</v>
      </c>
      <c r="I390" s="159" t="s">
        <v>693</v>
      </c>
      <c r="J390" s="160">
        <v>0.23880000000000001</v>
      </c>
      <c r="K390" s="161">
        <v>0.2024</v>
      </c>
      <c r="L390" s="13">
        <f>Table2[[#This Row],[Actual %]]-Table2[[#This Row],[Plan %]]</f>
        <v>-3.6400000000000016E-2</v>
      </c>
      <c r="M390" s="165" t="s">
        <v>287</v>
      </c>
      <c r="N390" s="12">
        <v>45429</v>
      </c>
      <c r="O390" s="12">
        <v>45435</v>
      </c>
      <c r="P390" s="12"/>
      <c r="Q390" s="12">
        <v>45534</v>
      </c>
      <c r="R390" s="159" t="s">
        <v>700</v>
      </c>
      <c r="S390" s="159" t="s">
        <v>701</v>
      </c>
      <c r="T390" s="164" t="s">
        <v>711</v>
      </c>
      <c r="U390" s="122">
        <v>78077600</v>
      </c>
      <c r="V390" s="36"/>
      <c r="W390" s="36">
        <f>Table2[[#This Row],[Construction Contract Amount]]+Table2[[#This Row],[Cumulative Variations]]</f>
        <v>78077600</v>
      </c>
      <c r="X390" s="36">
        <v>1576709</v>
      </c>
      <c r="Y390" s="36">
        <v>0</v>
      </c>
      <c r="Z390" s="36">
        <f>Table2[[#This Row],[Final Contract Value]]+Table2[[#This Row],[Supervision Contract amount]]+Table2[[#This Row],[Authority Cost]]</f>
        <v>79654309</v>
      </c>
      <c r="AA390" s="36">
        <v>9564148.0700000003</v>
      </c>
      <c r="AB390" s="36">
        <v>180000</v>
      </c>
      <c r="AC390" s="91" t="str">
        <f t="shared" si="21"/>
        <v>https://drive.google.com/thumbnail?id=1ObN57YJNOg65CaDV-I6Uf3vEwf4ffCFW&amp;sz=w1000</v>
      </c>
      <c r="AD390" s="172" t="s">
        <v>728</v>
      </c>
      <c r="AE390" s="74" t="str">
        <f t="shared" si="22"/>
        <v>https://drive.google.com/thumbnail?id=17_08NSWt7_gBt9GqJ59cc4phZ7kJIzsK&amp;sz=w1000</v>
      </c>
      <c r="AF390" s="172" t="s">
        <v>729</v>
      </c>
      <c r="AG390" s="73" t="str">
        <f t="shared" si="23"/>
        <v>https://drive.google.com/thumbnail?id=1eUqriZfZ8ZcnMu4n6LORw1pcnpQae1-d&amp;sz=w1000</v>
      </c>
      <c r="AH390" s="172" t="s">
        <v>730</v>
      </c>
    </row>
    <row r="391" spans="1:34" ht="22.15" customHeight="1">
      <c r="A391" s="30">
        <v>45534</v>
      </c>
      <c r="B391" s="17" t="s">
        <v>260</v>
      </c>
      <c r="C391" s="17" t="s">
        <v>262</v>
      </c>
      <c r="D391" s="16" t="str" cm="1">
        <f t="array" ref="D391">_xlfn.XLOOKUP(1, (Table1[Project Name]=Table2[[#This Row],[Project ID]])*(Table1[Plot]=Table2[[#This Row],[Plot]]), Table1[Project ID])</f>
        <v>SC-06</v>
      </c>
      <c r="E391" s="69">
        <v>348</v>
      </c>
      <c r="F391" s="70">
        <v>199</v>
      </c>
      <c r="G391" s="69">
        <f>Table2[[#This Row],[Time Elapsed]]+Table2[[#This Row],[Time Remaining]]</f>
        <v>547</v>
      </c>
      <c r="H391" s="162" t="s">
        <v>698</v>
      </c>
      <c r="I391" s="159" t="s">
        <v>693</v>
      </c>
      <c r="J391" s="160">
        <v>0.23880000000000001</v>
      </c>
      <c r="K391" s="161">
        <v>0.2024</v>
      </c>
      <c r="L391" s="13">
        <f>Table2[[#This Row],[Actual %]]-Table2[[#This Row],[Plan %]]</f>
        <v>-3.6400000000000016E-2</v>
      </c>
      <c r="M391" s="165" t="s">
        <v>703</v>
      </c>
      <c r="N391" s="12">
        <v>45510</v>
      </c>
      <c r="O391" s="12"/>
      <c r="P391" s="12">
        <v>45548</v>
      </c>
      <c r="Q391" s="12">
        <v>45534</v>
      </c>
      <c r="R391" s="159" t="s">
        <v>700</v>
      </c>
      <c r="S391" s="159" t="s">
        <v>701</v>
      </c>
      <c r="T391" s="164" t="s">
        <v>711</v>
      </c>
      <c r="U391" s="122">
        <v>78077600</v>
      </c>
      <c r="V391" s="36"/>
      <c r="W391" s="36">
        <f>Table2[[#This Row],[Construction Contract Amount]]+Table2[[#This Row],[Cumulative Variations]]</f>
        <v>78077600</v>
      </c>
      <c r="X391" s="36">
        <v>1576709</v>
      </c>
      <c r="Y391" s="36">
        <v>0</v>
      </c>
      <c r="Z391" s="36">
        <f>Table2[[#This Row],[Final Contract Value]]+Table2[[#This Row],[Supervision Contract amount]]+Table2[[#This Row],[Authority Cost]]</f>
        <v>79654309</v>
      </c>
      <c r="AA391" s="36">
        <v>9564148.0700000003</v>
      </c>
      <c r="AB391" s="36">
        <v>180000</v>
      </c>
      <c r="AC391" s="91" t="str">
        <f t="shared" si="21"/>
        <v>https://drive.google.com/thumbnail?id=1ObN57YJNOg65CaDV-I6Uf3vEwf4ffCFW&amp;sz=w1000</v>
      </c>
      <c r="AD391" s="172" t="s">
        <v>728</v>
      </c>
      <c r="AE391" s="74" t="str">
        <f t="shared" si="22"/>
        <v>https://drive.google.com/thumbnail?id=17_08NSWt7_gBt9GqJ59cc4phZ7kJIzsK&amp;sz=w1000</v>
      </c>
      <c r="AF391" s="172" t="s">
        <v>729</v>
      </c>
      <c r="AG391" s="73" t="str">
        <f t="shared" si="23"/>
        <v>https://drive.google.com/thumbnail?id=1eUqriZfZ8ZcnMu4n6LORw1pcnpQae1-d&amp;sz=w1000</v>
      </c>
      <c r="AH391" s="172" t="s">
        <v>730</v>
      </c>
    </row>
    <row r="392" spans="1:34" ht="22.15" customHeight="1">
      <c r="A392" s="30">
        <v>45534</v>
      </c>
      <c r="B392" s="17" t="s">
        <v>260</v>
      </c>
      <c r="C392" s="17" t="s">
        <v>262</v>
      </c>
      <c r="D392" s="16" t="str" cm="1">
        <f t="array" ref="D392">_xlfn.XLOOKUP(1, (Table1[Project Name]=Table2[[#This Row],[Project ID]])*(Table1[Plot]=Table2[[#This Row],[Plot]]), Table1[Project ID])</f>
        <v>SC-06</v>
      </c>
      <c r="E392" s="69">
        <v>348</v>
      </c>
      <c r="F392" s="70">
        <v>199</v>
      </c>
      <c r="G392" s="69">
        <f>Table2[[#This Row],[Time Elapsed]]+Table2[[#This Row],[Time Remaining]]</f>
        <v>547</v>
      </c>
      <c r="H392" s="162" t="s">
        <v>698</v>
      </c>
      <c r="I392" s="159" t="s">
        <v>693</v>
      </c>
      <c r="J392" s="160">
        <v>0.23880000000000001</v>
      </c>
      <c r="K392" s="161">
        <v>0.2024</v>
      </c>
      <c r="L392" s="13">
        <f>Table2[[#This Row],[Actual %]]-Table2[[#This Row],[Plan %]]</f>
        <v>-3.6400000000000016E-2</v>
      </c>
      <c r="M392" s="165" t="s">
        <v>704</v>
      </c>
      <c r="N392" s="12">
        <v>45603</v>
      </c>
      <c r="O392" s="12"/>
      <c r="P392" s="12">
        <v>45612</v>
      </c>
      <c r="Q392" s="12">
        <v>45534</v>
      </c>
      <c r="R392" s="159" t="s">
        <v>700</v>
      </c>
      <c r="S392" s="159" t="s">
        <v>701</v>
      </c>
      <c r="T392" s="164" t="s">
        <v>711</v>
      </c>
      <c r="U392" s="122">
        <v>78077600</v>
      </c>
      <c r="V392" s="36"/>
      <c r="W392" s="36">
        <f>Table2[[#This Row],[Construction Contract Amount]]+Table2[[#This Row],[Cumulative Variations]]</f>
        <v>78077600</v>
      </c>
      <c r="X392" s="36">
        <v>1576709</v>
      </c>
      <c r="Y392" s="36">
        <v>0</v>
      </c>
      <c r="Z392" s="36">
        <f>Table2[[#This Row],[Final Contract Value]]+Table2[[#This Row],[Supervision Contract amount]]+Table2[[#This Row],[Authority Cost]]</f>
        <v>79654309</v>
      </c>
      <c r="AA392" s="36">
        <v>9564148.0700000003</v>
      </c>
      <c r="AB392" s="36">
        <v>180000</v>
      </c>
      <c r="AC392" s="91" t="str">
        <f t="shared" si="21"/>
        <v>https://drive.google.com/thumbnail?id=1ObN57YJNOg65CaDV-I6Uf3vEwf4ffCFW&amp;sz=w1000</v>
      </c>
      <c r="AD392" s="172" t="s">
        <v>728</v>
      </c>
      <c r="AE392" s="74" t="str">
        <f t="shared" si="22"/>
        <v>https://drive.google.com/thumbnail?id=17_08NSWt7_gBt9GqJ59cc4phZ7kJIzsK&amp;sz=w1000</v>
      </c>
      <c r="AF392" s="172" t="s">
        <v>729</v>
      </c>
      <c r="AG392" s="73" t="str">
        <f t="shared" si="23"/>
        <v>https://drive.google.com/thumbnail?id=1eUqriZfZ8ZcnMu4n6LORw1pcnpQae1-d&amp;sz=w1000</v>
      </c>
      <c r="AH392" s="172" t="s">
        <v>730</v>
      </c>
    </row>
    <row r="393" spans="1:34" ht="22.15" customHeight="1">
      <c r="A393" s="30">
        <v>45534</v>
      </c>
      <c r="B393" s="17" t="s">
        <v>260</v>
      </c>
      <c r="C393" s="17" t="s">
        <v>262</v>
      </c>
      <c r="D393" s="16" t="str" cm="1">
        <f t="array" ref="D393">_xlfn.XLOOKUP(1, (Table1[Project Name]=Table2[[#This Row],[Project ID]])*(Table1[Plot]=Table2[[#This Row],[Plot]]), Table1[Project ID])</f>
        <v>SC-06</v>
      </c>
      <c r="E393" s="69">
        <v>348</v>
      </c>
      <c r="F393" s="70">
        <v>199</v>
      </c>
      <c r="G393" s="69">
        <f>Table2[[#This Row],[Time Elapsed]]+Table2[[#This Row],[Time Remaining]]</f>
        <v>547</v>
      </c>
      <c r="H393" s="162" t="s">
        <v>698</v>
      </c>
      <c r="I393" s="159" t="s">
        <v>693</v>
      </c>
      <c r="J393" s="160">
        <v>0.23880000000000001</v>
      </c>
      <c r="K393" s="161">
        <v>0.2024</v>
      </c>
      <c r="L393" s="13">
        <f>Table2[[#This Row],[Actual %]]-Table2[[#This Row],[Plan %]]</f>
        <v>-3.6400000000000016E-2</v>
      </c>
      <c r="M393" s="165" t="s">
        <v>705</v>
      </c>
      <c r="N393" s="12">
        <v>45510</v>
      </c>
      <c r="O393" s="12">
        <v>45486</v>
      </c>
      <c r="P393" s="12"/>
      <c r="Q393" s="12">
        <v>45534</v>
      </c>
      <c r="R393" s="159" t="s">
        <v>700</v>
      </c>
      <c r="S393" s="159" t="s">
        <v>701</v>
      </c>
      <c r="T393" s="164" t="s">
        <v>711</v>
      </c>
      <c r="U393" s="122">
        <v>78077600</v>
      </c>
      <c r="V393" s="36"/>
      <c r="W393" s="36">
        <f>Table2[[#This Row],[Construction Contract Amount]]+Table2[[#This Row],[Cumulative Variations]]</f>
        <v>78077600</v>
      </c>
      <c r="X393" s="36">
        <v>1576709</v>
      </c>
      <c r="Y393" s="36">
        <v>0</v>
      </c>
      <c r="Z393" s="36">
        <f>Table2[[#This Row],[Final Contract Value]]+Table2[[#This Row],[Supervision Contract amount]]+Table2[[#This Row],[Authority Cost]]</f>
        <v>79654309</v>
      </c>
      <c r="AA393" s="36">
        <v>9564148.0700000003</v>
      </c>
      <c r="AB393" s="36">
        <v>180000</v>
      </c>
      <c r="AC393" s="91" t="str">
        <f t="shared" si="21"/>
        <v>https://drive.google.com/thumbnail?id=1ObN57YJNOg65CaDV-I6Uf3vEwf4ffCFW&amp;sz=w1000</v>
      </c>
      <c r="AD393" s="172" t="s">
        <v>728</v>
      </c>
      <c r="AE393" s="74" t="str">
        <f t="shared" si="22"/>
        <v>https://drive.google.com/thumbnail?id=17_08NSWt7_gBt9GqJ59cc4phZ7kJIzsK&amp;sz=w1000</v>
      </c>
      <c r="AF393" s="172" t="s">
        <v>729</v>
      </c>
      <c r="AG393" s="73" t="str">
        <f t="shared" si="23"/>
        <v>https://drive.google.com/thumbnail?id=1eUqriZfZ8ZcnMu4n6LORw1pcnpQae1-d&amp;sz=w1000</v>
      </c>
      <c r="AH393" s="172" t="s">
        <v>730</v>
      </c>
    </row>
    <row r="394" spans="1:34" ht="22.15" customHeight="1">
      <c r="A394" s="30">
        <v>45534</v>
      </c>
      <c r="B394" s="17" t="s">
        <v>260</v>
      </c>
      <c r="C394" s="17" t="s">
        <v>262</v>
      </c>
      <c r="D394" s="16" t="str" cm="1">
        <f t="array" ref="D394">_xlfn.XLOOKUP(1, (Table1[Project Name]=Table2[[#This Row],[Project ID]])*(Table1[Plot]=Table2[[#This Row],[Plot]]), Table1[Project ID])</f>
        <v>SC-06</v>
      </c>
      <c r="E394" s="69">
        <v>348</v>
      </c>
      <c r="F394" s="70">
        <v>199</v>
      </c>
      <c r="G394" s="69">
        <f>Table2[[#This Row],[Time Elapsed]]+Table2[[#This Row],[Time Remaining]]</f>
        <v>547</v>
      </c>
      <c r="H394" s="162" t="s">
        <v>698</v>
      </c>
      <c r="I394" s="159" t="s">
        <v>693</v>
      </c>
      <c r="J394" s="160">
        <v>0.23880000000000001</v>
      </c>
      <c r="K394" s="161">
        <v>0.2024</v>
      </c>
      <c r="L394" s="13">
        <f>Table2[[#This Row],[Actual %]]-Table2[[#This Row],[Plan %]]</f>
        <v>-3.6400000000000016E-2</v>
      </c>
      <c r="M394" s="165" t="s">
        <v>706</v>
      </c>
      <c r="N394" s="12">
        <v>45596</v>
      </c>
      <c r="O394" s="12"/>
      <c r="P394" s="12">
        <v>45586</v>
      </c>
      <c r="Q394" s="12">
        <v>45534</v>
      </c>
      <c r="R394" s="159" t="s">
        <v>700</v>
      </c>
      <c r="S394" s="159" t="s">
        <v>701</v>
      </c>
      <c r="T394" s="164" t="s">
        <v>711</v>
      </c>
      <c r="U394" s="122">
        <v>78077600</v>
      </c>
      <c r="V394" s="36"/>
      <c r="W394" s="36">
        <f>Table2[[#This Row],[Construction Contract Amount]]+Table2[[#This Row],[Cumulative Variations]]</f>
        <v>78077600</v>
      </c>
      <c r="X394" s="36">
        <v>1576709</v>
      </c>
      <c r="Y394" s="36">
        <v>0</v>
      </c>
      <c r="Z394" s="36">
        <f>Table2[[#This Row],[Final Contract Value]]+Table2[[#This Row],[Supervision Contract amount]]+Table2[[#This Row],[Authority Cost]]</f>
        <v>79654309</v>
      </c>
      <c r="AA394" s="36">
        <v>9564148.0700000003</v>
      </c>
      <c r="AB394" s="36">
        <v>180000</v>
      </c>
      <c r="AC394" s="91" t="str">
        <f t="shared" si="21"/>
        <v>https://drive.google.com/thumbnail?id=1ObN57YJNOg65CaDV-I6Uf3vEwf4ffCFW&amp;sz=w1000</v>
      </c>
      <c r="AD394" s="172" t="s">
        <v>728</v>
      </c>
      <c r="AE394" s="74" t="str">
        <f t="shared" si="22"/>
        <v>https://drive.google.com/thumbnail?id=17_08NSWt7_gBt9GqJ59cc4phZ7kJIzsK&amp;sz=w1000</v>
      </c>
      <c r="AF394" s="172" t="s">
        <v>729</v>
      </c>
      <c r="AG394" s="73" t="str">
        <f t="shared" si="23"/>
        <v>https://drive.google.com/thumbnail?id=1eUqriZfZ8ZcnMu4n6LORw1pcnpQae1-d&amp;sz=w1000</v>
      </c>
      <c r="AH394" s="172" t="s">
        <v>730</v>
      </c>
    </row>
    <row r="395" spans="1:34" ht="22.15" customHeight="1">
      <c r="A395" s="30">
        <v>45534</v>
      </c>
      <c r="B395" s="17" t="s">
        <v>260</v>
      </c>
      <c r="C395" s="17" t="s">
        <v>262</v>
      </c>
      <c r="D395" s="16" t="str" cm="1">
        <f t="array" ref="D395">_xlfn.XLOOKUP(1, (Table1[Project Name]=Table2[[#This Row],[Project ID]])*(Table1[Plot]=Table2[[#This Row],[Plot]]), Table1[Project ID])</f>
        <v>SC-06</v>
      </c>
      <c r="E395" s="69">
        <v>348</v>
      </c>
      <c r="F395" s="70">
        <v>199</v>
      </c>
      <c r="G395" s="69">
        <f>Table2[[#This Row],[Time Elapsed]]+Table2[[#This Row],[Time Remaining]]</f>
        <v>547</v>
      </c>
      <c r="H395" s="162" t="s">
        <v>698</v>
      </c>
      <c r="I395" s="159" t="s">
        <v>693</v>
      </c>
      <c r="J395" s="160">
        <v>0.23880000000000001</v>
      </c>
      <c r="K395" s="161">
        <v>0.2024</v>
      </c>
      <c r="L395" s="13">
        <f>Table2[[#This Row],[Actual %]]-Table2[[#This Row],[Plan %]]</f>
        <v>-3.6400000000000016E-2</v>
      </c>
      <c r="M395" s="165" t="s">
        <v>280</v>
      </c>
      <c r="N395" s="12">
        <v>45682</v>
      </c>
      <c r="O395" s="12"/>
      <c r="P395" s="12">
        <v>45792</v>
      </c>
      <c r="Q395" s="12">
        <v>45534</v>
      </c>
      <c r="R395" s="159" t="s">
        <v>700</v>
      </c>
      <c r="S395" s="159" t="s">
        <v>701</v>
      </c>
      <c r="T395" s="164" t="s">
        <v>711</v>
      </c>
      <c r="U395" s="122">
        <v>78077600</v>
      </c>
      <c r="V395" s="36"/>
      <c r="W395" s="36">
        <f>Table2[[#This Row],[Construction Contract Amount]]+Table2[[#This Row],[Cumulative Variations]]</f>
        <v>78077600</v>
      </c>
      <c r="X395" s="36">
        <v>1576709</v>
      </c>
      <c r="Y395" s="36">
        <v>0</v>
      </c>
      <c r="Z395" s="36">
        <f>Table2[[#This Row],[Final Contract Value]]+Table2[[#This Row],[Supervision Contract amount]]+Table2[[#This Row],[Authority Cost]]</f>
        <v>79654309</v>
      </c>
      <c r="AA395" s="36">
        <v>9564148.0700000003</v>
      </c>
      <c r="AB395" s="36">
        <v>180000</v>
      </c>
      <c r="AC395" s="91" t="str">
        <f t="shared" si="21"/>
        <v>https://drive.google.com/thumbnail?id=1ObN57YJNOg65CaDV-I6Uf3vEwf4ffCFW&amp;sz=w1000</v>
      </c>
      <c r="AD395" s="172" t="s">
        <v>728</v>
      </c>
      <c r="AE395" s="74" t="str">
        <f t="shared" si="22"/>
        <v>https://drive.google.com/thumbnail?id=17_08NSWt7_gBt9GqJ59cc4phZ7kJIzsK&amp;sz=w1000</v>
      </c>
      <c r="AF395" s="172" t="s">
        <v>729</v>
      </c>
      <c r="AG395" s="73" t="str">
        <f t="shared" si="23"/>
        <v>https://drive.google.com/thumbnail?id=1eUqriZfZ8ZcnMu4n6LORw1pcnpQae1-d&amp;sz=w1000</v>
      </c>
      <c r="AH395" s="172" t="s">
        <v>730</v>
      </c>
    </row>
    <row r="396" spans="1:34" ht="22.15" customHeight="1">
      <c r="A396" s="30">
        <v>45534</v>
      </c>
      <c r="B396" s="17" t="s">
        <v>260</v>
      </c>
      <c r="C396" s="17" t="s">
        <v>262</v>
      </c>
      <c r="D396" s="16" t="str" cm="1">
        <f t="array" ref="D396">_xlfn.XLOOKUP(1, (Table1[Project Name]=Table2[[#This Row],[Project ID]])*(Table1[Plot]=Table2[[#This Row],[Plot]]), Table1[Project ID])</f>
        <v>SC-06</v>
      </c>
      <c r="E396" s="69">
        <v>348</v>
      </c>
      <c r="F396" s="70">
        <v>199</v>
      </c>
      <c r="G396" s="69">
        <f>Table2[[#This Row],[Time Elapsed]]+Table2[[#This Row],[Time Remaining]]</f>
        <v>547</v>
      </c>
      <c r="H396" s="162" t="s">
        <v>698</v>
      </c>
      <c r="I396" s="159" t="s">
        <v>693</v>
      </c>
      <c r="J396" s="160">
        <v>0.23880000000000001</v>
      </c>
      <c r="K396" s="161">
        <v>0.2024</v>
      </c>
      <c r="L396" s="13">
        <f>Table2[[#This Row],[Actual %]]-Table2[[#This Row],[Plan %]]</f>
        <v>-3.6400000000000016E-2</v>
      </c>
      <c r="M396" s="165" t="s">
        <v>343</v>
      </c>
      <c r="N396" s="12">
        <v>45701</v>
      </c>
      <c r="O396" s="12"/>
      <c r="P396" s="12">
        <v>45803</v>
      </c>
      <c r="Q396" s="12">
        <v>45534</v>
      </c>
      <c r="R396" s="159" t="s">
        <v>700</v>
      </c>
      <c r="S396" s="159" t="s">
        <v>701</v>
      </c>
      <c r="T396" s="164" t="s">
        <v>711</v>
      </c>
      <c r="U396" s="122">
        <v>78077600</v>
      </c>
      <c r="V396" s="36"/>
      <c r="W396" s="36">
        <f>Table2[[#This Row],[Construction Contract Amount]]+Table2[[#This Row],[Cumulative Variations]]</f>
        <v>78077600</v>
      </c>
      <c r="X396" s="36">
        <v>1576709</v>
      </c>
      <c r="Y396" s="36">
        <v>0</v>
      </c>
      <c r="Z396" s="36">
        <f>Table2[[#This Row],[Final Contract Value]]+Table2[[#This Row],[Supervision Contract amount]]+Table2[[#This Row],[Authority Cost]]</f>
        <v>79654309</v>
      </c>
      <c r="AA396" s="36">
        <v>9564148.0700000003</v>
      </c>
      <c r="AB396" s="36">
        <v>180000</v>
      </c>
      <c r="AC396" s="91" t="str">
        <f t="shared" si="21"/>
        <v>https://drive.google.com/thumbnail?id=1ObN57YJNOg65CaDV-I6Uf3vEwf4ffCFW&amp;sz=w1000</v>
      </c>
      <c r="AD396" s="172" t="s">
        <v>728</v>
      </c>
      <c r="AE396" s="74" t="str">
        <f t="shared" si="22"/>
        <v>https://drive.google.com/thumbnail?id=17_08NSWt7_gBt9GqJ59cc4phZ7kJIzsK&amp;sz=w1000</v>
      </c>
      <c r="AF396" s="172" t="s">
        <v>729</v>
      </c>
      <c r="AG396" s="73" t="str">
        <f t="shared" si="23"/>
        <v>https://drive.google.com/thumbnail?id=1eUqriZfZ8ZcnMu4n6LORw1pcnpQae1-d&amp;sz=w1000</v>
      </c>
      <c r="AH396" s="172" t="s">
        <v>730</v>
      </c>
    </row>
    <row r="397" spans="1:34" ht="22.15" customHeight="1">
      <c r="A397" s="30">
        <v>45534</v>
      </c>
      <c r="B397" s="17" t="s">
        <v>260</v>
      </c>
      <c r="C397" s="17" t="s">
        <v>262</v>
      </c>
      <c r="D397" s="16" t="str" cm="1">
        <f t="array" ref="D397">_xlfn.XLOOKUP(1, (Table1[Project Name]=Table2[[#This Row],[Project ID]])*(Table1[Plot]=Table2[[#This Row],[Plot]]), Table1[Project ID])</f>
        <v>SC-06</v>
      </c>
      <c r="E397" s="69">
        <v>348</v>
      </c>
      <c r="F397" s="70">
        <v>199</v>
      </c>
      <c r="G397" s="69">
        <f>Table2[[#This Row],[Time Elapsed]]+Table2[[#This Row],[Time Remaining]]</f>
        <v>547</v>
      </c>
      <c r="H397" s="162" t="s">
        <v>698</v>
      </c>
      <c r="I397" s="159" t="s">
        <v>693</v>
      </c>
      <c r="J397" s="160">
        <v>0.23880000000000001</v>
      </c>
      <c r="K397" s="161">
        <v>0.2024</v>
      </c>
      <c r="L397" s="13">
        <f>Table2[[#This Row],[Actual %]]-Table2[[#This Row],[Plan %]]</f>
        <v>-3.6400000000000016E-2</v>
      </c>
      <c r="M397" s="165" t="s">
        <v>344</v>
      </c>
      <c r="N397" s="12">
        <v>45720</v>
      </c>
      <c r="O397" s="12"/>
      <c r="P397" s="12">
        <v>45824</v>
      </c>
      <c r="Q397" s="12">
        <v>45534</v>
      </c>
      <c r="R397" s="159" t="s">
        <v>700</v>
      </c>
      <c r="S397" s="159" t="s">
        <v>701</v>
      </c>
      <c r="T397" s="164" t="s">
        <v>711</v>
      </c>
      <c r="U397" s="122">
        <v>78077600</v>
      </c>
      <c r="V397" s="36"/>
      <c r="W397" s="36">
        <f>Table2[[#This Row],[Construction Contract Amount]]+Table2[[#This Row],[Cumulative Variations]]</f>
        <v>78077600</v>
      </c>
      <c r="X397" s="36">
        <v>1576709</v>
      </c>
      <c r="Y397" s="36">
        <v>0</v>
      </c>
      <c r="Z397" s="36">
        <f>Table2[[#This Row],[Final Contract Value]]+Table2[[#This Row],[Supervision Contract amount]]+Table2[[#This Row],[Authority Cost]]</f>
        <v>79654309</v>
      </c>
      <c r="AA397" s="36">
        <v>9564148.0700000003</v>
      </c>
      <c r="AB397" s="36">
        <v>180000</v>
      </c>
      <c r="AC397" s="91" t="str">
        <f t="shared" si="21"/>
        <v>https://drive.google.com/thumbnail?id=1ObN57YJNOg65CaDV-I6Uf3vEwf4ffCFW&amp;sz=w1000</v>
      </c>
      <c r="AD397" s="172" t="s">
        <v>728</v>
      </c>
      <c r="AE397" s="74" t="str">
        <f t="shared" si="22"/>
        <v>https://drive.google.com/thumbnail?id=17_08NSWt7_gBt9GqJ59cc4phZ7kJIzsK&amp;sz=w1000</v>
      </c>
      <c r="AF397" s="172" t="s">
        <v>729</v>
      </c>
      <c r="AG397" s="73" t="str">
        <f t="shared" si="23"/>
        <v>https://drive.google.com/thumbnail?id=1eUqriZfZ8ZcnMu4n6LORw1pcnpQae1-d&amp;sz=w1000</v>
      </c>
      <c r="AH397" s="172" t="s">
        <v>730</v>
      </c>
    </row>
    <row r="398" spans="1:34" ht="22.15" customHeight="1">
      <c r="A398" s="30">
        <v>45534</v>
      </c>
      <c r="B398" s="17" t="s">
        <v>260</v>
      </c>
      <c r="C398" s="17" t="s">
        <v>262</v>
      </c>
      <c r="D398" s="16" t="str" cm="1">
        <f t="array" ref="D398">_xlfn.XLOOKUP(1, (Table1[Project Name]=Table2[[#This Row],[Project ID]])*(Table1[Plot]=Table2[[#This Row],[Plot]]), Table1[Project ID])</f>
        <v>SC-06</v>
      </c>
      <c r="E398" s="69">
        <v>348</v>
      </c>
      <c r="F398" s="70">
        <v>199</v>
      </c>
      <c r="G398" s="69">
        <f>Table2[[#This Row],[Time Elapsed]]+Table2[[#This Row],[Time Remaining]]</f>
        <v>547</v>
      </c>
      <c r="H398" s="162" t="s">
        <v>698</v>
      </c>
      <c r="I398" s="159" t="s">
        <v>693</v>
      </c>
      <c r="J398" s="160">
        <v>0.23880000000000001</v>
      </c>
      <c r="K398" s="161">
        <v>0.2024</v>
      </c>
      <c r="L398" s="13">
        <f>Table2[[#This Row],[Actual %]]-Table2[[#This Row],[Plan %]]</f>
        <v>-3.6400000000000016E-2</v>
      </c>
      <c r="M398" s="165" t="s">
        <v>302</v>
      </c>
      <c r="N398" s="12">
        <v>45733</v>
      </c>
      <c r="O398" s="12"/>
      <c r="P398" s="12">
        <v>45838</v>
      </c>
      <c r="Q398" s="12">
        <v>45534</v>
      </c>
      <c r="R398" s="159" t="s">
        <v>700</v>
      </c>
      <c r="S398" s="159" t="s">
        <v>701</v>
      </c>
      <c r="T398" s="164" t="s">
        <v>711</v>
      </c>
      <c r="U398" s="122">
        <v>78077600</v>
      </c>
      <c r="V398" s="36"/>
      <c r="W398" s="36">
        <f>Table2[[#This Row],[Construction Contract Amount]]+Table2[[#This Row],[Cumulative Variations]]</f>
        <v>78077600</v>
      </c>
      <c r="X398" s="36">
        <v>1576709</v>
      </c>
      <c r="Y398" s="36">
        <v>0</v>
      </c>
      <c r="Z398" s="36">
        <f>Table2[[#This Row],[Final Contract Value]]+Table2[[#This Row],[Supervision Contract amount]]+Table2[[#This Row],[Authority Cost]]</f>
        <v>79654309</v>
      </c>
      <c r="AA398" s="36">
        <v>9564148.0700000003</v>
      </c>
      <c r="AB398" s="36">
        <v>180000</v>
      </c>
      <c r="AC398" s="91" t="str">
        <f t="shared" si="21"/>
        <v>https://drive.google.com/thumbnail?id=1ObN57YJNOg65CaDV-I6Uf3vEwf4ffCFW&amp;sz=w1000</v>
      </c>
      <c r="AD398" s="172" t="s">
        <v>728</v>
      </c>
      <c r="AE398" s="74" t="str">
        <f t="shared" si="22"/>
        <v>https://drive.google.com/thumbnail?id=17_08NSWt7_gBt9GqJ59cc4phZ7kJIzsK&amp;sz=w1000</v>
      </c>
      <c r="AF398" s="172" t="s">
        <v>729</v>
      </c>
      <c r="AG398" s="73" t="str">
        <f t="shared" si="23"/>
        <v>https://drive.google.com/thumbnail?id=1eUqriZfZ8ZcnMu4n6LORw1pcnpQae1-d&amp;sz=w1000</v>
      </c>
      <c r="AH398" s="172" t="s">
        <v>730</v>
      </c>
    </row>
    <row r="399" spans="1:34" ht="22.15" customHeight="1">
      <c r="A399" s="30">
        <v>45534</v>
      </c>
      <c r="B399" s="17" t="s">
        <v>264</v>
      </c>
      <c r="C399" s="17" t="s">
        <v>266</v>
      </c>
      <c r="D399" s="16" t="str" cm="1">
        <f t="array" ref="D399">_xlfn.XLOOKUP(1, (Table1[Project Name]=Table2[[#This Row],[Project ID]])*(Table1[Plot]=Table2[[#This Row],[Plot]]), Table1[Project ID])</f>
        <v>SC-07</v>
      </c>
      <c r="E399" s="69">
        <v>348</v>
      </c>
      <c r="F399" s="70">
        <v>199</v>
      </c>
      <c r="G399" s="69">
        <f>Table2[[#This Row],[Time Elapsed]]+Table2[[#This Row],[Time Remaining]]</f>
        <v>547</v>
      </c>
      <c r="H399" s="159" t="s">
        <v>699</v>
      </c>
      <c r="I399" s="159" t="s">
        <v>693</v>
      </c>
      <c r="J399" s="160">
        <v>0.23880000000000001</v>
      </c>
      <c r="K399" s="161">
        <v>0.2384</v>
      </c>
      <c r="L399" s="13">
        <f>Table2[[#This Row],[Actual %]]-Table2[[#This Row],[Plan %]]</f>
        <v>-4.0000000000001146E-4</v>
      </c>
      <c r="M399" s="163" t="s">
        <v>285</v>
      </c>
      <c r="N399" s="12">
        <v>45187</v>
      </c>
      <c r="O399" s="12">
        <v>45195</v>
      </c>
      <c r="P399" s="12"/>
      <c r="Q399" s="12">
        <v>45534</v>
      </c>
      <c r="R399" s="159" t="s">
        <v>700</v>
      </c>
      <c r="S399" s="159" t="s">
        <v>701</v>
      </c>
      <c r="T399" s="164" t="s">
        <v>712</v>
      </c>
      <c r="U399" s="122">
        <v>78077600</v>
      </c>
      <c r="V399" s="36"/>
      <c r="W399" s="36">
        <f>Table2[[#This Row],[Construction Contract Amount]]+Table2[[#This Row],[Cumulative Variations]]</f>
        <v>78077600</v>
      </c>
      <c r="X399" s="36">
        <v>1576709</v>
      </c>
      <c r="Y399" s="36">
        <v>0</v>
      </c>
      <c r="Z399" s="36">
        <f>Table2[[#This Row],[Final Contract Value]]+Table2[[#This Row],[Supervision Contract amount]]+Table2[[#This Row],[Authority Cost]]</f>
        <v>79654309</v>
      </c>
      <c r="AA399" s="36">
        <v>9741516.6099999994</v>
      </c>
      <c r="AB399" s="36">
        <v>180000</v>
      </c>
      <c r="AC399" s="91" t="str">
        <f t="shared" si="21"/>
        <v>https://drive.google.com/thumbnail?id=1oaU6aDLcm-WgPEMXNtdBYkqXGGsSkflq&amp;sz=w1000</v>
      </c>
      <c r="AD399" s="172" t="s">
        <v>731</v>
      </c>
      <c r="AE399" s="74" t="str">
        <f t="shared" si="22"/>
        <v>https://drive.google.com/thumbnail?id=1N9brwHmFW_PdvPj4vWj5-JYfwZ_j8qxo&amp;sz=w1000</v>
      </c>
      <c r="AF399" s="172" t="s">
        <v>732</v>
      </c>
      <c r="AG399" s="73" t="str">
        <f t="shared" si="23"/>
        <v>https://drive.google.com/thumbnail?id=1hvQKcWIheA72v1UtBckv-ww6mLtFEX5e&amp;sz=w1000</v>
      </c>
      <c r="AH399" s="172" t="s">
        <v>733</v>
      </c>
    </row>
    <row r="400" spans="1:34" ht="22.15" customHeight="1">
      <c r="A400" s="30">
        <v>45534</v>
      </c>
      <c r="B400" s="17" t="s">
        <v>264</v>
      </c>
      <c r="C400" s="17" t="s">
        <v>266</v>
      </c>
      <c r="D400" s="16" t="str" cm="1">
        <f t="array" ref="D400">_xlfn.XLOOKUP(1, (Table1[Project Name]=Table2[[#This Row],[Project ID]])*(Table1[Plot]=Table2[[#This Row],[Plot]]), Table1[Project ID])</f>
        <v>SC-07</v>
      </c>
      <c r="E400" s="69">
        <v>348</v>
      </c>
      <c r="F400" s="70">
        <v>199</v>
      </c>
      <c r="G400" s="69">
        <f>Table2[[#This Row],[Time Elapsed]]+Table2[[#This Row],[Time Remaining]]</f>
        <v>547</v>
      </c>
      <c r="H400" s="159" t="s">
        <v>699</v>
      </c>
      <c r="I400" s="159" t="s">
        <v>693</v>
      </c>
      <c r="J400" s="160">
        <v>0.23880000000000001</v>
      </c>
      <c r="K400" s="161">
        <v>0.2384</v>
      </c>
      <c r="L400" s="13">
        <f>Table2[[#This Row],[Actual %]]-Table2[[#This Row],[Plan %]]</f>
        <v>-4.0000000000001146E-4</v>
      </c>
      <c r="M400" s="165" t="s">
        <v>51</v>
      </c>
      <c r="N400" s="12">
        <v>45220</v>
      </c>
      <c r="O400" s="12">
        <v>45304</v>
      </c>
      <c r="P400" s="12"/>
      <c r="Q400" s="12">
        <v>45534</v>
      </c>
      <c r="R400" s="159" t="s">
        <v>700</v>
      </c>
      <c r="S400" s="159" t="s">
        <v>701</v>
      </c>
      <c r="T400" s="164" t="s">
        <v>712</v>
      </c>
      <c r="U400" s="122">
        <v>78077600</v>
      </c>
      <c r="V400" s="36"/>
      <c r="W400" s="36">
        <f>Table2[[#This Row],[Construction Contract Amount]]+Table2[[#This Row],[Cumulative Variations]]</f>
        <v>78077600</v>
      </c>
      <c r="X400" s="36">
        <v>1576709</v>
      </c>
      <c r="Y400" s="36">
        <v>0</v>
      </c>
      <c r="Z400" s="36">
        <f>Table2[[#This Row],[Final Contract Value]]+Table2[[#This Row],[Supervision Contract amount]]+Table2[[#This Row],[Authority Cost]]</f>
        <v>79654309</v>
      </c>
      <c r="AA400" s="36">
        <v>9741516.6099999994</v>
      </c>
      <c r="AB400" s="36">
        <v>180000</v>
      </c>
      <c r="AC400" s="91" t="str">
        <f t="shared" si="21"/>
        <v>https://drive.google.com/thumbnail?id=1oaU6aDLcm-WgPEMXNtdBYkqXGGsSkflq&amp;sz=w1000</v>
      </c>
      <c r="AD400" s="172" t="s">
        <v>731</v>
      </c>
      <c r="AE400" s="74" t="str">
        <f t="shared" si="22"/>
        <v>https://drive.google.com/thumbnail?id=1N9brwHmFW_PdvPj4vWj5-JYfwZ_j8qxo&amp;sz=w1000</v>
      </c>
      <c r="AF400" s="172" t="s">
        <v>732</v>
      </c>
      <c r="AG400" s="73" t="str">
        <f t="shared" si="23"/>
        <v>https://drive.google.com/thumbnail?id=1hvQKcWIheA72v1UtBckv-ww6mLtFEX5e&amp;sz=w1000</v>
      </c>
      <c r="AH400" s="172" t="s">
        <v>733</v>
      </c>
    </row>
    <row r="401" spans="1:34" ht="22.15" customHeight="1">
      <c r="A401" s="30">
        <v>45534</v>
      </c>
      <c r="B401" s="17" t="s">
        <v>264</v>
      </c>
      <c r="C401" s="17" t="s">
        <v>266</v>
      </c>
      <c r="D401" s="16" t="str" cm="1">
        <f t="array" ref="D401">_xlfn.XLOOKUP(1, (Table1[Project Name]=Table2[[#This Row],[Project ID]])*(Table1[Plot]=Table2[[#This Row],[Plot]]), Table1[Project ID])</f>
        <v>SC-07</v>
      </c>
      <c r="E401" s="69">
        <v>348</v>
      </c>
      <c r="F401" s="70">
        <v>199</v>
      </c>
      <c r="G401" s="69">
        <f>Table2[[#This Row],[Time Elapsed]]+Table2[[#This Row],[Time Remaining]]</f>
        <v>547</v>
      </c>
      <c r="H401" s="159" t="s">
        <v>699</v>
      </c>
      <c r="I401" s="159" t="s">
        <v>693</v>
      </c>
      <c r="J401" s="160">
        <v>0.23880000000000001</v>
      </c>
      <c r="K401" s="161">
        <v>0.2384</v>
      </c>
      <c r="L401" s="13">
        <f>Table2[[#This Row],[Actual %]]-Table2[[#This Row],[Plan %]]</f>
        <v>-4.0000000000001146E-4</v>
      </c>
      <c r="M401" s="165" t="s">
        <v>287</v>
      </c>
      <c r="N401" s="12">
        <v>45429</v>
      </c>
      <c r="O401" s="12">
        <v>45439</v>
      </c>
      <c r="P401" s="12"/>
      <c r="Q401" s="12">
        <v>45534</v>
      </c>
      <c r="R401" s="159" t="s">
        <v>700</v>
      </c>
      <c r="S401" s="159" t="s">
        <v>701</v>
      </c>
      <c r="T401" s="164" t="s">
        <v>712</v>
      </c>
      <c r="U401" s="122">
        <v>78077600</v>
      </c>
      <c r="V401" s="36"/>
      <c r="W401" s="36">
        <f>Table2[[#This Row],[Construction Contract Amount]]+Table2[[#This Row],[Cumulative Variations]]</f>
        <v>78077600</v>
      </c>
      <c r="X401" s="36">
        <v>1576709</v>
      </c>
      <c r="Y401" s="36">
        <v>0</v>
      </c>
      <c r="Z401" s="36">
        <f>Table2[[#This Row],[Final Contract Value]]+Table2[[#This Row],[Supervision Contract amount]]+Table2[[#This Row],[Authority Cost]]</f>
        <v>79654309</v>
      </c>
      <c r="AA401" s="36">
        <v>9741516.6099999994</v>
      </c>
      <c r="AB401" s="36">
        <v>180000</v>
      </c>
      <c r="AC401" s="91" t="str">
        <f t="shared" si="21"/>
        <v>https://drive.google.com/thumbnail?id=1oaU6aDLcm-WgPEMXNtdBYkqXGGsSkflq&amp;sz=w1000</v>
      </c>
      <c r="AD401" s="172" t="s">
        <v>731</v>
      </c>
      <c r="AE401" s="74" t="str">
        <f t="shared" si="22"/>
        <v>https://drive.google.com/thumbnail?id=1N9brwHmFW_PdvPj4vWj5-JYfwZ_j8qxo&amp;sz=w1000</v>
      </c>
      <c r="AF401" s="172" t="s">
        <v>732</v>
      </c>
      <c r="AG401" s="73" t="str">
        <f t="shared" si="23"/>
        <v>https://drive.google.com/thumbnail?id=1hvQKcWIheA72v1UtBckv-ww6mLtFEX5e&amp;sz=w1000</v>
      </c>
      <c r="AH401" s="172" t="s">
        <v>733</v>
      </c>
    </row>
    <row r="402" spans="1:34" ht="22.15" customHeight="1">
      <c r="A402" s="30">
        <v>45534</v>
      </c>
      <c r="B402" s="17" t="s">
        <v>264</v>
      </c>
      <c r="C402" s="17" t="s">
        <v>266</v>
      </c>
      <c r="D402" s="16" t="str" cm="1">
        <f t="array" ref="D402">_xlfn.XLOOKUP(1, (Table1[Project Name]=Table2[[#This Row],[Project ID]])*(Table1[Plot]=Table2[[#This Row],[Plot]]), Table1[Project ID])</f>
        <v>SC-07</v>
      </c>
      <c r="E402" s="69">
        <v>348</v>
      </c>
      <c r="F402" s="70">
        <v>199</v>
      </c>
      <c r="G402" s="69">
        <f>Table2[[#This Row],[Time Elapsed]]+Table2[[#This Row],[Time Remaining]]</f>
        <v>547</v>
      </c>
      <c r="H402" s="159" t="s">
        <v>699</v>
      </c>
      <c r="I402" s="159" t="s">
        <v>693</v>
      </c>
      <c r="J402" s="160">
        <v>0.23880000000000001</v>
      </c>
      <c r="K402" s="161">
        <v>0.2384</v>
      </c>
      <c r="L402" s="13">
        <f>Table2[[#This Row],[Actual %]]-Table2[[#This Row],[Plan %]]</f>
        <v>-4.0000000000001146E-4</v>
      </c>
      <c r="M402" s="165" t="s">
        <v>703</v>
      </c>
      <c r="N402" s="12">
        <v>45510</v>
      </c>
      <c r="O402" s="12">
        <v>45525</v>
      </c>
      <c r="P402" s="12"/>
      <c r="Q402" s="12">
        <v>45534</v>
      </c>
      <c r="R402" s="159" t="s">
        <v>700</v>
      </c>
      <c r="S402" s="159" t="s">
        <v>701</v>
      </c>
      <c r="T402" s="164" t="s">
        <v>712</v>
      </c>
      <c r="U402" s="122">
        <v>78077600</v>
      </c>
      <c r="V402" s="36"/>
      <c r="W402" s="36">
        <f>Table2[[#This Row],[Construction Contract Amount]]+Table2[[#This Row],[Cumulative Variations]]</f>
        <v>78077600</v>
      </c>
      <c r="X402" s="36">
        <v>1576709</v>
      </c>
      <c r="Y402" s="36">
        <v>0</v>
      </c>
      <c r="Z402" s="36">
        <f>Table2[[#This Row],[Final Contract Value]]+Table2[[#This Row],[Supervision Contract amount]]+Table2[[#This Row],[Authority Cost]]</f>
        <v>79654309</v>
      </c>
      <c r="AA402" s="36">
        <v>9741516.6099999994</v>
      </c>
      <c r="AB402" s="36">
        <v>180000</v>
      </c>
      <c r="AC402" s="91" t="str">
        <f t="shared" si="21"/>
        <v>https://drive.google.com/thumbnail?id=1oaU6aDLcm-WgPEMXNtdBYkqXGGsSkflq&amp;sz=w1000</v>
      </c>
      <c r="AD402" s="172" t="s">
        <v>731</v>
      </c>
      <c r="AE402" s="74" t="str">
        <f t="shared" si="22"/>
        <v>https://drive.google.com/thumbnail?id=1N9brwHmFW_PdvPj4vWj5-JYfwZ_j8qxo&amp;sz=w1000</v>
      </c>
      <c r="AF402" s="172" t="s">
        <v>732</v>
      </c>
      <c r="AG402" s="73" t="str">
        <f t="shared" si="23"/>
        <v>https://drive.google.com/thumbnail?id=1hvQKcWIheA72v1UtBckv-ww6mLtFEX5e&amp;sz=w1000</v>
      </c>
      <c r="AH402" s="172" t="s">
        <v>733</v>
      </c>
    </row>
    <row r="403" spans="1:34" ht="22.15" customHeight="1">
      <c r="A403" s="30">
        <v>45534</v>
      </c>
      <c r="B403" s="17" t="s">
        <v>264</v>
      </c>
      <c r="C403" s="17" t="s">
        <v>266</v>
      </c>
      <c r="D403" s="16" t="str" cm="1">
        <f t="array" ref="D403">_xlfn.XLOOKUP(1, (Table1[Project Name]=Table2[[#This Row],[Project ID]])*(Table1[Plot]=Table2[[#This Row],[Plot]]), Table1[Project ID])</f>
        <v>SC-07</v>
      </c>
      <c r="E403" s="69">
        <v>348</v>
      </c>
      <c r="F403" s="70">
        <v>199</v>
      </c>
      <c r="G403" s="69">
        <f>Table2[[#This Row],[Time Elapsed]]+Table2[[#This Row],[Time Remaining]]</f>
        <v>547</v>
      </c>
      <c r="H403" s="159" t="s">
        <v>699</v>
      </c>
      <c r="I403" s="159" t="s">
        <v>693</v>
      </c>
      <c r="J403" s="160">
        <v>0.23880000000000001</v>
      </c>
      <c r="K403" s="161">
        <v>0.2384</v>
      </c>
      <c r="L403" s="13">
        <f>Table2[[#This Row],[Actual %]]-Table2[[#This Row],[Plan %]]</f>
        <v>-4.0000000000001146E-4</v>
      </c>
      <c r="M403" s="165" t="s">
        <v>704</v>
      </c>
      <c r="N403" s="12">
        <v>45603</v>
      </c>
      <c r="O403" s="12"/>
      <c r="P403" s="12">
        <v>45580</v>
      </c>
      <c r="Q403" s="12">
        <v>45534</v>
      </c>
      <c r="R403" s="159" t="s">
        <v>700</v>
      </c>
      <c r="S403" s="159" t="s">
        <v>701</v>
      </c>
      <c r="T403" s="164" t="s">
        <v>712</v>
      </c>
      <c r="U403" s="122">
        <v>78077600</v>
      </c>
      <c r="V403" s="36"/>
      <c r="W403" s="36">
        <f>Table2[[#This Row],[Construction Contract Amount]]+Table2[[#This Row],[Cumulative Variations]]</f>
        <v>78077600</v>
      </c>
      <c r="X403" s="36">
        <v>1576709</v>
      </c>
      <c r="Y403" s="36">
        <v>0</v>
      </c>
      <c r="Z403" s="36">
        <f>Table2[[#This Row],[Final Contract Value]]+Table2[[#This Row],[Supervision Contract amount]]+Table2[[#This Row],[Authority Cost]]</f>
        <v>79654309</v>
      </c>
      <c r="AA403" s="36">
        <v>9741516.6099999994</v>
      </c>
      <c r="AB403" s="36">
        <v>180000</v>
      </c>
      <c r="AC403" s="91" t="str">
        <f t="shared" si="21"/>
        <v>https://drive.google.com/thumbnail?id=1oaU6aDLcm-WgPEMXNtdBYkqXGGsSkflq&amp;sz=w1000</v>
      </c>
      <c r="AD403" s="172" t="s">
        <v>731</v>
      </c>
      <c r="AE403" s="74" t="str">
        <f t="shared" si="22"/>
        <v>https://drive.google.com/thumbnail?id=1N9brwHmFW_PdvPj4vWj5-JYfwZ_j8qxo&amp;sz=w1000</v>
      </c>
      <c r="AF403" s="172" t="s">
        <v>732</v>
      </c>
      <c r="AG403" s="73" t="str">
        <f t="shared" si="23"/>
        <v>https://drive.google.com/thumbnail?id=1hvQKcWIheA72v1UtBckv-ww6mLtFEX5e&amp;sz=w1000</v>
      </c>
      <c r="AH403" s="172" t="s">
        <v>733</v>
      </c>
    </row>
    <row r="404" spans="1:34" ht="22.15" customHeight="1">
      <c r="A404" s="30">
        <v>45534</v>
      </c>
      <c r="B404" s="17" t="s">
        <v>264</v>
      </c>
      <c r="C404" s="17" t="s">
        <v>266</v>
      </c>
      <c r="D404" s="16" t="str" cm="1">
        <f t="array" ref="D404">_xlfn.XLOOKUP(1, (Table1[Project Name]=Table2[[#This Row],[Project ID]])*(Table1[Plot]=Table2[[#This Row],[Plot]]), Table1[Project ID])</f>
        <v>SC-07</v>
      </c>
      <c r="E404" s="69">
        <v>348</v>
      </c>
      <c r="F404" s="70">
        <v>199</v>
      </c>
      <c r="G404" s="69">
        <f>Table2[[#This Row],[Time Elapsed]]+Table2[[#This Row],[Time Remaining]]</f>
        <v>547</v>
      </c>
      <c r="H404" s="159" t="s">
        <v>699</v>
      </c>
      <c r="I404" s="159" t="s">
        <v>693</v>
      </c>
      <c r="J404" s="160">
        <v>0.23880000000000001</v>
      </c>
      <c r="K404" s="161">
        <v>0.2384</v>
      </c>
      <c r="L404" s="13">
        <f>Table2[[#This Row],[Actual %]]-Table2[[#This Row],[Plan %]]</f>
        <v>-4.0000000000001146E-4</v>
      </c>
      <c r="M404" s="165" t="s">
        <v>705</v>
      </c>
      <c r="N404" s="12">
        <v>45510</v>
      </c>
      <c r="O404" s="12">
        <v>45504</v>
      </c>
      <c r="P404" s="12"/>
      <c r="Q404" s="12">
        <v>45534</v>
      </c>
      <c r="R404" s="159" t="s">
        <v>700</v>
      </c>
      <c r="S404" s="159" t="s">
        <v>701</v>
      </c>
      <c r="T404" s="164" t="s">
        <v>712</v>
      </c>
      <c r="U404" s="122">
        <v>78077600</v>
      </c>
      <c r="V404" s="36"/>
      <c r="W404" s="36">
        <f>Table2[[#This Row],[Construction Contract Amount]]+Table2[[#This Row],[Cumulative Variations]]</f>
        <v>78077600</v>
      </c>
      <c r="X404" s="36">
        <v>1576709</v>
      </c>
      <c r="Y404" s="36">
        <v>0</v>
      </c>
      <c r="Z404" s="36">
        <f>Table2[[#This Row],[Final Contract Value]]+Table2[[#This Row],[Supervision Contract amount]]+Table2[[#This Row],[Authority Cost]]</f>
        <v>79654309</v>
      </c>
      <c r="AA404" s="36">
        <v>9741516.6099999994</v>
      </c>
      <c r="AB404" s="36">
        <v>180000</v>
      </c>
      <c r="AC404" s="91" t="str">
        <f t="shared" si="21"/>
        <v>https://drive.google.com/thumbnail?id=1oaU6aDLcm-WgPEMXNtdBYkqXGGsSkflq&amp;sz=w1000</v>
      </c>
      <c r="AD404" s="172" t="s">
        <v>731</v>
      </c>
      <c r="AE404" s="74" t="str">
        <f t="shared" si="22"/>
        <v>https://drive.google.com/thumbnail?id=1N9brwHmFW_PdvPj4vWj5-JYfwZ_j8qxo&amp;sz=w1000</v>
      </c>
      <c r="AF404" s="172" t="s">
        <v>732</v>
      </c>
      <c r="AG404" s="73" t="str">
        <f t="shared" si="23"/>
        <v>https://drive.google.com/thumbnail?id=1hvQKcWIheA72v1UtBckv-ww6mLtFEX5e&amp;sz=w1000</v>
      </c>
      <c r="AH404" s="172" t="s">
        <v>733</v>
      </c>
    </row>
    <row r="405" spans="1:34" ht="22.15" customHeight="1">
      <c r="A405" s="30">
        <v>45534</v>
      </c>
      <c r="B405" s="17" t="s">
        <v>264</v>
      </c>
      <c r="C405" s="17" t="s">
        <v>266</v>
      </c>
      <c r="D405" s="16" t="str" cm="1">
        <f t="array" ref="D405">_xlfn.XLOOKUP(1, (Table1[Project Name]=Table2[[#This Row],[Project ID]])*(Table1[Plot]=Table2[[#This Row],[Plot]]), Table1[Project ID])</f>
        <v>SC-07</v>
      </c>
      <c r="E405" s="69">
        <v>348</v>
      </c>
      <c r="F405" s="70">
        <v>199</v>
      </c>
      <c r="G405" s="69">
        <f>Table2[[#This Row],[Time Elapsed]]+Table2[[#This Row],[Time Remaining]]</f>
        <v>547</v>
      </c>
      <c r="H405" s="159" t="s">
        <v>699</v>
      </c>
      <c r="I405" s="159" t="s">
        <v>693</v>
      </c>
      <c r="J405" s="160">
        <v>0.23880000000000001</v>
      </c>
      <c r="K405" s="161">
        <v>0.2384</v>
      </c>
      <c r="L405" s="13">
        <f>Table2[[#This Row],[Actual %]]-Table2[[#This Row],[Plan %]]</f>
        <v>-4.0000000000001146E-4</v>
      </c>
      <c r="M405" s="165" t="s">
        <v>706</v>
      </c>
      <c r="N405" s="12">
        <v>45596</v>
      </c>
      <c r="O405" s="12"/>
      <c r="P405" s="12">
        <v>45598</v>
      </c>
      <c r="Q405" s="12">
        <v>45534</v>
      </c>
      <c r="R405" s="159" t="s">
        <v>700</v>
      </c>
      <c r="S405" s="159" t="s">
        <v>701</v>
      </c>
      <c r="T405" s="164" t="s">
        <v>712</v>
      </c>
      <c r="U405" s="122">
        <v>78077600</v>
      </c>
      <c r="V405" s="36"/>
      <c r="W405" s="36">
        <f>Table2[[#This Row],[Construction Contract Amount]]+Table2[[#This Row],[Cumulative Variations]]</f>
        <v>78077600</v>
      </c>
      <c r="X405" s="36">
        <v>1576709</v>
      </c>
      <c r="Y405" s="36">
        <v>0</v>
      </c>
      <c r="Z405" s="36">
        <f>Table2[[#This Row],[Final Contract Value]]+Table2[[#This Row],[Supervision Contract amount]]+Table2[[#This Row],[Authority Cost]]</f>
        <v>79654309</v>
      </c>
      <c r="AA405" s="36">
        <v>9741516.6099999994</v>
      </c>
      <c r="AB405" s="36">
        <v>180000</v>
      </c>
      <c r="AC405" s="91" t="str">
        <f t="shared" si="21"/>
        <v>https://drive.google.com/thumbnail?id=1oaU6aDLcm-WgPEMXNtdBYkqXGGsSkflq&amp;sz=w1000</v>
      </c>
      <c r="AD405" s="172" t="s">
        <v>731</v>
      </c>
      <c r="AE405" s="74" t="str">
        <f t="shared" si="22"/>
        <v>https://drive.google.com/thumbnail?id=1N9brwHmFW_PdvPj4vWj5-JYfwZ_j8qxo&amp;sz=w1000</v>
      </c>
      <c r="AF405" s="172" t="s">
        <v>732</v>
      </c>
      <c r="AG405" s="73" t="str">
        <f t="shared" si="23"/>
        <v>https://drive.google.com/thumbnail?id=1hvQKcWIheA72v1UtBckv-ww6mLtFEX5e&amp;sz=w1000</v>
      </c>
      <c r="AH405" s="172" t="s">
        <v>733</v>
      </c>
    </row>
    <row r="406" spans="1:34" ht="22.15" customHeight="1">
      <c r="A406" s="30">
        <v>45534</v>
      </c>
      <c r="B406" s="17" t="s">
        <v>264</v>
      </c>
      <c r="C406" s="17" t="s">
        <v>266</v>
      </c>
      <c r="D406" s="16" t="str" cm="1">
        <f t="array" ref="D406">_xlfn.XLOOKUP(1, (Table1[Project Name]=Table2[[#This Row],[Project ID]])*(Table1[Plot]=Table2[[#This Row],[Plot]]), Table1[Project ID])</f>
        <v>SC-07</v>
      </c>
      <c r="E406" s="69">
        <v>348</v>
      </c>
      <c r="F406" s="70">
        <v>199</v>
      </c>
      <c r="G406" s="69">
        <f>Table2[[#This Row],[Time Elapsed]]+Table2[[#This Row],[Time Remaining]]</f>
        <v>547</v>
      </c>
      <c r="H406" s="159" t="s">
        <v>699</v>
      </c>
      <c r="I406" s="159" t="s">
        <v>693</v>
      </c>
      <c r="J406" s="160">
        <v>0.23880000000000001</v>
      </c>
      <c r="K406" s="161">
        <v>0.2384</v>
      </c>
      <c r="L406" s="13">
        <f>Table2[[#This Row],[Actual %]]-Table2[[#This Row],[Plan %]]</f>
        <v>-4.0000000000001146E-4</v>
      </c>
      <c r="M406" s="165" t="s">
        <v>280</v>
      </c>
      <c r="N406" s="12">
        <v>45682</v>
      </c>
      <c r="O406" s="12"/>
      <c r="P406" s="12">
        <v>45792</v>
      </c>
      <c r="Q406" s="12">
        <v>45534</v>
      </c>
      <c r="R406" s="159" t="s">
        <v>700</v>
      </c>
      <c r="S406" s="159" t="s">
        <v>701</v>
      </c>
      <c r="T406" s="164" t="s">
        <v>712</v>
      </c>
      <c r="U406" s="122">
        <v>78077600</v>
      </c>
      <c r="V406" s="36"/>
      <c r="W406" s="36">
        <f>Table2[[#This Row],[Construction Contract Amount]]+Table2[[#This Row],[Cumulative Variations]]</f>
        <v>78077600</v>
      </c>
      <c r="X406" s="36">
        <v>1576709</v>
      </c>
      <c r="Y406" s="36">
        <v>0</v>
      </c>
      <c r="Z406" s="36">
        <f>Table2[[#This Row],[Final Contract Value]]+Table2[[#This Row],[Supervision Contract amount]]+Table2[[#This Row],[Authority Cost]]</f>
        <v>79654309</v>
      </c>
      <c r="AA406" s="36">
        <v>9741516.6099999994</v>
      </c>
      <c r="AB406" s="36">
        <v>180000</v>
      </c>
      <c r="AC406" s="91" t="str">
        <f t="shared" si="21"/>
        <v>https://drive.google.com/thumbnail?id=1oaU6aDLcm-WgPEMXNtdBYkqXGGsSkflq&amp;sz=w1000</v>
      </c>
      <c r="AD406" s="172" t="s">
        <v>731</v>
      </c>
      <c r="AE406" s="74" t="str">
        <f t="shared" si="22"/>
        <v>https://drive.google.com/thumbnail?id=1N9brwHmFW_PdvPj4vWj5-JYfwZ_j8qxo&amp;sz=w1000</v>
      </c>
      <c r="AF406" s="172" t="s">
        <v>732</v>
      </c>
      <c r="AG406" s="73" t="str">
        <f t="shared" si="23"/>
        <v>https://drive.google.com/thumbnail?id=1hvQKcWIheA72v1UtBckv-ww6mLtFEX5e&amp;sz=w1000</v>
      </c>
      <c r="AH406" s="172" t="s">
        <v>733</v>
      </c>
    </row>
    <row r="407" spans="1:34" ht="22.15" customHeight="1">
      <c r="A407" s="30">
        <v>45534</v>
      </c>
      <c r="B407" s="17" t="s">
        <v>264</v>
      </c>
      <c r="C407" s="17" t="s">
        <v>266</v>
      </c>
      <c r="D407" s="16" t="str" cm="1">
        <f t="array" ref="D407">_xlfn.XLOOKUP(1, (Table1[Project Name]=Table2[[#This Row],[Project ID]])*(Table1[Plot]=Table2[[#This Row],[Plot]]), Table1[Project ID])</f>
        <v>SC-07</v>
      </c>
      <c r="E407" s="69">
        <v>348</v>
      </c>
      <c r="F407" s="70">
        <v>199</v>
      </c>
      <c r="G407" s="69">
        <f>Table2[[#This Row],[Time Elapsed]]+Table2[[#This Row],[Time Remaining]]</f>
        <v>547</v>
      </c>
      <c r="H407" s="159" t="s">
        <v>699</v>
      </c>
      <c r="I407" s="159" t="s">
        <v>693</v>
      </c>
      <c r="J407" s="160">
        <v>0.23880000000000001</v>
      </c>
      <c r="K407" s="161">
        <v>0.2384</v>
      </c>
      <c r="L407" s="13">
        <f>Table2[[#This Row],[Actual %]]-Table2[[#This Row],[Plan %]]</f>
        <v>-4.0000000000001146E-4</v>
      </c>
      <c r="M407" s="165" t="s">
        <v>343</v>
      </c>
      <c r="N407" s="12">
        <v>45701</v>
      </c>
      <c r="O407" s="12"/>
      <c r="P407" s="12">
        <v>45803</v>
      </c>
      <c r="Q407" s="12">
        <v>45534</v>
      </c>
      <c r="R407" s="159" t="s">
        <v>700</v>
      </c>
      <c r="S407" s="159" t="s">
        <v>701</v>
      </c>
      <c r="T407" s="164" t="s">
        <v>712</v>
      </c>
      <c r="U407" s="122">
        <v>78077600</v>
      </c>
      <c r="V407" s="36"/>
      <c r="W407" s="36">
        <f>Table2[[#This Row],[Construction Contract Amount]]+Table2[[#This Row],[Cumulative Variations]]</f>
        <v>78077600</v>
      </c>
      <c r="X407" s="36">
        <v>1576709</v>
      </c>
      <c r="Y407" s="36">
        <v>0</v>
      </c>
      <c r="Z407" s="36">
        <f>Table2[[#This Row],[Final Contract Value]]+Table2[[#This Row],[Supervision Contract amount]]+Table2[[#This Row],[Authority Cost]]</f>
        <v>79654309</v>
      </c>
      <c r="AA407" s="36">
        <v>9741516.6099999994</v>
      </c>
      <c r="AB407" s="36">
        <v>180000</v>
      </c>
      <c r="AC407" s="91" t="str">
        <f t="shared" si="21"/>
        <v>https://drive.google.com/thumbnail?id=1oaU6aDLcm-WgPEMXNtdBYkqXGGsSkflq&amp;sz=w1000</v>
      </c>
      <c r="AD407" s="172" t="s">
        <v>731</v>
      </c>
      <c r="AE407" s="74" t="str">
        <f t="shared" si="22"/>
        <v>https://drive.google.com/thumbnail?id=1N9brwHmFW_PdvPj4vWj5-JYfwZ_j8qxo&amp;sz=w1000</v>
      </c>
      <c r="AF407" s="172" t="s">
        <v>732</v>
      </c>
      <c r="AG407" s="73" t="str">
        <f t="shared" si="23"/>
        <v>https://drive.google.com/thumbnail?id=1hvQKcWIheA72v1UtBckv-ww6mLtFEX5e&amp;sz=w1000</v>
      </c>
      <c r="AH407" s="172" t="s">
        <v>733</v>
      </c>
    </row>
    <row r="408" spans="1:34" ht="22.15" customHeight="1">
      <c r="A408" s="30">
        <v>45534</v>
      </c>
      <c r="B408" s="17" t="s">
        <v>264</v>
      </c>
      <c r="C408" s="17" t="s">
        <v>266</v>
      </c>
      <c r="D408" s="16" t="str" cm="1">
        <f t="array" ref="D408">_xlfn.XLOOKUP(1, (Table1[Project Name]=Table2[[#This Row],[Project ID]])*(Table1[Plot]=Table2[[#This Row],[Plot]]), Table1[Project ID])</f>
        <v>SC-07</v>
      </c>
      <c r="E408" s="69">
        <v>348</v>
      </c>
      <c r="F408" s="70">
        <v>199</v>
      </c>
      <c r="G408" s="69">
        <f>Table2[[#This Row],[Time Elapsed]]+Table2[[#This Row],[Time Remaining]]</f>
        <v>547</v>
      </c>
      <c r="H408" s="159" t="s">
        <v>699</v>
      </c>
      <c r="I408" s="159" t="s">
        <v>693</v>
      </c>
      <c r="J408" s="160">
        <v>0.23880000000000001</v>
      </c>
      <c r="K408" s="161">
        <v>0.2384</v>
      </c>
      <c r="L408" s="13">
        <f>Table2[[#This Row],[Actual %]]-Table2[[#This Row],[Plan %]]</f>
        <v>-4.0000000000001146E-4</v>
      </c>
      <c r="M408" s="165" t="s">
        <v>344</v>
      </c>
      <c r="N408" s="12">
        <v>45720</v>
      </c>
      <c r="O408" s="12"/>
      <c r="P408" s="12">
        <v>45824</v>
      </c>
      <c r="Q408" s="12">
        <v>45534</v>
      </c>
      <c r="R408" s="159" t="s">
        <v>700</v>
      </c>
      <c r="S408" s="159" t="s">
        <v>701</v>
      </c>
      <c r="T408" s="164" t="s">
        <v>712</v>
      </c>
      <c r="U408" s="122">
        <v>78077600</v>
      </c>
      <c r="V408" s="36"/>
      <c r="W408" s="36">
        <f>Table2[[#This Row],[Construction Contract Amount]]+Table2[[#This Row],[Cumulative Variations]]</f>
        <v>78077600</v>
      </c>
      <c r="X408" s="36">
        <v>1576709</v>
      </c>
      <c r="Y408" s="36">
        <v>0</v>
      </c>
      <c r="Z408" s="36">
        <f>Table2[[#This Row],[Final Contract Value]]+Table2[[#This Row],[Supervision Contract amount]]+Table2[[#This Row],[Authority Cost]]</f>
        <v>79654309</v>
      </c>
      <c r="AA408" s="36">
        <v>9741516.6099999994</v>
      </c>
      <c r="AB408" s="36">
        <v>180000</v>
      </c>
      <c r="AC408" s="91" t="str">
        <f t="shared" si="21"/>
        <v>https://drive.google.com/thumbnail?id=1oaU6aDLcm-WgPEMXNtdBYkqXGGsSkflq&amp;sz=w1000</v>
      </c>
      <c r="AD408" s="172" t="s">
        <v>731</v>
      </c>
      <c r="AE408" s="74" t="str">
        <f t="shared" si="22"/>
        <v>https://drive.google.com/thumbnail?id=1N9brwHmFW_PdvPj4vWj5-JYfwZ_j8qxo&amp;sz=w1000</v>
      </c>
      <c r="AF408" s="172" t="s">
        <v>732</v>
      </c>
      <c r="AG408" s="73" t="str">
        <f t="shared" si="23"/>
        <v>https://drive.google.com/thumbnail?id=1hvQKcWIheA72v1UtBckv-ww6mLtFEX5e&amp;sz=w1000</v>
      </c>
      <c r="AH408" s="172" t="s">
        <v>733</v>
      </c>
    </row>
    <row r="409" spans="1:34" ht="22.15" customHeight="1">
      <c r="A409" s="30">
        <v>45534</v>
      </c>
      <c r="B409" s="17" t="s">
        <v>264</v>
      </c>
      <c r="C409" s="17" t="s">
        <v>266</v>
      </c>
      <c r="D409" s="16" t="str" cm="1">
        <f t="array" ref="D409">_xlfn.XLOOKUP(1, (Table1[Project Name]=Table2[[#This Row],[Project ID]])*(Table1[Plot]=Table2[[#This Row],[Plot]]), Table1[Project ID])</f>
        <v>SC-07</v>
      </c>
      <c r="E409" s="69">
        <v>348</v>
      </c>
      <c r="F409" s="70">
        <v>199</v>
      </c>
      <c r="G409" s="69">
        <f>Table2[[#This Row],[Time Elapsed]]+Table2[[#This Row],[Time Remaining]]</f>
        <v>547</v>
      </c>
      <c r="H409" s="159" t="s">
        <v>699</v>
      </c>
      <c r="I409" s="159" t="s">
        <v>693</v>
      </c>
      <c r="J409" s="160">
        <v>0.23880000000000001</v>
      </c>
      <c r="K409" s="161">
        <v>0.2384</v>
      </c>
      <c r="L409" s="13">
        <f>Table2[[#This Row],[Actual %]]-Table2[[#This Row],[Plan %]]</f>
        <v>-4.0000000000001146E-4</v>
      </c>
      <c r="M409" s="165" t="s">
        <v>302</v>
      </c>
      <c r="N409" s="12">
        <v>45733</v>
      </c>
      <c r="O409" s="12"/>
      <c r="P409" s="12">
        <v>45838</v>
      </c>
      <c r="Q409" s="12">
        <v>45534</v>
      </c>
      <c r="R409" s="159" t="s">
        <v>700</v>
      </c>
      <c r="S409" s="159" t="s">
        <v>701</v>
      </c>
      <c r="T409" s="164" t="s">
        <v>712</v>
      </c>
      <c r="U409" s="122">
        <v>78077600</v>
      </c>
      <c r="V409" s="36"/>
      <c r="W409" s="36">
        <f>Table2[[#This Row],[Construction Contract Amount]]+Table2[[#This Row],[Cumulative Variations]]</f>
        <v>78077600</v>
      </c>
      <c r="X409" s="36">
        <v>1576709</v>
      </c>
      <c r="Y409" s="36">
        <v>0</v>
      </c>
      <c r="Z409" s="36">
        <f>Table2[[#This Row],[Final Contract Value]]+Table2[[#This Row],[Supervision Contract amount]]+Table2[[#This Row],[Authority Cost]]</f>
        <v>79654309</v>
      </c>
      <c r="AA409" s="36">
        <v>9741516.6099999994</v>
      </c>
      <c r="AB409" s="36">
        <v>180000</v>
      </c>
      <c r="AC409" s="91" t="str">
        <f t="shared" si="21"/>
        <v>https://drive.google.com/thumbnail?id=1oaU6aDLcm-WgPEMXNtdBYkqXGGsSkflq&amp;sz=w1000</v>
      </c>
      <c r="AD409" s="172" t="s">
        <v>731</v>
      </c>
      <c r="AE409" s="74" t="str">
        <f t="shared" si="22"/>
        <v>https://drive.google.com/thumbnail?id=1N9brwHmFW_PdvPj4vWj5-JYfwZ_j8qxo&amp;sz=w1000</v>
      </c>
      <c r="AF409" s="172" t="s">
        <v>732</v>
      </c>
      <c r="AG409" s="73" t="str">
        <f t="shared" si="23"/>
        <v>https://drive.google.com/thumbnail?id=1hvQKcWIheA72v1UtBckv-ww6mLtFEX5e&amp;sz=w1000</v>
      </c>
      <c r="AH409" s="172" t="s">
        <v>733</v>
      </c>
    </row>
    <row r="410" spans="1:34" ht="22.15" customHeight="1">
      <c r="A410" s="30">
        <v>45541</v>
      </c>
      <c r="B410" s="17" t="s">
        <v>91</v>
      </c>
      <c r="C410" s="2" t="s">
        <v>94</v>
      </c>
      <c r="D410" s="16" t="str" cm="1">
        <f t="array" ref="D410">_xlfn.XLOOKUP(1, (Table1[Project Name]=Table2[[#This Row],[Project ID]])*(Table1[Plot]=Table2[[#This Row],[Plot]]), Table1[Project ID])</f>
        <v>MJ-07</v>
      </c>
      <c r="E410" s="174">
        <v>117</v>
      </c>
      <c r="F410" s="70">
        <v>493</v>
      </c>
      <c r="G410" s="69">
        <f>Table2[[#This Row],[Time Elapsed]]+Table2[[#This Row],[Time Remaining]]</f>
        <v>610</v>
      </c>
      <c r="H410" s="70" t="s">
        <v>742</v>
      </c>
      <c r="I410" s="70" t="s">
        <v>743</v>
      </c>
      <c r="J410" s="13">
        <v>6.4299999999999996E-2</v>
      </c>
      <c r="K410" s="137">
        <v>2.92E-2</v>
      </c>
      <c r="L410" s="13">
        <f>Table2[[#This Row],[Actual %]]-Table2[[#This Row],[Plan %]]</f>
        <v>-3.5099999999999992E-2</v>
      </c>
      <c r="M410" s="144" t="s">
        <v>285</v>
      </c>
      <c r="N410" s="12">
        <v>45427</v>
      </c>
      <c r="O410" s="12">
        <v>45427</v>
      </c>
      <c r="P410" s="12"/>
      <c r="Q410" s="12">
        <v>45544</v>
      </c>
      <c r="R410" s="136" t="s">
        <v>745</v>
      </c>
      <c r="S410" s="136" t="s">
        <v>288</v>
      </c>
      <c r="T410" s="143" t="s">
        <v>746</v>
      </c>
      <c r="U410" s="155">
        <v>97238576.530000001</v>
      </c>
      <c r="V410" s="152">
        <v>0</v>
      </c>
      <c r="W410" s="36">
        <f>Table2[[#This Row],[Construction Contract Amount]]+Table2[[#This Row],[Cumulative Variations]]</f>
        <v>97238576.530000001</v>
      </c>
      <c r="X410" s="152">
        <v>3344531.65</v>
      </c>
      <c r="Y410" s="36"/>
      <c r="Z410" s="36">
        <f>Table2[[#This Row],[Final Contract Value]]+Table2[[#This Row],[Supervision Contract amount]]+Table2[[#This Row],[Authority Cost]]</f>
        <v>100583108.18000001</v>
      </c>
      <c r="AA410" s="152">
        <v>1208000</v>
      </c>
      <c r="AB410" s="36"/>
      <c r="AC410" s="102" t="str">
        <f t="shared" si="21"/>
        <v>https://drive.google.com/thumbnail?id=12AV6fpLdtW38tuWORsnwH2nidk3goR69&amp;sz=w1000</v>
      </c>
      <c r="AD410" s="172" t="s">
        <v>748</v>
      </c>
      <c r="AE410" s="103" t="str">
        <f t="shared" si="22"/>
        <v>https://drive.google.com/thumbnail?id=1qYcZEtoOCQloi5Md71V0KOa-RdfimHSV&amp;sz=w1000</v>
      </c>
      <c r="AF410" s="172" t="s">
        <v>749</v>
      </c>
      <c r="AG410" s="90" t="str">
        <f t="shared" si="23"/>
        <v>https://drive.google.com/thumbnail?id=1LwFQ1l88f8Fb49UEDNaXpVHXZmj9cenr&amp;sz=w1000</v>
      </c>
      <c r="AH410" s="172" t="s">
        <v>750</v>
      </c>
    </row>
    <row r="411" spans="1:34" ht="22.15" customHeight="1">
      <c r="A411" s="30">
        <v>45541</v>
      </c>
      <c r="B411" s="17" t="s">
        <v>91</v>
      </c>
      <c r="C411" s="2" t="s">
        <v>94</v>
      </c>
      <c r="D411" s="16" t="str" cm="1">
        <f t="array" ref="D411">_xlfn.XLOOKUP(1, (Table1[Project Name]=Table2[[#This Row],[Project ID]])*(Table1[Plot]=Table2[[#This Row],[Plot]]), Table1[Project ID])</f>
        <v>MJ-07</v>
      </c>
      <c r="E411" s="174">
        <v>117</v>
      </c>
      <c r="F411" s="70">
        <v>493</v>
      </c>
      <c r="G411" s="69">
        <f>Table2[[#This Row],[Time Elapsed]]+Table2[[#This Row],[Time Remaining]]</f>
        <v>610</v>
      </c>
      <c r="H411" s="70" t="s">
        <v>742</v>
      </c>
      <c r="I411" s="70" t="s">
        <v>743</v>
      </c>
      <c r="J411" s="13">
        <v>6.4299999999999996E-2</v>
      </c>
      <c r="K411" s="137">
        <v>2.92E-2</v>
      </c>
      <c r="L411" s="13">
        <f>Table2[[#This Row],[Actual %]]-Table2[[#This Row],[Plan %]]</f>
        <v>-3.5099999999999992E-2</v>
      </c>
      <c r="M411" s="144" t="s">
        <v>287</v>
      </c>
      <c r="N411" s="12">
        <v>45433</v>
      </c>
      <c r="O411" s="12">
        <v>45433</v>
      </c>
      <c r="P411" s="12"/>
      <c r="Q411" s="12">
        <v>45544</v>
      </c>
      <c r="R411" s="136" t="s">
        <v>747</v>
      </c>
      <c r="S411" s="136" t="s">
        <v>288</v>
      </c>
      <c r="T411" s="143" t="s">
        <v>746</v>
      </c>
      <c r="U411" s="155">
        <v>97238576.530000001</v>
      </c>
      <c r="V411" s="152">
        <v>0</v>
      </c>
      <c r="W411" s="36">
        <f>Table2[[#This Row],[Construction Contract Amount]]+Table2[[#This Row],[Cumulative Variations]]</f>
        <v>97238576.530000001</v>
      </c>
      <c r="X411" s="152">
        <v>3344531.65</v>
      </c>
      <c r="Y411" s="36"/>
      <c r="Z411" s="36">
        <f>Table2[[#This Row],[Final Contract Value]]+Table2[[#This Row],[Supervision Contract amount]]+Table2[[#This Row],[Authority Cost]]</f>
        <v>100583108.18000001</v>
      </c>
      <c r="AA411" s="152">
        <v>1208000</v>
      </c>
      <c r="AB411" s="36"/>
      <c r="AC411" s="102" t="str">
        <f t="shared" si="21"/>
        <v>https://drive.google.com/thumbnail?id=12AV6fpLdtW38tuWORsnwH2nidk3goR69&amp;sz=w1000</v>
      </c>
      <c r="AD411" s="172" t="s">
        <v>748</v>
      </c>
      <c r="AE411" s="103" t="str">
        <f t="shared" si="22"/>
        <v>https://drive.google.com/thumbnail?id=1qYcZEtoOCQloi5Md71V0KOa-RdfimHSV&amp;sz=w1000</v>
      </c>
      <c r="AF411" s="172" t="s">
        <v>749</v>
      </c>
      <c r="AG411" s="90" t="str">
        <f t="shared" si="23"/>
        <v>https://drive.google.com/thumbnail?id=1LwFQ1l88f8Fb49UEDNaXpVHXZmj9cenr&amp;sz=w1000</v>
      </c>
      <c r="AH411" s="172" t="s">
        <v>750</v>
      </c>
    </row>
    <row r="412" spans="1:34" ht="22.15" customHeight="1">
      <c r="A412" s="30">
        <v>45541</v>
      </c>
      <c r="B412" s="17" t="s">
        <v>91</v>
      </c>
      <c r="C412" s="2" t="s">
        <v>94</v>
      </c>
      <c r="D412" s="16" t="str" cm="1">
        <f t="array" ref="D412">_xlfn.XLOOKUP(1, (Table1[Project Name]=Table2[[#This Row],[Project ID]])*(Table1[Plot]=Table2[[#This Row],[Plot]]), Table1[Project ID])</f>
        <v>MJ-07</v>
      </c>
      <c r="E412" s="174">
        <v>117</v>
      </c>
      <c r="F412" s="70">
        <v>493</v>
      </c>
      <c r="G412" s="69">
        <f>Table2[[#This Row],[Time Elapsed]]+Table2[[#This Row],[Time Remaining]]</f>
        <v>610</v>
      </c>
      <c r="H412" s="70" t="s">
        <v>742</v>
      </c>
      <c r="I412" s="70" t="s">
        <v>743</v>
      </c>
      <c r="J412" s="13">
        <v>6.4299999999999996E-2</v>
      </c>
      <c r="K412" s="137">
        <v>2.92E-2</v>
      </c>
      <c r="L412" s="13">
        <f>Table2[[#This Row],[Actual %]]-Table2[[#This Row],[Plan %]]</f>
        <v>-3.5099999999999992E-2</v>
      </c>
      <c r="M412" s="144" t="s">
        <v>51</v>
      </c>
      <c r="N412" s="12">
        <v>45493</v>
      </c>
      <c r="O412" s="12">
        <v>45535</v>
      </c>
      <c r="P412" s="12"/>
      <c r="Q412" s="12">
        <v>45544</v>
      </c>
      <c r="R412" s="136" t="s">
        <v>747</v>
      </c>
      <c r="S412" s="136" t="s">
        <v>288</v>
      </c>
      <c r="T412" s="143" t="s">
        <v>746</v>
      </c>
      <c r="U412" s="155">
        <v>97238576.530000001</v>
      </c>
      <c r="V412" s="152">
        <v>0</v>
      </c>
      <c r="W412" s="36">
        <f>Table2[[#This Row],[Construction Contract Amount]]+Table2[[#This Row],[Cumulative Variations]]</f>
        <v>97238576.530000001</v>
      </c>
      <c r="X412" s="152">
        <v>3344531.65</v>
      </c>
      <c r="Y412" s="36"/>
      <c r="Z412" s="36">
        <f>Table2[[#This Row],[Final Contract Value]]+Table2[[#This Row],[Supervision Contract amount]]+Table2[[#This Row],[Authority Cost]]</f>
        <v>100583108.18000001</v>
      </c>
      <c r="AA412" s="152">
        <v>1208000</v>
      </c>
      <c r="AB412" s="36"/>
      <c r="AC412" s="102" t="str">
        <f t="shared" si="21"/>
        <v>https://drive.google.com/thumbnail?id=12AV6fpLdtW38tuWORsnwH2nidk3goR69&amp;sz=w1000</v>
      </c>
      <c r="AD412" s="172" t="s">
        <v>748</v>
      </c>
      <c r="AE412" s="103" t="str">
        <f t="shared" si="22"/>
        <v>https://drive.google.com/thumbnail?id=1qYcZEtoOCQloi5Md71V0KOa-RdfimHSV&amp;sz=w1000</v>
      </c>
      <c r="AF412" s="172" t="s">
        <v>749</v>
      </c>
      <c r="AG412" s="90" t="str">
        <f t="shared" si="23"/>
        <v>https://drive.google.com/thumbnail?id=1LwFQ1l88f8Fb49UEDNaXpVHXZmj9cenr&amp;sz=w1000</v>
      </c>
      <c r="AH412" s="172" t="s">
        <v>750</v>
      </c>
    </row>
    <row r="413" spans="1:34" ht="22.15" customHeight="1">
      <c r="A413" s="30">
        <v>45541</v>
      </c>
      <c r="B413" s="17" t="s">
        <v>91</v>
      </c>
      <c r="C413" s="2" t="s">
        <v>94</v>
      </c>
      <c r="D413" s="16" t="str" cm="1">
        <f t="array" ref="D413">_xlfn.XLOOKUP(1, (Table1[Project Name]=Table2[[#This Row],[Project ID]])*(Table1[Plot]=Table2[[#This Row],[Plot]]), Table1[Project ID])</f>
        <v>MJ-07</v>
      </c>
      <c r="E413" s="174">
        <v>117</v>
      </c>
      <c r="F413" s="70">
        <v>493</v>
      </c>
      <c r="G413" s="69">
        <f>Table2[[#This Row],[Time Elapsed]]+Table2[[#This Row],[Time Remaining]]</f>
        <v>610</v>
      </c>
      <c r="H413" s="70" t="s">
        <v>742</v>
      </c>
      <c r="I413" s="70" t="s">
        <v>743</v>
      </c>
      <c r="J413" s="13">
        <v>6.4299999999999996E-2</v>
      </c>
      <c r="K413" s="137">
        <v>2.92E-2</v>
      </c>
      <c r="L413" s="13">
        <f>Table2[[#This Row],[Actual %]]-Table2[[#This Row],[Plan %]]</f>
        <v>-3.5099999999999992E-2</v>
      </c>
      <c r="M413" s="144" t="s">
        <v>744</v>
      </c>
      <c r="N413" s="12">
        <v>45603</v>
      </c>
      <c r="O413" s="12"/>
      <c r="P413" s="12">
        <v>45603</v>
      </c>
      <c r="Q413" s="12">
        <v>45544</v>
      </c>
      <c r="R413" s="136" t="s">
        <v>747</v>
      </c>
      <c r="S413" s="136" t="s">
        <v>288</v>
      </c>
      <c r="T413" s="143" t="s">
        <v>746</v>
      </c>
      <c r="U413" s="155">
        <v>97238576.530000001</v>
      </c>
      <c r="V413" s="152">
        <v>0</v>
      </c>
      <c r="W413" s="36">
        <f>Table2[[#This Row],[Construction Contract Amount]]+Table2[[#This Row],[Cumulative Variations]]</f>
        <v>97238576.530000001</v>
      </c>
      <c r="X413" s="152">
        <v>3344531.65</v>
      </c>
      <c r="Y413" s="36"/>
      <c r="Z413" s="36">
        <f>Table2[[#This Row],[Final Contract Value]]+Table2[[#This Row],[Supervision Contract amount]]+Table2[[#This Row],[Authority Cost]]</f>
        <v>100583108.18000001</v>
      </c>
      <c r="AA413" s="152">
        <v>1208000</v>
      </c>
      <c r="AB413" s="36"/>
      <c r="AC413" s="102" t="str">
        <f t="shared" si="21"/>
        <v>https://drive.google.com/thumbnail?id=12AV6fpLdtW38tuWORsnwH2nidk3goR69&amp;sz=w1000</v>
      </c>
      <c r="AD413" s="172" t="s">
        <v>748</v>
      </c>
      <c r="AE413" s="103" t="str">
        <f t="shared" si="22"/>
        <v>https://drive.google.com/thumbnail?id=1qYcZEtoOCQloi5Md71V0KOa-RdfimHSV&amp;sz=w1000</v>
      </c>
      <c r="AF413" s="172" t="s">
        <v>749</v>
      </c>
      <c r="AG413" s="90" t="str">
        <f t="shared" si="23"/>
        <v>https://drive.google.com/thumbnail?id=1LwFQ1l88f8Fb49UEDNaXpVHXZmj9cenr&amp;sz=w1000</v>
      </c>
      <c r="AH413" s="172" t="s">
        <v>750</v>
      </c>
    </row>
    <row r="414" spans="1:34" ht="22.15" customHeight="1">
      <c r="A414" s="30">
        <v>45541</v>
      </c>
      <c r="B414" s="17" t="s">
        <v>91</v>
      </c>
      <c r="C414" s="2" t="s">
        <v>94</v>
      </c>
      <c r="D414" s="16" t="str" cm="1">
        <f t="array" ref="D414">_xlfn.XLOOKUP(1, (Table1[Project Name]=Table2[[#This Row],[Project ID]])*(Table1[Plot]=Table2[[#This Row],[Plot]]), Table1[Project ID])</f>
        <v>MJ-07</v>
      </c>
      <c r="E414" s="174">
        <v>117</v>
      </c>
      <c r="F414" s="70">
        <v>493</v>
      </c>
      <c r="G414" s="69">
        <f>Table2[[#This Row],[Time Elapsed]]+Table2[[#This Row],[Time Remaining]]</f>
        <v>610</v>
      </c>
      <c r="H414" s="70" t="s">
        <v>742</v>
      </c>
      <c r="I414" s="70" t="s">
        <v>743</v>
      </c>
      <c r="J414" s="13">
        <v>6.4299999999999996E-2</v>
      </c>
      <c r="K414" s="137">
        <v>2.92E-2</v>
      </c>
      <c r="L414" s="13">
        <f>Table2[[#This Row],[Actual %]]-Table2[[#This Row],[Plan %]]</f>
        <v>-3.5099999999999992E-2</v>
      </c>
      <c r="M414" s="144" t="s">
        <v>278</v>
      </c>
      <c r="N414" s="12">
        <v>45644</v>
      </c>
      <c r="O414" s="12"/>
      <c r="P414" s="12">
        <v>45644</v>
      </c>
      <c r="Q414" s="12">
        <v>45544</v>
      </c>
      <c r="R414" s="136" t="s">
        <v>747</v>
      </c>
      <c r="S414" s="136" t="s">
        <v>288</v>
      </c>
      <c r="T414" s="143" t="s">
        <v>746</v>
      </c>
      <c r="U414" s="155">
        <v>97238576.530000001</v>
      </c>
      <c r="V414" s="152">
        <v>0</v>
      </c>
      <c r="W414" s="36">
        <f>Table2[[#This Row],[Construction Contract Amount]]+Table2[[#This Row],[Cumulative Variations]]</f>
        <v>97238576.530000001</v>
      </c>
      <c r="X414" s="152">
        <v>3344531.65</v>
      </c>
      <c r="Y414" s="36"/>
      <c r="Z414" s="36">
        <f>Table2[[#This Row],[Final Contract Value]]+Table2[[#This Row],[Supervision Contract amount]]+Table2[[#This Row],[Authority Cost]]</f>
        <v>100583108.18000001</v>
      </c>
      <c r="AA414" s="152">
        <v>1208000</v>
      </c>
      <c r="AB414" s="36"/>
      <c r="AC414" s="102" t="str">
        <f t="shared" si="21"/>
        <v>https://drive.google.com/thumbnail?id=12AV6fpLdtW38tuWORsnwH2nidk3goR69&amp;sz=w1000</v>
      </c>
      <c r="AD414" s="172" t="s">
        <v>748</v>
      </c>
      <c r="AE414" s="103" t="str">
        <f t="shared" si="22"/>
        <v>https://drive.google.com/thumbnail?id=1qYcZEtoOCQloi5Md71V0KOa-RdfimHSV&amp;sz=w1000</v>
      </c>
      <c r="AF414" s="172" t="s">
        <v>749</v>
      </c>
      <c r="AG414" s="90" t="str">
        <f t="shared" si="23"/>
        <v>https://drive.google.com/thumbnail?id=1LwFQ1l88f8Fb49UEDNaXpVHXZmj9cenr&amp;sz=w1000</v>
      </c>
      <c r="AH414" s="172" t="s">
        <v>750</v>
      </c>
    </row>
    <row r="415" spans="1:34" ht="22.15" customHeight="1">
      <c r="A415" s="30">
        <v>45541</v>
      </c>
      <c r="B415" s="17" t="s">
        <v>91</v>
      </c>
      <c r="C415" s="2" t="s">
        <v>94</v>
      </c>
      <c r="D415" s="16" t="str" cm="1">
        <f t="array" ref="D415">_xlfn.XLOOKUP(1, (Table1[Project Name]=Table2[[#This Row],[Project ID]])*(Table1[Plot]=Table2[[#This Row],[Plot]]), Table1[Project ID])</f>
        <v>MJ-07</v>
      </c>
      <c r="E415" s="174">
        <v>117</v>
      </c>
      <c r="F415" s="70">
        <v>493</v>
      </c>
      <c r="G415" s="69">
        <f>Table2[[#This Row],[Time Elapsed]]+Table2[[#This Row],[Time Remaining]]</f>
        <v>610</v>
      </c>
      <c r="H415" s="70" t="s">
        <v>742</v>
      </c>
      <c r="I415" s="70" t="s">
        <v>743</v>
      </c>
      <c r="J415" s="13">
        <v>6.4299999999999996E-2</v>
      </c>
      <c r="K415" s="137">
        <v>2.92E-2</v>
      </c>
      <c r="L415" s="13">
        <f>Table2[[#This Row],[Actual %]]-Table2[[#This Row],[Plan %]]</f>
        <v>-3.5099999999999992E-2</v>
      </c>
      <c r="M415" s="144" t="s">
        <v>279</v>
      </c>
      <c r="N415" s="12">
        <v>45897</v>
      </c>
      <c r="O415" s="12"/>
      <c r="P415" s="12">
        <v>45532</v>
      </c>
      <c r="Q415" s="12">
        <v>45544</v>
      </c>
      <c r="R415" s="136" t="s">
        <v>747</v>
      </c>
      <c r="S415" s="136" t="s">
        <v>288</v>
      </c>
      <c r="T415" s="143" t="s">
        <v>746</v>
      </c>
      <c r="U415" s="155">
        <v>97238576.530000001</v>
      </c>
      <c r="V415" s="152">
        <v>0</v>
      </c>
      <c r="W415" s="36">
        <f>Table2[[#This Row],[Construction Contract Amount]]+Table2[[#This Row],[Cumulative Variations]]</f>
        <v>97238576.530000001</v>
      </c>
      <c r="X415" s="152">
        <v>3344531.65</v>
      </c>
      <c r="Y415" s="36"/>
      <c r="Z415" s="36">
        <f>Table2[[#This Row],[Final Contract Value]]+Table2[[#This Row],[Supervision Contract amount]]+Table2[[#This Row],[Authority Cost]]</f>
        <v>100583108.18000001</v>
      </c>
      <c r="AA415" s="152">
        <v>1208000</v>
      </c>
      <c r="AB415" s="36"/>
      <c r="AC415" s="102" t="str">
        <f t="shared" si="21"/>
        <v>https://drive.google.com/thumbnail?id=12AV6fpLdtW38tuWORsnwH2nidk3goR69&amp;sz=w1000</v>
      </c>
      <c r="AD415" s="172" t="s">
        <v>748</v>
      </c>
      <c r="AE415" s="103" t="str">
        <f t="shared" si="22"/>
        <v>https://drive.google.com/thumbnail?id=1qYcZEtoOCQloi5Md71V0KOa-RdfimHSV&amp;sz=w1000</v>
      </c>
      <c r="AF415" s="172" t="s">
        <v>749</v>
      </c>
      <c r="AG415" s="90" t="str">
        <f t="shared" si="23"/>
        <v>https://drive.google.com/thumbnail?id=1LwFQ1l88f8Fb49UEDNaXpVHXZmj9cenr&amp;sz=w1000</v>
      </c>
      <c r="AH415" s="172" t="s">
        <v>750</v>
      </c>
    </row>
    <row r="416" spans="1:34" ht="22.15" customHeight="1">
      <c r="A416" s="30">
        <v>45541</v>
      </c>
      <c r="B416" s="17" t="s">
        <v>91</v>
      </c>
      <c r="C416" s="2" t="s">
        <v>94</v>
      </c>
      <c r="D416" s="16" t="str" cm="1">
        <f t="array" ref="D416">_xlfn.XLOOKUP(1, (Table1[Project Name]=Table2[[#This Row],[Project ID]])*(Table1[Plot]=Table2[[#This Row],[Plot]]), Table1[Project ID])</f>
        <v>MJ-07</v>
      </c>
      <c r="E416" s="174">
        <v>117</v>
      </c>
      <c r="F416" s="70">
        <v>493</v>
      </c>
      <c r="G416" s="69">
        <f>Table2[[#This Row],[Time Elapsed]]+Table2[[#This Row],[Time Remaining]]</f>
        <v>610</v>
      </c>
      <c r="H416" s="70" t="s">
        <v>742</v>
      </c>
      <c r="I416" s="70" t="s">
        <v>743</v>
      </c>
      <c r="J416" s="13">
        <v>6.4299999999999996E-2</v>
      </c>
      <c r="K416" s="137">
        <v>2.92E-2</v>
      </c>
      <c r="L416" s="13">
        <f>Table2[[#This Row],[Actual %]]-Table2[[#This Row],[Plan %]]</f>
        <v>-3.5099999999999992E-2</v>
      </c>
      <c r="M416" s="144" t="s">
        <v>289</v>
      </c>
      <c r="N416" s="12">
        <v>45965</v>
      </c>
      <c r="O416" s="12"/>
      <c r="P416" s="12">
        <v>45965</v>
      </c>
      <c r="Q416" s="12">
        <v>45544</v>
      </c>
      <c r="R416" s="136" t="s">
        <v>747</v>
      </c>
      <c r="S416" s="136" t="s">
        <v>288</v>
      </c>
      <c r="T416" s="143" t="s">
        <v>746</v>
      </c>
      <c r="U416" s="155">
        <v>97238576.530000001</v>
      </c>
      <c r="V416" s="152">
        <v>0</v>
      </c>
      <c r="W416" s="36">
        <f>Table2[[#This Row],[Construction Contract Amount]]+Table2[[#This Row],[Cumulative Variations]]</f>
        <v>97238576.530000001</v>
      </c>
      <c r="X416" s="152">
        <v>3344531.65</v>
      </c>
      <c r="Y416" s="36"/>
      <c r="Z416" s="36">
        <f>Table2[[#This Row],[Final Contract Value]]+Table2[[#This Row],[Supervision Contract amount]]+Table2[[#This Row],[Authority Cost]]</f>
        <v>100583108.18000001</v>
      </c>
      <c r="AA416" s="152">
        <v>1208000</v>
      </c>
      <c r="AB416" s="36"/>
      <c r="AC416" s="102" t="str">
        <f t="shared" si="21"/>
        <v>https://drive.google.com/thumbnail?id=12AV6fpLdtW38tuWORsnwH2nidk3goR69&amp;sz=w1000</v>
      </c>
      <c r="AD416" s="172" t="s">
        <v>748</v>
      </c>
      <c r="AE416" s="103" t="str">
        <f t="shared" si="22"/>
        <v>https://drive.google.com/thumbnail?id=1qYcZEtoOCQloi5Md71V0KOa-RdfimHSV&amp;sz=w1000</v>
      </c>
      <c r="AF416" s="172" t="s">
        <v>749</v>
      </c>
      <c r="AG416" s="90" t="str">
        <f t="shared" si="23"/>
        <v>https://drive.google.com/thumbnail?id=1LwFQ1l88f8Fb49UEDNaXpVHXZmj9cenr&amp;sz=w1000</v>
      </c>
      <c r="AH416" s="172" t="s">
        <v>750</v>
      </c>
    </row>
    <row r="417" spans="1:34" ht="22.15" customHeight="1">
      <c r="A417" s="30">
        <v>45541</v>
      </c>
      <c r="B417" s="17" t="s">
        <v>91</v>
      </c>
      <c r="C417" s="2" t="s">
        <v>94</v>
      </c>
      <c r="D417" s="16" t="str" cm="1">
        <f t="array" ref="D417">_xlfn.XLOOKUP(1, (Table1[Project Name]=Table2[[#This Row],[Project ID]])*(Table1[Plot]=Table2[[#This Row],[Plot]]), Table1[Project ID])</f>
        <v>MJ-07</v>
      </c>
      <c r="E417" s="174">
        <v>117</v>
      </c>
      <c r="F417" s="70">
        <v>493</v>
      </c>
      <c r="G417" s="69">
        <f>Table2[[#This Row],[Time Elapsed]]+Table2[[#This Row],[Time Remaining]]</f>
        <v>610</v>
      </c>
      <c r="H417" s="70" t="s">
        <v>742</v>
      </c>
      <c r="I417" s="70" t="s">
        <v>743</v>
      </c>
      <c r="J417" s="13">
        <v>6.4299999999999996E-2</v>
      </c>
      <c r="K417" s="137">
        <v>2.92E-2</v>
      </c>
      <c r="L417" s="13">
        <f>Table2[[#This Row],[Actual %]]-Table2[[#This Row],[Plan %]]</f>
        <v>-3.5099999999999992E-2</v>
      </c>
      <c r="M417" s="144" t="s">
        <v>290</v>
      </c>
      <c r="N417" s="12">
        <v>45983</v>
      </c>
      <c r="O417" s="12"/>
      <c r="P417" s="12">
        <v>45983</v>
      </c>
      <c r="Q417" s="12">
        <v>45544</v>
      </c>
      <c r="R417" s="136" t="s">
        <v>747</v>
      </c>
      <c r="S417" s="136" t="s">
        <v>288</v>
      </c>
      <c r="T417" s="143" t="s">
        <v>746</v>
      </c>
      <c r="U417" s="155">
        <v>97238576.530000001</v>
      </c>
      <c r="V417" s="152">
        <v>0</v>
      </c>
      <c r="W417" s="36">
        <f>Table2[[#This Row],[Construction Contract Amount]]+Table2[[#This Row],[Cumulative Variations]]</f>
        <v>97238576.530000001</v>
      </c>
      <c r="X417" s="152">
        <v>3344531.65</v>
      </c>
      <c r="Y417" s="36"/>
      <c r="Z417" s="36">
        <f>Table2[[#This Row],[Final Contract Value]]+Table2[[#This Row],[Supervision Contract amount]]+Table2[[#This Row],[Authority Cost]]</f>
        <v>100583108.18000001</v>
      </c>
      <c r="AA417" s="152">
        <v>1208000</v>
      </c>
      <c r="AB417" s="36"/>
      <c r="AC417" s="102" t="str">
        <f t="shared" si="21"/>
        <v>https://drive.google.com/thumbnail?id=12AV6fpLdtW38tuWORsnwH2nidk3goR69&amp;sz=w1000</v>
      </c>
      <c r="AD417" s="172" t="s">
        <v>748</v>
      </c>
      <c r="AE417" s="103" t="str">
        <f t="shared" si="22"/>
        <v>https://drive.google.com/thumbnail?id=1qYcZEtoOCQloi5Md71V0KOa-RdfimHSV&amp;sz=w1000</v>
      </c>
      <c r="AF417" s="172" t="s">
        <v>749</v>
      </c>
      <c r="AG417" s="90" t="str">
        <f t="shared" si="23"/>
        <v>https://drive.google.com/thumbnail?id=1LwFQ1l88f8Fb49UEDNaXpVHXZmj9cenr&amp;sz=w1000</v>
      </c>
      <c r="AH417" s="172" t="s">
        <v>750</v>
      </c>
    </row>
    <row r="418" spans="1:34" ht="22.15" customHeight="1">
      <c r="A418" s="30">
        <v>45541</v>
      </c>
      <c r="B418" s="17" t="s">
        <v>91</v>
      </c>
      <c r="C418" s="2" t="s">
        <v>94</v>
      </c>
      <c r="D418" s="16" t="str" cm="1">
        <f t="array" ref="D418">_xlfn.XLOOKUP(1, (Table1[Project Name]=Table2[[#This Row],[Project ID]])*(Table1[Plot]=Table2[[#This Row],[Plot]]), Table1[Project ID])</f>
        <v>MJ-07</v>
      </c>
      <c r="E418" s="174">
        <v>117</v>
      </c>
      <c r="F418" s="70">
        <v>493</v>
      </c>
      <c r="G418" s="69">
        <f>Table2[[#This Row],[Time Elapsed]]+Table2[[#This Row],[Time Remaining]]</f>
        <v>610</v>
      </c>
      <c r="H418" s="70" t="s">
        <v>742</v>
      </c>
      <c r="I418" s="70" t="s">
        <v>743</v>
      </c>
      <c r="J418" s="13">
        <v>6.4299999999999996E-2</v>
      </c>
      <c r="K418" s="137">
        <v>2.92E-2</v>
      </c>
      <c r="L418" s="13">
        <f>Table2[[#This Row],[Actual %]]-Table2[[#This Row],[Plan %]]</f>
        <v>-3.5099999999999992E-2</v>
      </c>
      <c r="M418" s="144" t="s">
        <v>291</v>
      </c>
      <c r="N418" s="12">
        <v>45983</v>
      </c>
      <c r="O418" s="12"/>
      <c r="P418" s="12">
        <v>45983</v>
      </c>
      <c r="Q418" s="12">
        <v>45544</v>
      </c>
      <c r="R418" s="136" t="s">
        <v>747</v>
      </c>
      <c r="S418" s="136" t="s">
        <v>288</v>
      </c>
      <c r="T418" s="143" t="s">
        <v>746</v>
      </c>
      <c r="U418" s="155">
        <v>97238576.530000001</v>
      </c>
      <c r="V418" s="152">
        <v>0</v>
      </c>
      <c r="W418" s="36">
        <f>Table2[[#This Row],[Construction Contract Amount]]+Table2[[#This Row],[Cumulative Variations]]</f>
        <v>97238576.530000001</v>
      </c>
      <c r="X418" s="152">
        <v>3344531.65</v>
      </c>
      <c r="Y418" s="36"/>
      <c r="Z418" s="36">
        <f>Table2[[#This Row],[Final Contract Value]]+Table2[[#This Row],[Supervision Contract amount]]+Table2[[#This Row],[Authority Cost]]</f>
        <v>100583108.18000001</v>
      </c>
      <c r="AA418" s="152">
        <v>1208000</v>
      </c>
      <c r="AB418" s="36"/>
      <c r="AC418" s="102" t="str">
        <f t="shared" si="21"/>
        <v>https://drive.google.com/thumbnail?id=12AV6fpLdtW38tuWORsnwH2nidk3goR69&amp;sz=w1000</v>
      </c>
      <c r="AD418" s="172" t="s">
        <v>748</v>
      </c>
      <c r="AE418" s="103" t="str">
        <f t="shared" si="22"/>
        <v>https://drive.google.com/thumbnail?id=1qYcZEtoOCQloi5Md71V0KOa-RdfimHSV&amp;sz=w1000</v>
      </c>
      <c r="AF418" s="172" t="s">
        <v>749</v>
      </c>
      <c r="AG418" s="90" t="str">
        <f t="shared" si="23"/>
        <v>https://drive.google.com/thumbnail?id=1LwFQ1l88f8Fb49UEDNaXpVHXZmj9cenr&amp;sz=w1000</v>
      </c>
      <c r="AH418" s="172" t="s">
        <v>750</v>
      </c>
    </row>
    <row r="419" spans="1:34" ht="22.15" customHeight="1">
      <c r="A419" s="30">
        <v>45541</v>
      </c>
      <c r="B419" s="17" t="s">
        <v>91</v>
      </c>
      <c r="C419" s="2" t="s">
        <v>94</v>
      </c>
      <c r="D419" s="16" t="str" cm="1">
        <f t="array" ref="D419">_xlfn.XLOOKUP(1, (Table1[Project Name]=Table2[[#This Row],[Project ID]])*(Table1[Plot]=Table2[[#This Row],[Plot]]), Table1[Project ID])</f>
        <v>MJ-07</v>
      </c>
      <c r="E419" s="174">
        <v>117</v>
      </c>
      <c r="F419" s="70">
        <v>493</v>
      </c>
      <c r="G419" s="69">
        <f>Table2[[#This Row],[Time Elapsed]]+Table2[[#This Row],[Time Remaining]]</f>
        <v>610</v>
      </c>
      <c r="H419" s="70" t="s">
        <v>742</v>
      </c>
      <c r="I419" s="70" t="s">
        <v>743</v>
      </c>
      <c r="J419" s="13">
        <v>6.4299999999999996E-2</v>
      </c>
      <c r="K419" s="137">
        <v>2.92E-2</v>
      </c>
      <c r="L419" s="13">
        <f>Table2[[#This Row],[Actual %]]-Table2[[#This Row],[Plan %]]</f>
        <v>-3.5099999999999992E-2</v>
      </c>
      <c r="M419" s="144" t="s">
        <v>284</v>
      </c>
      <c r="N419" s="12">
        <v>46006</v>
      </c>
      <c r="O419" s="12"/>
      <c r="P419" s="12">
        <v>46006</v>
      </c>
      <c r="Q419" s="12">
        <v>45544</v>
      </c>
      <c r="R419" s="136" t="s">
        <v>747</v>
      </c>
      <c r="S419" s="136" t="s">
        <v>288</v>
      </c>
      <c r="T419" s="143" t="s">
        <v>746</v>
      </c>
      <c r="U419" s="155">
        <v>97238576.530000001</v>
      </c>
      <c r="V419" s="152">
        <v>0</v>
      </c>
      <c r="W419" s="36">
        <f>Table2[[#This Row],[Construction Contract Amount]]+Table2[[#This Row],[Cumulative Variations]]</f>
        <v>97238576.530000001</v>
      </c>
      <c r="X419" s="152">
        <v>3344531.65</v>
      </c>
      <c r="Y419" s="36"/>
      <c r="Z419" s="36">
        <f>Table2[[#This Row],[Final Contract Value]]+Table2[[#This Row],[Supervision Contract amount]]+Table2[[#This Row],[Authority Cost]]</f>
        <v>100583108.18000001</v>
      </c>
      <c r="AA419" s="152">
        <v>1208000</v>
      </c>
      <c r="AB419" s="36"/>
      <c r="AC419" s="102" t="str">
        <f t="shared" si="21"/>
        <v>https://drive.google.com/thumbnail?id=12AV6fpLdtW38tuWORsnwH2nidk3goR69&amp;sz=w1000</v>
      </c>
      <c r="AD419" s="172" t="s">
        <v>748</v>
      </c>
      <c r="AE419" s="103" t="str">
        <f t="shared" si="22"/>
        <v>https://drive.google.com/thumbnail?id=1qYcZEtoOCQloi5Md71V0KOa-RdfimHSV&amp;sz=w1000</v>
      </c>
      <c r="AF419" s="172" t="s">
        <v>749</v>
      </c>
      <c r="AG419" s="90" t="str">
        <f t="shared" si="23"/>
        <v>https://drive.google.com/thumbnail?id=1LwFQ1l88f8Fb49UEDNaXpVHXZmj9cenr&amp;sz=w1000</v>
      </c>
      <c r="AH419" s="172" t="s">
        <v>750</v>
      </c>
    </row>
    <row r="420" spans="1:34" ht="22.15" customHeight="1">
      <c r="A420" s="30">
        <v>45541</v>
      </c>
      <c r="B420" s="24" t="s">
        <v>87</v>
      </c>
      <c r="C420" s="2" t="s">
        <v>11</v>
      </c>
      <c r="D420" s="16" t="str" cm="1">
        <f t="array" ref="D420">_xlfn.XLOOKUP(1, (Table1[Project Name]=Table2[[#This Row],[Project ID]])*(Table1[Plot]=Table2[[#This Row],[Plot]]), Table1[Project ID])</f>
        <v>MJ-06</v>
      </c>
      <c r="E420" s="176">
        <v>117</v>
      </c>
      <c r="F420" s="70">
        <v>493</v>
      </c>
      <c r="G420" s="69">
        <f>Table2[[#This Row],[Time Elapsed]]+Table2[[#This Row],[Time Remaining]]</f>
        <v>610</v>
      </c>
      <c r="H420" s="177" t="s">
        <v>751</v>
      </c>
      <c r="I420" s="177" t="s">
        <v>752</v>
      </c>
      <c r="J420" s="178">
        <v>4.19E-2</v>
      </c>
      <c r="K420" s="179">
        <v>2.1700000000000001E-2</v>
      </c>
      <c r="L420" s="13">
        <f>Table2[[#This Row],[Actual %]]-Table2[[#This Row],[Plan %]]</f>
        <v>-2.0199999999999999E-2</v>
      </c>
      <c r="M420" s="180" t="s">
        <v>285</v>
      </c>
      <c r="N420" s="181">
        <v>45427</v>
      </c>
      <c r="O420" s="12">
        <v>45427</v>
      </c>
      <c r="P420" s="12"/>
      <c r="Q420" s="12">
        <v>45544</v>
      </c>
      <c r="R420" s="177" t="s">
        <v>745</v>
      </c>
      <c r="S420" s="177" t="s">
        <v>754</v>
      </c>
      <c r="T420" s="182" t="s">
        <v>755</v>
      </c>
      <c r="U420" s="183">
        <v>94981423.150000006</v>
      </c>
      <c r="V420" s="36"/>
      <c r="W420" s="36">
        <f>Table2[[#This Row],[Construction Contract Amount]]+Table2[[#This Row],[Cumulative Variations]]</f>
        <v>94981423.150000006</v>
      </c>
      <c r="X420" s="184">
        <v>3708466.35</v>
      </c>
      <c r="Y420" s="36"/>
      <c r="Z420" s="36">
        <f>Table2[[#This Row],[Final Contract Value]]+Table2[[#This Row],[Supervision Contract amount]]+Table2[[#This Row],[Authority Cost]]</f>
        <v>98689889.5</v>
      </c>
      <c r="AA420" s="185">
        <v>1208000</v>
      </c>
      <c r="AB420" s="36"/>
      <c r="AC420" s="102" t="str">
        <f t="shared" si="21"/>
        <v>https://drive.google.com/thumbnail?id=1CeSC9RuPf2MOIArqvtve0RnhtNibXLIh&amp;sz=w1000</v>
      </c>
      <c r="AD420" s="186" t="s">
        <v>756</v>
      </c>
      <c r="AE420" s="103" t="str">
        <f t="shared" si="22"/>
        <v>https://drive.google.com/thumbnail?id=1N3TOqypSQXwZ19iXs6aM8FH6uFb4dTeL&amp;sz=w1000</v>
      </c>
      <c r="AF420" s="186" t="s">
        <v>757</v>
      </c>
      <c r="AG420" s="90" t="str">
        <f t="shared" si="23"/>
        <v>https://drive.google.com/thumbnail?id=1LOn864j5W04nT1NnABjKgwZUqForXK_4&amp;sz=w1000</v>
      </c>
      <c r="AH420" s="186" t="s">
        <v>758</v>
      </c>
    </row>
    <row r="421" spans="1:34" ht="22.15" customHeight="1">
      <c r="A421" s="30">
        <v>45541</v>
      </c>
      <c r="B421" s="24" t="s">
        <v>87</v>
      </c>
      <c r="C421" s="2" t="s">
        <v>11</v>
      </c>
      <c r="D421" s="16" t="str" cm="1">
        <f t="array" ref="D421">_xlfn.XLOOKUP(1, (Table1[Project Name]=Table2[[#This Row],[Project ID]])*(Table1[Plot]=Table2[[#This Row],[Plot]]), Table1[Project ID])</f>
        <v>MJ-06</v>
      </c>
      <c r="E421" s="176">
        <v>117</v>
      </c>
      <c r="F421" s="70">
        <v>493</v>
      </c>
      <c r="G421" s="69">
        <f>Table2[[#This Row],[Time Elapsed]]+Table2[[#This Row],[Time Remaining]]</f>
        <v>610</v>
      </c>
      <c r="H421" s="177" t="s">
        <v>751</v>
      </c>
      <c r="I421" s="177" t="s">
        <v>752</v>
      </c>
      <c r="J421" s="178">
        <v>4.19E-2</v>
      </c>
      <c r="K421" s="179">
        <v>2.1700000000000001E-2</v>
      </c>
      <c r="L421" s="13">
        <f>Table2[[#This Row],[Actual %]]-Table2[[#This Row],[Plan %]]</f>
        <v>-2.0199999999999999E-2</v>
      </c>
      <c r="M421" s="180" t="s">
        <v>287</v>
      </c>
      <c r="N421" s="181">
        <v>45433</v>
      </c>
      <c r="O421" s="12">
        <v>45433</v>
      </c>
      <c r="P421" s="12"/>
      <c r="Q421" s="12">
        <v>45544</v>
      </c>
      <c r="R421" s="177" t="s">
        <v>745</v>
      </c>
      <c r="S421" s="177" t="s">
        <v>754</v>
      </c>
      <c r="T421" s="182" t="s">
        <v>755</v>
      </c>
      <c r="U421" s="183">
        <v>94981423.150000006</v>
      </c>
      <c r="V421" s="36"/>
      <c r="W421" s="36">
        <f>Table2[[#This Row],[Construction Contract Amount]]+Table2[[#This Row],[Cumulative Variations]]</f>
        <v>94981423.150000006</v>
      </c>
      <c r="X421" s="184">
        <v>3708466.35</v>
      </c>
      <c r="Y421" s="36"/>
      <c r="Z421" s="36">
        <f>Table2[[#This Row],[Final Contract Value]]+Table2[[#This Row],[Supervision Contract amount]]+Table2[[#This Row],[Authority Cost]]</f>
        <v>98689889.5</v>
      </c>
      <c r="AA421" s="185">
        <v>1208000</v>
      </c>
      <c r="AB421" s="36"/>
      <c r="AC421" s="102" t="str">
        <f t="shared" si="21"/>
        <v>https://drive.google.com/thumbnail?id=1CeSC9RuPf2MOIArqvtve0RnhtNibXLIh&amp;sz=w1000</v>
      </c>
      <c r="AD421" s="186" t="s">
        <v>756</v>
      </c>
      <c r="AE421" s="103" t="str">
        <f t="shared" si="22"/>
        <v>https://drive.google.com/thumbnail?id=1N3TOqypSQXwZ19iXs6aM8FH6uFb4dTeL&amp;sz=w1000</v>
      </c>
      <c r="AF421" s="186" t="s">
        <v>757</v>
      </c>
      <c r="AG421" s="90" t="str">
        <f t="shared" si="23"/>
        <v>https://drive.google.com/thumbnail?id=1LOn864j5W04nT1NnABjKgwZUqForXK_4&amp;sz=w1000</v>
      </c>
      <c r="AH421" s="186" t="s">
        <v>758</v>
      </c>
    </row>
    <row r="422" spans="1:34" ht="22.15" customHeight="1">
      <c r="A422" s="30">
        <v>45541</v>
      </c>
      <c r="B422" s="24" t="s">
        <v>87</v>
      </c>
      <c r="C422" s="2" t="s">
        <v>11</v>
      </c>
      <c r="D422" s="16" t="str" cm="1">
        <f t="array" ref="D422">_xlfn.XLOOKUP(1, (Table1[Project Name]=Table2[[#This Row],[Project ID]])*(Table1[Plot]=Table2[[#This Row],[Plot]]), Table1[Project ID])</f>
        <v>MJ-06</v>
      </c>
      <c r="E422" s="176">
        <v>117</v>
      </c>
      <c r="F422" s="70">
        <v>493</v>
      </c>
      <c r="G422" s="69">
        <f>Table2[[#This Row],[Time Elapsed]]+Table2[[#This Row],[Time Remaining]]</f>
        <v>610</v>
      </c>
      <c r="H422" s="177" t="s">
        <v>751</v>
      </c>
      <c r="I422" s="177" t="s">
        <v>752</v>
      </c>
      <c r="J422" s="178">
        <v>4.19E-2</v>
      </c>
      <c r="K422" s="179">
        <v>2.1700000000000001E-2</v>
      </c>
      <c r="L422" s="13">
        <f>Table2[[#This Row],[Actual %]]-Table2[[#This Row],[Plan %]]</f>
        <v>-2.0199999999999999E-2</v>
      </c>
      <c r="M422" s="180" t="s">
        <v>51</v>
      </c>
      <c r="N422" s="181">
        <v>45495</v>
      </c>
      <c r="O422" s="12">
        <v>45504</v>
      </c>
      <c r="P422" s="12"/>
      <c r="Q422" s="12">
        <v>45544</v>
      </c>
      <c r="R422" s="177" t="s">
        <v>745</v>
      </c>
      <c r="S422" s="177" t="s">
        <v>754</v>
      </c>
      <c r="T422" s="182" t="s">
        <v>755</v>
      </c>
      <c r="U422" s="183">
        <v>94981423.150000006</v>
      </c>
      <c r="V422" s="36"/>
      <c r="W422" s="36">
        <f>Table2[[#This Row],[Construction Contract Amount]]+Table2[[#This Row],[Cumulative Variations]]</f>
        <v>94981423.150000006</v>
      </c>
      <c r="X422" s="184">
        <v>3708466.35</v>
      </c>
      <c r="Y422" s="36"/>
      <c r="Z422" s="36">
        <f>Table2[[#This Row],[Final Contract Value]]+Table2[[#This Row],[Supervision Contract amount]]+Table2[[#This Row],[Authority Cost]]</f>
        <v>98689889.5</v>
      </c>
      <c r="AA422" s="185">
        <v>1208000</v>
      </c>
      <c r="AB422" s="36"/>
      <c r="AC422" s="102" t="str">
        <f t="shared" si="21"/>
        <v>https://drive.google.com/thumbnail?id=1CeSC9RuPf2MOIArqvtve0RnhtNibXLIh&amp;sz=w1000</v>
      </c>
      <c r="AD422" s="186" t="s">
        <v>756</v>
      </c>
      <c r="AE422" s="103" t="str">
        <f t="shared" si="22"/>
        <v>https://drive.google.com/thumbnail?id=1N3TOqypSQXwZ19iXs6aM8FH6uFb4dTeL&amp;sz=w1000</v>
      </c>
      <c r="AF422" s="186" t="s">
        <v>757</v>
      </c>
      <c r="AG422" s="90" t="str">
        <f t="shared" si="23"/>
        <v>https://drive.google.com/thumbnail?id=1LOn864j5W04nT1NnABjKgwZUqForXK_4&amp;sz=w1000</v>
      </c>
      <c r="AH422" s="186" t="s">
        <v>758</v>
      </c>
    </row>
    <row r="423" spans="1:34" ht="22.15" customHeight="1">
      <c r="A423" s="30">
        <v>45541</v>
      </c>
      <c r="B423" s="24" t="s">
        <v>87</v>
      </c>
      <c r="C423" s="2" t="s">
        <v>11</v>
      </c>
      <c r="D423" s="16" t="str" cm="1">
        <f t="array" ref="D423">_xlfn.XLOOKUP(1, (Table1[Project Name]=Table2[[#This Row],[Project ID]])*(Table1[Plot]=Table2[[#This Row],[Plot]]), Table1[Project ID])</f>
        <v>MJ-06</v>
      </c>
      <c r="E423" s="176">
        <v>117</v>
      </c>
      <c r="F423" s="70">
        <v>493</v>
      </c>
      <c r="G423" s="69">
        <f>Table2[[#This Row],[Time Elapsed]]+Table2[[#This Row],[Time Remaining]]</f>
        <v>610</v>
      </c>
      <c r="H423" s="177" t="s">
        <v>751</v>
      </c>
      <c r="I423" s="177" t="s">
        <v>752</v>
      </c>
      <c r="J423" s="178">
        <v>4.19E-2</v>
      </c>
      <c r="K423" s="179">
        <v>2.1700000000000001E-2</v>
      </c>
      <c r="L423" s="13">
        <f>Table2[[#This Row],[Actual %]]-Table2[[#This Row],[Plan %]]</f>
        <v>-2.0199999999999999E-2</v>
      </c>
      <c r="M423" s="180" t="s">
        <v>753</v>
      </c>
      <c r="N423" s="12">
        <v>45602</v>
      </c>
      <c r="O423" s="12"/>
      <c r="P423" s="12">
        <v>45602</v>
      </c>
      <c r="Q423" s="12">
        <v>45544</v>
      </c>
      <c r="R423" s="177" t="s">
        <v>745</v>
      </c>
      <c r="S423" s="177" t="s">
        <v>754</v>
      </c>
      <c r="T423" s="182" t="s">
        <v>755</v>
      </c>
      <c r="U423" s="183">
        <v>94981423.150000006</v>
      </c>
      <c r="V423" s="36"/>
      <c r="W423" s="36">
        <f>Table2[[#This Row],[Construction Contract Amount]]+Table2[[#This Row],[Cumulative Variations]]</f>
        <v>94981423.150000006</v>
      </c>
      <c r="X423" s="184">
        <v>3708466.35</v>
      </c>
      <c r="Y423" s="36"/>
      <c r="Z423" s="36">
        <f>Table2[[#This Row],[Final Contract Value]]+Table2[[#This Row],[Supervision Contract amount]]+Table2[[#This Row],[Authority Cost]]</f>
        <v>98689889.5</v>
      </c>
      <c r="AA423" s="185">
        <v>1208000</v>
      </c>
      <c r="AB423" s="36"/>
      <c r="AC423" s="102" t="str">
        <f t="shared" si="21"/>
        <v>https://drive.google.com/thumbnail?id=1CeSC9RuPf2MOIArqvtve0RnhtNibXLIh&amp;sz=w1000</v>
      </c>
      <c r="AD423" s="186" t="s">
        <v>756</v>
      </c>
      <c r="AE423" s="103" t="str">
        <f t="shared" si="22"/>
        <v>https://drive.google.com/thumbnail?id=1N3TOqypSQXwZ19iXs6aM8FH6uFb4dTeL&amp;sz=w1000</v>
      </c>
      <c r="AF423" s="186" t="s">
        <v>757</v>
      </c>
      <c r="AG423" s="90" t="str">
        <f t="shared" si="23"/>
        <v>https://drive.google.com/thumbnail?id=1LOn864j5W04nT1NnABjKgwZUqForXK_4&amp;sz=w1000</v>
      </c>
      <c r="AH423" s="186" t="s">
        <v>758</v>
      </c>
    </row>
    <row r="424" spans="1:34" ht="22.15" customHeight="1">
      <c r="A424" s="30">
        <v>45541</v>
      </c>
      <c r="B424" s="24" t="s">
        <v>87</v>
      </c>
      <c r="C424" s="2" t="s">
        <v>11</v>
      </c>
      <c r="D424" s="16" t="str" cm="1">
        <f t="array" ref="D424">_xlfn.XLOOKUP(1, (Table1[Project Name]=Table2[[#This Row],[Project ID]])*(Table1[Plot]=Table2[[#This Row],[Plot]]), Table1[Project ID])</f>
        <v>MJ-06</v>
      </c>
      <c r="E424" s="176">
        <v>117</v>
      </c>
      <c r="F424" s="70">
        <v>493</v>
      </c>
      <c r="G424" s="69">
        <f>Table2[[#This Row],[Time Elapsed]]+Table2[[#This Row],[Time Remaining]]</f>
        <v>610</v>
      </c>
      <c r="H424" s="177" t="s">
        <v>751</v>
      </c>
      <c r="I424" s="177" t="s">
        <v>752</v>
      </c>
      <c r="J424" s="178">
        <v>4.19E-2</v>
      </c>
      <c r="K424" s="179">
        <v>2.1700000000000001E-2</v>
      </c>
      <c r="L424" s="13">
        <f>Table2[[#This Row],[Actual %]]-Table2[[#This Row],[Plan %]]</f>
        <v>-2.0199999999999999E-2</v>
      </c>
      <c r="M424" s="144" t="s">
        <v>290</v>
      </c>
      <c r="N424" s="175">
        <v>45983</v>
      </c>
      <c r="O424" s="12"/>
      <c r="P424" s="12">
        <v>45983</v>
      </c>
      <c r="Q424" s="12">
        <v>45544</v>
      </c>
      <c r="R424" s="177" t="s">
        <v>745</v>
      </c>
      <c r="S424" s="177" t="s">
        <v>754</v>
      </c>
      <c r="T424" s="182" t="s">
        <v>755</v>
      </c>
      <c r="U424" s="183">
        <v>94981423.150000006</v>
      </c>
      <c r="V424" s="36"/>
      <c r="W424" s="36">
        <f>Table2[[#This Row],[Construction Contract Amount]]+Table2[[#This Row],[Cumulative Variations]]</f>
        <v>94981423.150000006</v>
      </c>
      <c r="X424" s="184">
        <v>3708466.35</v>
      </c>
      <c r="Y424" s="36"/>
      <c r="Z424" s="36">
        <f>Table2[[#This Row],[Final Contract Value]]+Table2[[#This Row],[Supervision Contract amount]]+Table2[[#This Row],[Authority Cost]]</f>
        <v>98689889.5</v>
      </c>
      <c r="AA424" s="185">
        <v>1208000</v>
      </c>
      <c r="AB424" s="36"/>
      <c r="AC424" s="102" t="str">
        <f t="shared" si="21"/>
        <v>https://drive.google.com/thumbnail?id=1CeSC9RuPf2MOIArqvtve0RnhtNibXLIh&amp;sz=w1000</v>
      </c>
      <c r="AD424" s="186" t="s">
        <v>756</v>
      </c>
      <c r="AE424" s="103" t="str">
        <f t="shared" si="22"/>
        <v>https://drive.google.com/thumbnail?id=1N3TOqypSQXwZ19iXs6aM8FH6uFb4dTeL&amp;sz=w1000</v>
      </c>
      <c r="AF424" s="186" t="s">
        <v>757</v>
      </c>
      <c r="AG424" s="90" t="str">
        <f t="shared" si="23"/>
        <v>https://drive.google.com/thumbnail?id=1LOn864j5W04nT1NnABjKgwZUqForXK_4&amp;sz=w1000</v>
      </c>
      <c r="AH424" s="186" t="s">
        <v>758</v>
      </c>
    </row>
    <row r="425" spans="1:34" ht="22.15" customHeight="1">
      <c r="A425" s="30">
        <v>45541</v>
      </c>
      <c r="B425" s="24" t="s">
        <v>87</v>
      </c>
      <c r="C425" s="2" t="s">
        <v>11</v>
      </c>
      <c r="D425" s="16" t="str" cm="1">
        <f t="array" ref="D425">_xlfn.XLOOKUP(1, (Table1[Project Name]=Table2[[#This Row],[Project ID]])*(Table1[Plot]=Table2[[#This Row],[Plot]]), Table1[Project ID])</f>
        <v>MJ-06</v>
      </c>
      <c r="E425" s="176">
        <v>117</v>
      </c>
      <c r="F425" s="70">
        <v>493</v>
      </c>
      <c r="G425" s="69">
        <f>Table2[[#This Row],[Time Elapsed]]+Table2[[#This Row],[Time Remaining]]</f>
        <v>610</v>
      </c>
      <c r="H425" s="177" t="s">
        <v>751</v>
      </c>
      <c r="I425" s="177" t="s">
        <v>752</v>
      </c>
      <c r="J425" s="178">
        <v>4.19E-2</v>
      </c>
      <c r="K425" s="179">
        <v>2.1700000000000001E-2</v>
      </c>
      <c r="L425" s="13">
        <f>Table2[[#This Row],[Actual %]]-Table2[[#This Row],[Plan %]]</f>
        <v>-2.0199999999999999E-2</v>
      </c>
      <c r="M425" s="144" t="s">
        <v>291</v>
      </c>
      <c r="N425" s="175">
        <v>45983</v>
      </c>
      <c r="O425" s="12"/>
      <c r="P425" s="12">
        <v>45983</v>
      </c>
      <c r="Q425" s="12">
        <v>45544</v>
      </c>
      <c r="R425" s="177" t="s">
        <v>745</v>
      </c>
      <c r="S425" s="177" t="s">
        <v>754</v>
      </c>
      <c r="T425" s="182" t="s">
        <v>755</v>
      </c>
      <c r="U425" s="183">
        <v>94981423.150000006</v>
      </c>
      <c r="V425" s="36"/>
      <c r="W425" s="36">
        <f>Table2[[#This Row],[Construction Contract Amount]]+Table2[[#This Row],[Cumulative Variations]]</f>
        <v>94981423.150000006</v>
      </c>
      <c r="X425" s="184">
        <v>3708466.35</v>
      </c>
      <c r="Y425" s="36"/>
      <c r="Z425" s="36">
        <f>Table2[[#This Row],[Final Contract Value]]+Table2[[#This Row],[Supervision Contract amount]]+Table2[[#This Row],[Authority Cost]]</f>
        <v>98689889.5</v>
      </c>
      <c r="AA425" s="185">
        <v>1208000</v>
      </c>
      <c r="AB425" s="36"/>
      <c r="AC425" s="102" t="str">
        <f t="shared" si="21"/>
        <v>https://drive.google.com/thumbnail?id=1CeSC9RuPf2MOIArqvtve0RnhtNibXLIh&amp;sz=w1000</v>
      </c>
      <c r="AD425" s="186" t="s">
        <v>756</v>
      </c>
      <c r="AE425" s="103" t="str">
        <f t="shared" si="22"/>
        <v>https://drive.google.com/thumbnail?id=1N3TOqypSQXwZ19iXs6aM8FH6uFb4dTeL&amp;sz=w1000</v>
      </c>
      <c r="AF425" s="186" t="s">
        <v>757</v>
      </c>
      <c r="AG425" s="90" t="str">
        <f t="shared" si="23"/>
        <v>https://drive.google.com/thumbnail?id=1LOn864j5W04nT1NnABjKgwZUqForXK_4&amp;sz=w1000</v>
      </c>
      <c r="AH425" s="186" t="s">
        <v>758</v>
      </c>
    </row>
    <row r="426" spans="1:34" ht="22.15" customHeight="1">
      <c r="A426" s="30">
        <v>45541</v>
      </c>
      <c r="B426" s="24" t="s">
        <v>87</v>
      </c>
      <c r="C426" s="2" t="s">
        <v>11</v>
      </c>
      <c r="D426" s="16" t="str" cm="1">
        <f t="array" ref="D426">_xlfn.XLOOKUP(1, (Table1[Project Name]=Table2[[#This Row],[Project ID]])*(Table1[Plot]=Table2[[#This Row],[Plot]]), Table1[Project ID])</f>
        <v>MJ-06</v>
      </c>
      <c r="E426" s="176">
        <v>117</v>
      </c>
      <c r="F426" s="70">
        <v>493</v>
      </c>
      <c r="G426" s="69">
        <f>Table2[[#This Row],[Time Elapsed]]+Table2[[#This Row],[Time Remaining]]</f>
        <v>610</v>
      </c>
      <c r="H426" s="177" t="s">
        <v>751</v>
      </c>
      <c r="I426" s="177" t="s">
        <v>752</v>
      </c>
      <c r="J426" s="178">
        <v>4.19E-2</v>
      </c>
      <c r="K426" s="179">
        <v>2.1700000000000001E-2</v>
      </c>
      <c r="L426" s="13">
        <f>Table2[[#This Row],[Actual %]]-Table2[[#This Row],[Plan %]]</f>
        <v>-2.0199999999999999E-2</v>
      </c>
      <c r="M426" s="144" t="s">
        <v>284</v>
      </c>
      <c r="N426" s="175">
        <v>46006</v>
      </c>
      <c r="O426" s="12"/>
      <c r="P426" s="12">
        <v>46006</v>
      </c>
      <c r="Q426" s="12">
        <v>45544</v>
      </c>
      <c r="R426" s="177" t="s">
        <v>745</v>
      </c>
      <c r="S426" s="177" t="s">
        <v>754</v>
      </c>
      <c r="T426" s="182" t="s">
        <v>755</v>
      </c>
      <c r="U426" s="183">
        <v>94981423.150000006</v>
      </c>
      <c r="V426" s="36"/>
      <c r="W426" s="36">
        <f>Table2[[#This Row],[Construction Contract Amount]]+Table2[[#This Row],[Cumulative Variations]]</f>
        <v>94981423.150000006</v>
      </c>
      <c r="X426" s="184">
        <v>3708466.35</v>
      </c>
      <c r="Y426" s="36"/>
      <c r="Z426" s="36">
        <f>Table2[[#This Row],[Final Contract Value]]+Table2[[#This Row],[Supervision Contract amount]]+Table2[[#This Row],[Authority Cost]]</f>
        <v>98689889.5</v>
      </c>
      <c r="AA426" s="185">
        <v>1208000</v>
      </c>
      <c r="AB426" s="36"/>
      <c r="AC426" s="102" t="str">
        <f t="shared" si="21"/>
        <v>https://drive.google.com/thumbnail?id=1CeSC9RuPf2MOIArqvtve0RnhtNibXLIh&amp;sz=w1000</v>
      </c>
      <c r="AD426" s="186" t="s">
        <v>756</v>
      </c>
      <c r="AE426" s="103" t="str">
        <f t="shared" si="22"/>
        <v>https://drive.google.com/thumbnail?id=1N3TOqypSQXwZ19iXs6aM8FH6uFb4dTeL&amp;sz=w1000</v>
      </c>
      <c r="AF426" s="186" t="s">
        <v>757</v>
      </c>
      <c r="AG426" s="90" t="str">
        <f t="shared" si="23"/>
        <v>https://drive.google.com/thumbnail?id=1LOn864j5W04nT1NnABjKgwZUqForXK_4&amp;sz=w1000</v>
      </c>
      <c r="AH426" s="186" t="s">
        <v>758</v>
      </c>
    </row>
    <row r="427" spans="1:34" ht="22.15" customHeight="1">
      <c r="A427" s="30">
        <v>45541</v>
      </c>
      <c r="B427" s="2" t="s">
        <v>101</v>
      </c>
      <c r="C427" s="2" t="s">
        <v>12</v>
      </c>
      <c r="D427" s="16" t="str" cm="1">
        <f t="array" ref="D427">_xlfn.XLOOKUP(1, (Table1[Project Name]=Table2[[#This Row],[Project ID]])*(Table1[Plot]=Table2[[#This Row],[Plot]]), Table1[Project ID])</f>
        <v>MJ-08</v>
      </c>
      <c r="E427" s="69">
        <v>50</v>
      </c>
      <c r="F427" s="70">
        <v>743</v>
      </c>
      <c r="G427" s="69">
        <f>Table2[[#This Row],[Time Elapsed]]+Table2[[#This Row],[Time Remaining]]</f>
        <v>793</v>
      </c>
      <c r="H427" s="70" t="s">
        <v>759</v>
      </c>
      <c r="I427" s="70" t="s">
        <v>760</v>
      </c>
      <c r="J427" s="13">
        <v>0</v>
      </c>
      <c r="K427" s="137">
        <v>0</v>
      </c>
      <c r="L427" s="13">
        <f>Table2[[#This Row],[Actual %]]-Table2[[#This Row],[Plan %]]</f>
        <v>0</v>
      </c>
      <c r="M427" s="142" t="s">
        <v>639</v>
      </c>
      <c r="N427" s="193">
        <v>45496</v>
      </c>
      <c r="O427" s="193">
        <v>45496</v>
      </c>
      <c r="P427" s="193"/>
      <c r="Q427" s="194">
        <v>45548</v>
      </c>
      <c r="R427" s="136" t="s">
        <v>774</v>
      </c>
      <c r="S427" s="136" t="s">
        <v>775</v>
      </c>
      <c r="T427" s="143" t="s">
        <v>776</v>
      </c>
      <c r="U427" s="151">
        <v>117010730</v>
      </c>
      <c r="V427" s="152">
        <v>0</v>
      </c>
      <c r="W427" s="36">
        <f>Table2[[#This Row],[Construction Contract Amount]]+Table2[[#This Row],[Cumulative Variations]]</f>
        <v>117010730</v>
      </c>
      <c r="X427" s="151">
        <v>3645800</v>
      </c>
      <c r="Y427" s="200">
        <v>0</v>
      </c>
      <c r="Z427" s="36">
        <f>Table2[[#This Row],[Final Contract Value]]+Table2[[#This Row],[Supervision Contract amount]]+Table2[[#This Row],[Authority Cost]]</f>
        <v>120656530</v>
      </c>
      <c r="AA427" s="36"/>
      <c r="AB427" s="36"/>
      <c r="AC427" s="102" t="str">
        <f t="shared" si="21"/>
        <v>https://drive.google.com/thumbnail?id=1XNlB-TCqjbu1MIFEoH3KzWJaFDA0h4Mr&amp;sz=w1000</v>
      </c>
      <c r="AD427" s="90" t="s">
        <v>804</v>
      </c>
      <c r="AE427" s="103" t="str">
        <f t="shared" si="22"/>
        <v>https://drive.google.com/thumbnail?id=1XDJ17puSEKXRlcpoac80pcUkSirH5iqT&amp;sz=w1000</v>
      </c>
      <c r="AF427" s="90" t="s">
        <v>820</v>
      </c>
      <c r="AG427" s="90" t="str">
        <f t="shared" si="23"/>
        <v>https://drive.google.com/thumbnail?id=1_yjMQo6gzbHLiIya48Wdfww-Xb1eVGfK&amp;sz=w1000</v>
      </c>
      <c r="AH427" s="90" t="s">
        <v>836</v>
      </c>
    </row>
    <row r="428" spans="1:34" ht="22.15" customHeight="1">
      <c r="A428" s="30">
        <v>45541</v>
      </c>
      <c r="B428" s="2" t="s">
        <v>101</v>
      </c>
      <c r="C428" s="2" t="s">
        <v>12</v>
      </c>
      <c r="D428" s="16" t="str" cm="1">
        <f t="array" ref="D428">_xlfn.XLOOKUP(1, (Table1[Project Name]=Table2[[#This Row],[Project ID]])*(Table1[Plot]=Table2[[#This Row],[Plot]]), Table1[Project ID])</f>
        <v>MJ-08</v>
      </c>
      <c r="E428" s="69">
        <v>50</v>
      </c>
      <c r="F428" s="70">
        <v>743</v>
      </c>
      <c r="G428" s="69">
        <f>Table2[[#This Row],[Time Elapsed]]+Table2[[#This Row],[Time Remaining]]</f>
        <v>793</v>
      </c>
      <c r="H428" s="70" t="s">
        <v>759</v>
      </c>
      <c r="I428" s="70" t="s">
        <v>760</v>
      </c>
      <c r="J428" s="13">
        <v>0</v>
      </c>
      <c r="K428" s="137">
        <v>0</v>
      </c>
      <c r="L428" s="13">
        <f>Table2[[#This Row],[Actual %]]-Table2[[#This Row],[Plan %]]</f>
        <v>0</v>
      </c>
      <c r="M428" s="144" t="s">
        <v>642</v>
      </c>
      <c r="N428" s="193">
        <v>45519</v>
      </c>
      <c r="O428" s="193">
        <v>45519</v>
      </c>
      <c r="P428" s="193"/>
      <c r="Q428" s="194">
        <v>45548</v>
      </c>
      <c r="R428" s="136" t="s">
        <v>774</v>
      </c>
      <c r="S428" s="136" t="s">
        <v>774</v>
      </c>
      <c r="T428" s="143" t="s">
        <v>776</v>
      </c>
      <c r="U428" s="151">
        <v>117010730</v>
      </c>
      <c r="V428" s="152"/>
      <c r="W428" s="36">
        <f>Table2[[#This Row],[Construction Contract Amount]]+Table2[[#This Row],[Cumulative Variations]]</f>
        <v>117010730</v>
      </c>
      <c r="X428" s="151">
        <v>3645800</v>
      </c>
      <c r="Y428" s="200"/>
      <c r="Z428" s="36">
        <f>Table2[[#This Row],[Final Contract Value]]+Table2[[#This Row],[Supervision Contract amount]]+Table2[[#This Row],[Authority Cost]]</f>
        <v>120656530</v>
      </c>
      <c r="AA428" s="36"/>
      <c r="AB428" s="36"/>
      <c r="AC428" s="102" t="str">
        <f t="shared" si="21"/>
        <v>https://drive.google.com/thumbnail?id=1XNlB-TCqjbu1MIFEoH3KzWJaFDA0h4Mr&amp;sz=w1000</v>
      </c>
      <c r="AD428" s="90" t="s">
        <v>804</v>
      </c>
      <c r="AE428" s="103" t="str">
        <f t="shared" si="22"/>
        <v>https://drive.google.com/thumbnail?id=1XDJ17puSEKXRlcpoac80pcUkSirH5iqT&amp;sz=w1000</v>
      </c>
      <c r="AF428" s="90" t="s">
        <v>820</v>
      </c>
      <c r="AG428" s="90" t="str">
        <f t="shared" si="23"/>
        <v>https://drive.google.com/thumbnail?id=1_yjMQo6gzbHLiIya48Wdfww-Xb1eVGfK&amp;sz=w1000</v>
      </c>
      <c r="AH428" s="90" t="s">
        <v>836</v>
      </c>
    </row>
    <row r="429" spans="1:34" ht="22.15" customHeight="1">
      <c r="A429" s="30">
        <v>45541</v>
      </c>
      <c r="B429" s="2" t="s">
        <v>101</v>
      </c>
      <c r="C429" s="2" t="s">
        <v>12</v>
      </c>
      <c r="D429" s="16" t="str" cm="1">
        <f t="array" ref="D429">_xlfn.XLOOKUP(1, (Table1[Project Name]=Table2[[#This Row],[Project ID]])*(Table1[Plot]=Table2[[#This Row],[Plot]]), Table1[Project ID])</f>
        <v>MJ-08</v>
      </c>
      <c r="E429" s="69">
        <v>50</v>
      </c>
      <c r="F429" s="70">
        <v>743</v>
      </c>
      <c r="G429" s="69">
        <f>Table2[[#This Row],[Time Elapsed]]+Table2[[#This Row],[Time Remaining]]</f>
        <v>793</v>
      </c>
      <c r="H429" s="70" t="s">
        <v>759</v>
      </c>
      <c r="I429" s="70" t="s">
        <v>760</v>
      </c>
      <c r="J429" s="13">
        <v>0</v>
      </c>
      <c r="K429" s="137">
        <v>0</v>
      </c>
      <c r="L429" s="13">
        <f>Table2[[#This Row],[Actual %]]-Table2[[#This Row],[Plan %]]</f>
        <v>0</v>
      </c>
      <c r="M429" s="144" t="s">
        <v>643</v>
      </c>
      <c r="N429" s="193">
        <v>45558</v>
      </c>
      <c r="O429" s="193"/>
      <c r="P429" s="193"/>
      <c r="Q429" s="194">
        <v>45548</v>
      </c>
      <c r="R429" s="136" t="s">
        <v>774</v>
      </c>
      <c r="S429" s="136" t="s">
        <v>775</v>
      </c>
      <c r="T429" s="143" t="s">
        <v>776</v>
      </c>
      <c r="U429" s="151">
        <v>117010730</v>
      </c>
      <c r="V429" s="152"/>
      <c r="W429" s="36">
        <f>Table2[[#This Row],[Construction Contract Amount]]+Table2[[#This Row],[Cumulative Variations]]</f>
        <v>117010730</v>
      </c>
      <c r="X429" s="151">
        <v>3645800</v>
      </c>
      <c r="Y429" s="200"/>
      <c r="Z429" s="36">
        <f>Table2[[#This Row],[Final Contract Value]]+Table2[[#This Row],[Supervision Contract amount]]+Table2[[#This Row],[Authority Cost]]</f>
        <v>120656530</v>
      </c>
      <c r="AA429" s="36"/>
      <c r="AB429" s="36"/>
      <c r="AC429" s="102" t="str">
        <f t="shared" si="21"/>
        <v>https://drive.google.com/thumbnail?id=1XNlB-TCqjbu1MIFEoH3KzWJaFDA0h4Mr&amp;sz=w1000</v>
      </c>
      <c r="AD429" s="90" t="s">
        <v>804</v>
      </c>
      <c r="AE429" s="103" t="str">
        <f t="shared" si="22"/>
        <v>https://drive.google.com/thumbnail?id=1XDJ17puSEKXRlcpoac80pcUkSirH5iqT&amp;sz=w1000</v>
      </c>
      <c r="AF429" s="90" t="s">
        <v>820</v>
      </c>
      <c r="AG429" s="90" t="str">
        <f t="shared" si="23"/>
        <v>https://drive.google.com/thumbnail?id=1_yjMQo6gzbHLiIya48Wdfww-Xb1eVGfK&amp;sz=w1000</v>
      </c>
      <c r="AH429" s="90" t="s">
        <v>836</v>
      </c>
    </row>
    <row r="430" spans="1:34" ht="22.15" customHeight="1">
      <c r="A430" s="30">
        <v>45541</v>
      </c>
      <c r="B430" s="2" t="s">
        <v>101</v>
      </c>
      <c r="C430" s="2" t="s">
        <v>12</v>
      </c>
      <c r="D430" s="16" t="str" cm="1">
        <f t="array" ref="D430">_xlfn.XLOOKUP(1, (Table1[Project Name]=Table2[[#This Row],[Project ID]])*(Table1[Plot]=Table2[[#This Row],[Plot]]), Table1[Project ID])</f>
        <v>MJ-08</v>
      </c>
      <c r="E430" s="69">
        <v>50</v>
      </c>
      <c r="F430" s="70">
        <v>743</v>
      </c>
      <c r="G430" s="69">
        <f>Table2[[#This Row],[Time Elapsed]]+Table2[[#This Row],[Time Remaining]]</f>
        <v>793</v>
      </c>
      <c r="H430" s="70" t="s">
        <v>759</v>
      </c>
      <c r="I430" s="70" t="s">
        <v>760</v>
      </c>
      <c r="J430" s="13">
        <v>0</v>
      </c>
      <c r="K430" s="137">
        <v>0</v>
      </c>
      <c r="L430" s="13">
        <f>Table2[[#This Row],[Actual %]]-Table2[[#This Row],[Plan %]]</f>
        <v>0</v>
      </c>
      <c r="M430" s="144" t="s">
        <v>644</v>
      </c>
      <c r="N430" s="193">
        <v>46053</v>
      </c>
      <c r="O430" s="193"/>
      <c r="P430" s="193"/>
      <c r="Q430" s="194">
        <v>45548</v>
      </c>
      <c r="R430" s="136" t="s">
        <v>774</v>
      </c>
      <c r="S430" s="136" t="s">
        <v>774</v>
      </c>
      <c r="T430" s="143" t="s">
        <v>776</v>
      </c>
      <c r="U430" s="151">
        <v>117010730</v>
      </c>
      <c r="V430" s="152"/>
      <c r="W430" s="36">
        <f>Table2[[#This Row],[Construction Contract Amount]]+Table2[[#This Row],[Cumulative Variations]]</f>
        <v>117010730</v>
      </c>
      <c r="X430" s="151">
        <v>3645800</v>
      </c>
      <c r="Y430" s="200"/>
      <c r="Z430" s="36">
        <f>Table2[[#This Row],[Final Contract Value]]+Table2[[#This Row],[Supervision Contract amount]]+Table2[[#This Row],[Authority Cost]]</f>
        <v>120656530</v>
      </c>
      <c r="AA430" s="36"/>
      <c r="AB430" s="36"/>
      <c r="AC430" s="102" t="str">
        <f t="shared" si="21"/>
        <v>https://drive.google.com/thumbnail?id=1XNlB-TCqjbu1MIFEoH3KzWJaFDA0h4Mr&amp;sz=w1000</v>
      </c>
      <c r="AD430" s="90" t="s">
        <v>804</v>
      </c>
      <c r="AE430" s="103" t="str">
        <f t="shared" si="22"/>
        <v>https://drive.google.com/thumbnail?id=1XDJ17puSEKXRlcpoac80pcUkSirH5iqT&amp;sz=w1000</v>
      </c>
      <c r="AF430" s="90" t="s">
        <v>820</v>
      </c>
      <c r="AG430" s="90" t="str">
        <f t="shared" si="23"/>
        <v>https://drive.google.com/thumbnail?id=1_yjMQo6gzbHLiIya48Wdfww-Xb1eVGfK&amp;sz=w1000</v>
      </c>
      <c r="AH430" s="90" t="s">
        <v>836</v>
      </c>
    </row>
    <row r="431" spans="1:34" ht="22.15" customHeight="1">
      <c r="A431" s="30">
        <v>45541</v>
      </c>
      <c r="B431" s="2" t="s">
        <v>101</v>
      </c>
      <c r="C431" s="2" t="s">
        <v>12</v>
      </c>
      <c r="D431" s="16" t="str" cm="1">
        <f t="array" ref="D431">_xlfn.XLOOKUP(1, (Table1[Project Name]=Table2[[#This Row],[Project ID]])*(Table1[Plot]=Table2[[#This Row],[Plot]]), Table1[Project ID])</f>
        <v>MJ-08</v>
      </c>
      <c r="E431" s="69">
        <v>50</v>
      </c>
      <c r="F431" s="70">
        <v>743</v>
      </c>
      <c r="G431" s="69">
        <f>Table2[[#This Row],[Time Elapsed]]+Table2[[#This Row],[Time Remaining]]</f>
        <v>793</v>
      </c>
      <c r="H431" s="70" t="s">
        <v>759</v>
      </c>
      <c r="I431" s="70" t="s">
        <v>760</v>
      </c>
      <c r="J431" s="13">
        <v>0</v>
      </c>
      <c r="K431" s="137">
        <v>0</v>
      </c>
      <c r="L431" s="13">
        <f>Table2[[#This Row],[Actual %]]-Table2[[#This Row],[Plan %]]</f>
        <v>0</v>
      </c>
      <c r="M431" s="144" t="s">
        <v>645</v>
      </c>
      <c r="N431" s="193">
        <v>46280</v>
      </c>
      <c r="O431" s="193"/>
      <c r="P431" s="193"/>
      <c r="Q431" s="194">
        <v>45548</v>
      </c>
      <c r="R431" s="136" t="s">
        <v>774</v>
      </c>
      <c r="S431" s="136" t="s">
        <v>775</v>
      </c>
      <c r="T431" s="143" t="s">
        <v>776</v>
      </c>
      <c r="U431" s="151">
        <v>117010730</v>
      </c>
      <c r="V431" s="152"/>
      <c r="W431" s="36">
        <f>Table2[[#This Row],[Construction Contract Amount]]+Table2[[#This Row],[Cumulative Variations]]</f>
        <v>117010730</v>
      </c>
      <c r="X431" s="151">
        <v>3645800</v>
      </c>
      <c r="Y431" s="200"/>
      <c r="Z431" s="36">
        <f>Table2[[#This Row],[Final Contract Value]]+Table2[[#This Row],[Supervision Contract amount]]+Table2[[#This Row],[Authority Cost]]</f>
        <v>120656530</v>
      </c>
      <c r="AA431" s="36"/>
      <c r="AB431" s="36"/>
      <c r="AC431" s="102" t="str">
        <f t="shared" si="21"/>
        <v>https://drive.google.com/thumbnail?id=1XNlB-TCqjbu1MIFEoH3KzWJaFDA0h4Mr&amp;sz=w1000</v>
      </c>
      <c r="AD431" s="90" t="s">
        <v>804</v>
      </c>
      <c r="AE431" s="103" t="str">
        <f t="shared" si="22"/>
        <v>https://drive.google.com/thumbnail?id=1XDJ17puSEKXRlcpoac80pcUkSirH5iqT&amp;sz=w1000</v>
      </c>
      <c r="AF431" s="90" t="s">
        <v>820</v>
      </c>
      <c r="AG431" s="90" t="str">
        <f t="shared" si="23"/>
        <v>https://drive.google.com/thumbnail?id=1_yjMQo6gzbHLiIya48Wdfww-Xb1eVGfK&amp;sz=w1000</v>
      </c>
      <c r="AH431" s="90" t="s">
        <v>836</v>
      </c>
    </row>
    <row r="432" spans="1:34" ht="22.15" customHeight="1">
      <c r="A432" s="30">
        <v>45541</v>
      </c>
      <c r="B432" s="2" t="s">
        <v>101</v>
      </c>
      <c r="C432" s="2" t="s">
        <v>12</v>
      </c>
      <c r="D432" s="16" t="str" cm="1">
        <f t="array" ref="D432">_xlfn.XLOOKUP(1, (Table1[Project Name]=Table2[[#This Row],[Project ID]])*(Table1[Plot]=Table2[[#This Row],[Plot]]), Table1[Project ID])</f>
        <v>MJ-08</v>
      </c>
      <c r="E432" s="69">
        <v>50</v>
      </c>
      <c r="F432" s="70">
        <v>743</v>
      </c>
      <c r="G432" s="69">
        <f>Table2[[#This Row],[Time Elapsed]]+Table2[[#This Row],[Time Remaining]]</f>
        <v>793</v>
      </c>
      <c r="H432" s="70" t="s">
        <v>759</v>
      </c>
      <c r="I432" s="70" t="s">
        <v>760</v>
      </c>
      <c r="J432" s="13">
        <v>0</v>
      </c>
      <c r="K432" s="137">
        <v>0</v>
      </c>
      <c r="L432" s="13">
        <f>Table2[[#This Row],[Actual %]]-Table2[[#This Row],[Plan %]]</f>
        <v>0</v>
      </c>
      <c r="M432" s="144" t="s">
        <v>646</v>
      </c>
      <c r="N432" s="193">
        <v>45500</v>
      </c>
      <c r="O432" s="193"/>
      <c r="P432" s="193"/>
      <c r="Q432" s="194">
        <v>45548</v>
      </c>
      <c r="R432" s="136" t="s">
        <v>774</v>
      </c>
      <c r="S432" s="136" t="s">
        <v>774</v>
      </c>
      <c r="T432" s="143" t="s">
        <v>776</v>
      </c>
      <c r="U432" s="151">
        <v>117010730</v>
      </c>
      <c r="V432" s="152"/>
      <c r="W432" s="36">
        <f>Table2[[#This Row],[Construction Contract Amount]]+Table2[[#This Row],[Cumulative Variations]]</f>
        <v>117010730</v>
      </c>
      <c r="X432" s="151">
        <v>3645800</v>
      </c>
      <c r="Y432" s="200"/>
      <c r="Z432" s="36">
        <f>Table2[[#This Row],[Final Contract Value]]+Table2[[#This Row],[Supervision Contract amount]]+Table2[[#This Row],[Authority Cost]]</f>
        <v>120656530</v>
      </c>
      <c r="AA432" s="36"/>
      <c r="AB432" s="36"/>
      <c r="AC432" s="102" t="str">
        <f t="shared" si="21"/>
        <v>https://drive.google.com/thumbnail?id=1XNlB-TCqjbu1MIFEoH3KzWJaFDA0h4Mr&amp;sz=w1000</v>
      </c>
      <c r="AD432" s="90" t="s">
        <v>804</v>
      </c>
      <c r="AE432" s="103" t="str">
        <f t="shared" si="22"/>
        <v>https://drive.google.com/thumbnail?id=1XDJ17puSEKXRlcpoac80pcUkSirH5iqT&amp;sz=w1000</v>
      </c>
      <c r="AF432" s="90" t="s">
        <v>820</v>
      </c>
      <c r="AG432" s="90" t="str">
        <f t="shared" si="23"/>
        <v>https://drive.google.com/thumbnail?id=1_yjMQo6gzbHLiIya48Wdfww-Xb1eVGfK&amp;sz=w1000</v>
      </c>
      <c r="AH432" s="90" t="s">
        <v>836</v>
      </c>
    </row>
    <row r="433" spans="1:34" ht="22.15" customHeight="1">
      <c r="A433" s="30">
        <v>45541</v>
      </c>
      <c r="B433" s="2" t="s">
        <v>101</v>
      </c>
      <c r="C433" s="2" t="s">
        <v>12</v>
      </c>
      <c r="D433" s="16" t="str" cm="1">
        <f t="array" ref="D433">_xlfn.XLOOKUP(1, (Table1[Project Name]=Table2[[#This Row],[Project ID]])*(Table1[Plot]=Table2[[#This Row],[Plot]]), Table1[Project ID])</f>
        <v>MJ-08</v>
      </c>
      <c r="E433" s="69">
        <v>50</v>
      </c>
      <c r="F433" s="70">
        <v>743</v>
      </c>
      <c r="G433" s="69">
        <f>Table2[[#This Row],[Time Elapsed]]+Table2[[#This Row],[Time Remaining]]</f>
        <v>793</v>
      </c>
      <c r="H433" s="70" t="s">
        <v>759</v>
      </c>
      <c r="I433" s="70" t="s">
        <v>760</v>
      </c>
      <c r="J433" s="13">
        <v>0</v>
      </c>
      <c r="K433" s="137">
        <v>0</v>
      </c>
      <c r="L433" s="13">
        <f>Table2[[#This Row],[Actual %]]-Table2[[#This Row],[Plan %]]</f>
        <v>0</v>
      </c>
      <c r="M433" s="144" t="s">
        <v>647</v>
      </c>
      <c r="N433" s="193">
        <v>46328</v>
      </c>
      <c r="O433" s="193"/>
      <c r="P433" s="193"/>
      <c r="Q433" s="194">
        <v>45548</v>
      </c>
      <c r="R433" s="136" t="s">
        <v>774</v>
      </c>
      <c r="S433" s="136" t="s">
        <v>775</v>
      </c>
      <c r="T433" s="143" t="s">
        <v>776</v>
      </c>
      <c r="U433" s="151">
        <v>117010730</v>
      </c>
      <c r="V433" s="152"/>
      <c r="W433" s="36">
        <f>Table2[[#This Row],[Construction Contract Amount]]+Table2[[#This Row],[Cumulative Variations]]</f>
        <v>117010730</v>
      </c>
      <c r="X433" s="151">
        <v>3645800</v>
      </c>
      <c r="Y433" s="200"/>
      <c r="Z433" s="36">
        <f>Table2[[#This Row],[Final Contract Value]]+Table2[[#This Row],[Supervision Contract amount]]+Table2[[#This Row],[Authority Cost]]</f>
        <v>120656530</v>
      </c>
      <c r="AA433" s="36"/>
      <c r="AB433" s="36"/>
      <c r="AC433" s="102" t="str">
        <f t="shared" si="21"/>
        <v>https://drive.google.com/thumbnail?id=1XNlB-TCqjbu1MIFEoH3KzWJaFDA0h4Mr&amp;sz=w1000</v>
      </c>
      <c r="AD433" s="90" t="s">
        <v>804</v>
      </c>
      <c r="AE433" s="103" t="str">
        <f t="shared" si="22"/>
        <v>https://drive.google.com/thumbnail?id=1XDJ17puSEKXRlcpoac80pcUkSirH5iqT&amp;sz=w1000</v>
      </c>
      <c r="AF433" s="90" t="s">
        <v>820</v>
      </c>
      <c r="AG433" s="90" t="str">
        <f t="shared" si="23"/>
        <v>https://drive.google.com/thumbnail?id=1_yjMQo6gzbHLiIya48Wdfww-Xb1eVGfK&amp;sz=w1000</v>
      </c>
      <c r="AH433" s="90" t="s">
        <v>836</v>
      </c>
    </row>
    <row r="434" spans="1:34" ht="22.15" customHeight="1">
      <c r="A434" s="30">
        <v>45541</v>
      </c>
      <c r="B434" s="2" t="s">
        <v>101</v>
      </c>
      <c r="C434" s="2" t="s">
        <v>12</v>
      </c>
      <c r="D434" s="16" t="str" cm="1">
        <f t="array" ref="D434">_xlfn.XLOOKUP(1, (Table1[Project Name]=Table2[[#This Row],[Project ID]])*(Table1[Plot]=Table2[[#This Row],[Plot]]), Table1[Project ID])</f>
        <v>MJ-08</v>
      </c>
      <c r="E434" s="69">
        <v>50</v>
      </c>
      <c r="F434" s="70">
        <v>743</v>
      </c>
      <c r="G434" s="69">
        <f>Table2[[#This Row],[Time Elapsed]]+Table2[[#This Row],[Time Remaining]]</f>
        <v>793</v>
      </c>
      <c r="H434" s="70" t="s">
        <v>759</v>
      </c>
      <c r="I434" s="70" t="s">
        <v>760</v>
      </c>
      <c r="J434" s="13">
        <v>0</v>
      </c>
      <c r="K434" s="137">
        <v>0</v>
      </c>
      <c r="L434" s="13">
        <f>Table2[[#This Row],[Actual %]]-Table2[[#This Row],[Plan %]]</f>
        <v>0</v>
      </c>
      <c r="M434" s="144" t="s">
        <v>648</v>
      </c>
      <c r="N434" s="193">
        <v>45789</v>
      </c>
      <c r="O434" s="193"/>
      <c r="P434" s="193"/>
      <c r="Q434" s="194">
        <v>45548</v>
      </c>
      <c r="R434" s="136" t="s">
        <v>774</v>
      </c>
      <c r="S434" s="136" t="s">
        <v>774</v>
      </c>
      <c r="T434" s="143" t="s">
        <v>776</v>
      </c>
      <c r="U434" s="151">
        <v>117010730</v>
      </c>
      <c r="V434" s="152"/>
      <c r="W434" s="36">
        <f>Table2[[#This Row],[Construction Contract Amount]]+Table2[[#This Row],[Cumulative Variations]]</f>
        <v>117010730</v>
      </c>
      <c r="X434" s="151">
        <v>3645800</v>
      </c>
      <c r="Y434" s="200"/>
      <c r="Z434" s="36">
        <f>Table2[[#This Row],[Final Contract Value]]+Table2[[#This Row],[Supervision Contract amount]]+Table2[[#This Row],[Authority Cost]]</f>
        <v>120656530</v>
      </c>
      <c r="AA434" s="36"/>
      <c r="AB434" s="36"/>
      <c r="AC434" s="102" t="str">
        <f t="shared" si="21"/>
        <v>https://drive.google.com/thumbnail?id=1XNlB-TCqjbu1MIFEoH3KzWJaFDA0h4Mr&amp;sz=w1000</v>
      </c>
      <c r="AD434" s="90" t="s">
        <v>804</v>
      </c>
      <c r="AE434" s="103" t="str">
        <f t="shared" si="22"/>
        <v>https://drive.google.com/thumbnail?id=1XDJ17puSEKXRlcpoac80pcUkSirH5iqT&amp;sz=w1000</v>
      </c>
      <c r="AF434" s="90" t="s">
        <v>820</v>
      </c>
      <c r="AG434" s="90" t="str">
        <f t="shared" si="23"/>
        <v>https://drive.google.com/thumbnail?id=1_yjMQo6gzbHLiIya48Wdfww-Xb1eVGfK&amp;sz=w1000</v>
      </c>
      <c r="AH434" s="90" t="s">
        <v>836</v>
      </c>
    </row>
    <row r="435" spans="1:34" ht="22.15" customHeight="1">
      <c r="A435" s="30">
        <v>45541</v>
      </c>
      <c r="B435" s="2" t="s">
        <v>101</v>
      </c>
      <c r="C435" s="2" t="s">
        <v>12</v>
      </c>
      <c r="D435" s="16" t="str" cm="1">
        <f t="array" ref="D435">_xlfn.XLOOKUP(1, (Table1[Project Name]=Table2[[#This Row],[Project ID]])*(Table1[Plot]=Table2[[#This Row],[Plot]]), Table1[Project ID])</f>
        <v>MJ-08</v>
      </c>
      <c r="E435" s="69">
        <v>50</v>
      </c>
      <c r="F435" s="70">
        <v>743</v>
      </c>
      <c r="G435" s="69">
        <f>Table2[[#This Row],[Time Elapsed]]+Table2[[#This Row],[Time Remaining]]</f>
        <v>793</v>
      </c>
      <c r="H435" s="70" t="s">
        <v>759</v>
      </c>
      <c r="I435" s="70" t="s">
        <v>760</v>
      </c>
      <c r="J435" s="13">
        <v>0</v>
      </c>
      <c r="K435" s="137">
        <v>0</v>
      </c>
      <c r="L435" s="13">
        <f>Table2[[#This Row],[Actual %]]-Table2[[#This Row],[Plan %]]</f>
        <v>0</v>
      </c>
      <c r="M435" s="144" t="s">
        <v>282</v>
      </c>
      <c r="N435" s="193">
        <v>46126</v>
      </c>
      <c r="O435" s="193"/>
      <c r="P435" s="193"/>
      <c r="Q435" s="194">
        <v>45548</v>
      </c>
      <c r="R435" s="136" t="s">
        <v>774</v>
      </c>
      <c r="S435" s="136" t="s">
        <v>775</v>
      </c>
      <c r="T435" s="143" t="s">
        <v>776</v>
      </c>
      <c r="U435" s="151">
        <v>117010730</v>
      </c>
      <c r="V435" s="152"/>
      <c r="W435" s="36">
        <f>Table2[[#This Row],[Construction Contract Amount]]+Table2[[#This Row],[Cumulative Variations]]</f>
        <v>117010730</v>
      </c>
      <c r="X435" s="151">
        <v>3645800</v>
      </c>
      <c r="Y435" s="200"/>
      <c r="Z435" s="36">
        <f>Table2[[#This Row],[Final Contract Value]]+Table2[[#This Row],[Supervision Contract amount]]+Table2[[#This Row],[Authority Cost]]</f>
        <v>120656530</v>
      </c>
      <c r="AA435" s="36"/>
      <c r="AB435" s="36"/>
      <c r="AC435" s="102" t="str">
        <f t="shared" si="21"/>
        <v>https://drive.google.com/thumbnail?id=1XNlB-TCqjbu1MIFEoH3KzWJaFDA0h4Mr&amp;sz=w1000</v>
      </c>
      <c r="AD435" s="90" t="s">
        <v>804</v>
      </c>
      <c r="AE435" s="103" t="str">
        <f t="shared" si="22"/>
        <v>https://drive.google.com/thumbnail?id=1XDJ17puSEKXRlcpoac80pcUkSirH5iqT&amp;sz=w1000</v>
      </c>
      <c r="AF435" s="90" t="s">
        <v>820</v>
      </c>
      <c r="AG435" s="90" t="str">
        <f t="shared" si="23"/>
        <v>https://drive.google.com/thumbnail?id=1_yjMQo6gzbHLiIya48Wdfww-Xb1eVGfK&amp;sz=w1000</v>
      </c>
      <c r="AH435" s="90" t="s">
        <v>836</v>
      </c>
    </row>
    <row r="436" spans="1:34" ht="22.15" customHeight="1">
      <c r="A436" s="30">
        <v>45541</v>
      </c>
      <c r="B436" s="2" t="s">
        <v>101</v>
      </c>
      <c r="C436" s="2" t="s">
        <v>12</v>
      </c>
      <c r="D436" s="16" t="str" cm="1">
        <f t="array" ref="D436">_xlfn.XLOOKUP(1, (Table1[Project Name]=Table2[[#This Row],[Project ID]])*(Table1[Plot]=Table2[[#This Row],[Plot]]), Table1[Project ID])</f>
        <v>MJ-08</v>
      </c>
      <c r="E436" s="69">
        <v>50</v>
      </c>
      <c r="F436" s="70">
        <v>743</v>
      </c>
      <c r="G436" s="69">
        <f>Table2[[#This Row],[Time Elapsed]]+Table2[[#This Row],[Time Remaining]]</f>
        <v>793</v>
      </c>
      <c r="H436" s="70" t="s">
        <v>759</v>
      </c>
      <c r="I436" s="70" t="s">
        <v>760</v>
      </c>
      <c r="J436" s="13">
        <v>0</v>
      </c>
      <c r="K436" s="137">
        <v>0</v>
      </c>
      <c r="L436" s="13">
        <f>Table2[[#This Row],[Actual %]]-Table2[[#This Row],[Plan %]]</f>
        <v>0</v>
      </c>
      <c r="M436" s="144" t="s">
        <v>283</v>
      </c>
      <c r="N436" s="193">
        <v>46286</v>
      </c>
      <c r="O436" s="193"/>
      <c r="P436" s="193"/>
      <c r="Q436" s="194">
        <v>45548</v>
      </c>
      <c r="R436" s="136" t="s">
        <v>774</v>
      </c>
      <c r="S436" s="136" t="s">
        <v>774</v>
      </c>
      <c r="T436" s="143" t="s">
        <v>776</v>
      </c>
      <c r="U436" s="151">
        <v>117010730</v>
      </c>
      <c r="V436" s="152"/>
      <c r="W436" s="36">
        <f>Table2[[#This Row],[Construction Contract Amount]]+Table2[[#This Row],[Cumulative Variations]]</f>
        <v>117010730</v>
      </c>
      <c r="X436" s="151">
        <v>3645800</v>
      </c>
      <c r="Y436" s="200"/>
      <c r="Z436" s="36">
        <f>Table2[[#This Row],[Final Contract Value]]+Table2[[#This Row],[Supervision Contract amount]]+Table2[[#This Row],[Authority Cost]]</f>
        <v>120656530</v>
      </c>
      <c r="AA436" s="36"/>
      <c r="AB436" s="36"/>
      <c r="AC436" s="102" t="str">
        <f t="shared" si="21"/>
        <v>https://drive.google.com/thumbnail?id=1XNlB-TCqjbu1MIFEoH3KzWJaFDA0h4Mr&amp;sz=w1000</v>
      </c>
      <c r="AD436" s="90" t="s">
        <v>804</v>
      </c>
      <c r="AE436" s="103" t="str">
        <f t="shared" si="22"/>
        <v>https://drive.google.com/thumbnail?id=1XDJ17puSEKXRlcpoac80pcUkSirH5iqT&amp;sz=w1000</v>
      </c>
      <c r="AF436" s="90" t="s">
        <v>820</v>
      </c>
      <c r="AG436" s="90" t="str">
        <f t="shared" si="23"/>
        <v>https://drive.google.com/thumbnail?id=1_yjMQo6gzbHLiIya48Wdfww-Xb1eVGfK&amp;sz=w1000</v>
      </c>
      <c r="AH436" s="90" t="s">
        <v>836</v>
      </c>
    </row>
    <row r="437" spans="1:34" ht="22.15" customHeight="1">
      <c r="A437" s="30">
        <v>45541</v>
      </c>
      <c r="B437" s="2" t="s">
        <v>101</v>
      </c>
      <c r="C437" s="2" t="s">
        <v>12</v>
      </c>
      <c r="D437" s="16" t="str" cm="1">
        <f t="array" ref="D437">_xlfn.XLOOKUP(1, (Table1[Project Name]=Table2[[#This Row],[Project ID]])*(Table1[Plot]=Table2[[#This Row],[Plot]]), Table1[Project ID])</f>
        <v>MJ-08</v>
      </c>
      <c r="E437" s="69">
        <v>50</v>
      </c>
      <c r="F437" s="70">
        <v>743</v>
      </c>
      <c r="G437" s="69">
        <f>Table2[[#This Row],[Time Elapsed]]+Table2[[#This Row],[Time Remaining]]</f>
        <v>793</v>
      </c>
      <c r="H437" s="70" t="s">
        <v>759</v>
      </c>
      <c r="I437" s="70" t="s">
        <v>760</v>
      </c>
      <c r="J437" s="13">
        <v>0</v>
      </c>
      <c r="K437" s="137">
        <v>0</v>
      </c>
      <c r="L437" s="13">
        <f>Table2[[#This Row],[Actual %]]-Table2[[#This Row],[Plan %]]</f>
        <v>0</v>
      </c>
      <c r="M437" s="144" t="s">
        <v>649</v>
      </c>
      <c r="N437" s="193">
        <v>46304</v>
      </c>
      <c r="O437" s="193"/>
      <c r="P437" s="193"/>
      <c r="Q437" s="194">
        <v>45548</v>
      </c>
      <c r="R437" s="136" t="s">
        <v>774</v>
      </c>
      <c r="S437" s="136" t="s">
        <v>775</v>
      </c>
      <c r="T437" s="143" t="s">
        <v>777</v>
      </c>
      <c r="U437" s="151">
        <v>117010730</v>
      </c>
      <c r="V437" s="152"/>
      <c r="W437" s="36">
        <f>Table2[[#This Row],[Construction Contract Amount]]+Table2[[#This Row],[Cumulative Variations]]</f>
        <v>117010730</v>
      </c>
      <c r="X437" s="151">
        <v>3645800</v>
      </c>
      <c r="Y437" s="200"/>
      <c r="Z437" s="36">
        <f>Table2[[#This Row],[Final Contract Value]]+Table2[[#This Row],[Supervision Contract amount]]+Table2[[#This Row],[Authority Cost]]</f>
        <v>120656530</v>
      </c>
      <c r="AA437" s="36"/>
      <c r="AB437" s="36"/>
      <c r="AC437" s="102" t="str">
        <f t="shared" si="21"/>
        <v>https://drive.google.com/thumbnail?id=1XNlB-TCqjbu1MIFEoH3KzWJaFDA0h4Mr&amp;sz=w1000</v>
      </c>
      <c r="AD437" s="90" t="s">
        <v>804</v>
      </c>
      <c r="AE437" s="103" t="str">
        <f t="shared" si="22"/>
        <v>https://drive.google.com/thumbnail?id=1XDJ17puSEKXRlcpoac80pcUkSirH5iqT&amp;sz=w1000</v>
      </c>
      <c r="AF437" s="90" t="s">
        <v>820</v>
      </c>
      <c r="AG437" s="90" t="str">
        <f t="shared" si="23"/>
        <v>https://drive.google.com/thumbnail?id=1_yjMQo6gzbHLiIya48Wdfww-Xb1eVGfK&amp;sz=w1000</v>
      </c>
      <c r="AH437" s="90" t="s">
        <v>836</v>
      </c>
    </row>
    <row r="438" spans="1:34" ht="22.15" customHeight="1">
      <c r="A438" s="30">
        <v>45541</v>
      </c>
      <c r="B438" s="2" t="s">
        <v>101</v>
      </c>
      <c r="C438" s="2" t="s">
        <v>12</v>
      </c>
      <c r="D438" s="16" t="str" cm="1">
        <f t="array" ref="D438">_xlfn.XLOOKUP(1, (Table1[Project Name]=Table2[[#This Row],[Project ID]])*(Table1[Plot]=Table2[[#This Row],[Plot]]), Table1[Project ID])</f>
        <v>MJ-08</v>
      </c>
      <c r="E438" s="69">
        <v>50</v>
      </c>
      <c r="F438" s="70">
        <v>743</v>
      </c>
      <c r="G438" s="69">
        <f>Table2[[#This Row],[Time Elapsed]]+Table2[[#This Row],[Time Remaining]]</f>
        <v>793</v>
      </c>
      <c r="H438" s="70" t="s">
        <v>759</v>
      </c>
      <c r="I438" s="70" t="s">
        <v>760</v>
      </c>
      <c r="J438" s="13">
        <v>0</v>
      </c>
      <c r="K438" s="137">
        <v>0</v>
      </c>
      <c r="L438" s="13">
        <f>Table2[[#This Row],[Actual %]]-Table2[[#This Row],[Plan %]]</f>
        <v>0</v>
      </c>
      <c r="M438" s="144" t="s">
        <v>284</v>
      </c>
      <c r="N438" s="193">
        <v>46288</v>
      </c>
      <c r="O438" s="193"/>
      <c r="P438" s="193"/>
      <c r="Q438" s="194">
        <v>45548</v>
      </c>
      <c r="R438" s="136" t="s">
        <v>774</v>
      </c>
      <c r="S438" s="136" t="s">
        <v>774</v>
      </c>
      <c r="T438" s="143" t="s">
        <v>777</v>
      </c>
      <c r="U438" s="151">
        <v>117010730</v>
      </c>
      <c r="V438" s="152"/>
      <c r="W438" s="36">
        <f>Table2[[#This Row],[Construction Contract Amount]]+Table2[[#This Row],[Cumulative Variations]]</f>
        <v>117010730</v>
      </c>
      <c r="X438" s="151">
        <v>3645800</v>
      </c>
      <c r="Y438" s="200"/>
      <c r="Z438" s="36">
        <f>Table2[[#This Row],[Final Contract Value]]+Table2[[#This Row],[Supervision Contract amount]]+Table2[[#This Row],[Authority Cost]]</f>
        <v>120656530</v>
      </c>
      <c r="AA438" s="36"/>
      <c r="AB438" s="36"/>
      <c r="AC438" s="102" t="str">
        <f t="shared" si="21"/>
        <v>https://drive.google.com/thumbnail?id=1XNlB-TCqjbu1MIFEoH3KzWJaFDA0h4Mr&amp;sz=w1000</v>
      </c>
      <c r="AD438" s="90" t="s">
        <v>804</v>
      </c>
      <c r="AE438" s="103" t="str">
        <f t="shared" si="22"/>
        <v>https://drive.google.com/thumbnail?id=1XDJ17puSEKXRlcpoac80pcUkSirH5iqT&amp;sz=w1000</v>
      </c>
      <c r="AF438" s="90" t="s">
        <v>820</v>
      </c>
      <c r="AG438" s="90" t="str">
        <f t="shared" si="23"/>
        <v>https://drive.google.com/thumbnail?id=1_yjMQo6gzbHLiIya48Wdfww-Xb1eVGfK&amp;sz=w1000</v>
      </c>
      <c r="AH438" s="90" t="s">
        <v>836</v>
      </c>
    </row>
    <row r="439" spans="1:34" ht="22.15" customHeight="1">
      <c r="A439" s="30">
        <v>45541</v>
      </c>
      <c r="B439" s="2" t="s">
        <v>106</v>
      </c>
      <c r="C439" s="2" t="s">
        <v>109</v>
      </c>
      <c r="D439" s="16" t="str" cm="1">
        <f t="array" ref="D439">_xlfn.XLOOKUP(1, (Table1[Project Name]=Table2[[#This Row],[Project ID]])*(Table1[Plot]=Table2[[#This Row],[Plot]]), Table1[Project ID])</f>
        <v>MJ-09</v>
      </c>
      <c r="E439" s="69">
        <v>50</v>
      </c>
      <c r="F439" s="70">
        <v>743</v>
      </c>
      <c r="G439" s="69">
        <f>Table2[[#This Row],[Time Elapsed]]+Table2[[#This Row],[Time Remaining]]</f>
        <v>793</v>
      </c>
      <c r="H439" s="70" t="s">
        <v>761</v>
      </c>
      <c r="I439" s="70" t="s">
        <v>762</v>
      </c>
      <c r="J439" s="13">
        <v>0</v>
      </c>
      <c r="K439" s="137">
        <v>0</v>
      </c>
      <c r="L439" s="13">
        <f>Table2[[#This Row],[Actual %]]-Table2[[#This Row],[Plan %]]</f>
        <v>0</v>
      </c>
      <c r="M439" s="142" t="s">
        <v>639</v>
      </c>
      <c r="N439" s="193">
        <v>45496</v>
      </c>
      <c r="O439" s="193">
        <v>45496</v>
      </c>
      <c r="P439" s="193"/>
      <c r="Q439" s="194">
        <v>45548</v>
      </c>
      <c r="R439" s="136" t="s">
        <v>774</v>
      </c>
      <c r="S439" s="136" t="s">
        <v>775</v>
      </c>
      <c r="T439" s="143" t="s">
        <v>777</v>
      </c>
      <c r="U439" s="151">
        <v>356759501</v>
      </c>
      <c r="V439" s="152"/>
      <c r="W439" s="36">
        <f>Table2[[#This Row],[Construction Contract Amount]]+Table2[[#This Row],[Cumulative Variations]]</f>
        <v>356759501</v>
      </c>
      <c r="X439" s="151">
        <v>3645800</v>
      </c>
      <c r="Y439" s="200"/>
      <c r="Z439" s="36">
        <f>Table2[[#This Row],[Final Contract Value]]+Table2[[#This Row],[Supervision Contract amount]]+Table2[[#This Row],[Authority Cost]]</f>
        <v>360405301</v>
      </c>
      <c r="AA439" s="36"/>
      <c r="AB439" s="36"/>
      <c r="AC439" s="102" t="str">
        <f t="shared" si="21"/>
        <v>https://drive.google.com/thumbnail?id=1N22qwC0vrqCOzXJ46mu1iA931nPdVUdV&amp;sz=w1000</v>
      </c>
      <c r="AD439" s="90" t="s">
        <v>805</v>
      </c>
      <c r="AE439" s="103" t="str">
        <f t="shared" si="22"/>
        <v>https://drive.google.com/thumbnail?id=1AWxAuRE6Vg50Zv6iozolSxiyZ-AwV82_&amp;sz=w1000</v>
      </c>
      <c r="AF439" s="90" t="s">
        <v>821</v>
      </c>
      <c r="AG439" s="90" t="str">
        <f t="shared" si="23"/>
        <v>https://drive.google.com/thumbnail?id=19aGB7slFQPfIgI387xmUjRUwIeJi_fXB&amp;sz=w1000</v>
      </c>
      <c r="AH439" s="90" t="s">
        <v>837</v>
      </c>
    </row>
    <row r="440" spans="1:34" ht="22.15" customHeight="1">
      <c r="A440" s="30">
        <v>45541</v>
      </c>
      <c r="B440" s="2" t="s">
        <v>106</v>
      </c>
      <c r="C440" s="2" t="s">
        <v>109</v>
      </c>
      <c r="D440" s="16" t="str" cm="1">
        <f t="array" ref="D440">_xlfn.XLOOKUP(1, (Table1[Project Name]=Table2[[#This Row],[Project ID]])*(Table1[Plot]=Table2[[#This Row],[Plot]]), Table1[Project ID])</f>
        <v>MJ-09</v>
      </c>
      <c r="E440" s="69">
        <v>50</v>
      </c>
      <c r="F440" s="70">
        <v>743</v>
      </c>
      <c r="G440" s="69">
        <f>Table2[[#This Row],[Time Elapsed]]+Table2[[#This Row],[Time Remaining]]</f>
        <v>793</v>
      </c>
      <c r="H440" s="70" t="s">
        <v>761</v>
      </c>
      <c r="I440" s="70" t="s">
        <v>762</v>
      </c>
      <c r="J440" s="13">
        <v>0</v>
      </c>
      <c r="K440" s="137">
        <v>0</v>
      </c>
      <c r="L440" s="13">
        <f>Table2[[#This Row],[Actual %]]-Table2[[#This Row],[Plan %]]</f>
        <v>0</v>
      </c>
      <c r="M440" s="142" t="s">
        <v>642</v>
      </c>
      <c r="N440" s="193">
        <v>45519</v>
      </c>
      <c r="O440" s="195">
        <v>45451</v>
      </c>
      <c r="P440" s="193"/>
      <c r="Q440" s="194">
        <v>45548</v>
      </c>
      <c r="R440" s="136" t="s">
        <v>774</v>
      </c>
      <c r="S440" s="136" t="s">
        <v>774</v>
      </c>
      <c r="T440" s="143" t="s">
        <v>777</v>
      </c>
      <c r="U440" s="151">
        <v>356759501</v>
      </c>
      <c r="V440" s="152"/>
      <c r="W440" s="36">
        <f>Table2[[#This Row],[Construction Contract Amount]]+Table2[[#This Row],[Cumulative Variations]]</f>
        <v>356759501</v>
      </c>
      <c r="X440" s="151">
        <v>3645800</v>
      </c>
      <c r="Y440" s="200"/>
      <c r="Z440" s="36">
        <f>Table2[[#This Row],[Final Contract Value]]+Table2[[#This Row],[Supervision Contract amount]]+Table2[[#This Row],[Authority Cost]]</f>
        <v>360405301</v>
      </c>
      <c r="AA440" s="36"/>
      <c r="AB440" s="36"/>
      <c r="AC440" s="102" t="str">
        <f t="shared" si="21"/>
        <v>https://drive.google.com/thumbnail?id=1N22qwC0vrqCOzXJ46mu1iA931nPdVUdV&amp;sz=w1000</v>
      </c>
      <c r="AD440" s="90" t="s">
        <v>805</v>
      </c>
      <c r="AE440" s="103" t="str">
        <f t="shared" si="22"/>
        <v>https://drive.google.com/thumbnail?id=1AWxAuRE6Vg50Zv6iozolSxiyZ-AwV82_&amp;sz=w1000</v>
      </c>
      <c r="AF440" s="90" t="s">
        <v>821</v>
      </c>
      <c r="AG440" s="90" t="str">
        <f t="shared" si="23"/>
        <v>https://drive.google.com/thumbnail?id=19aGB7slFQPfIgI387xmUjRUwIeJi_fXB&amp;sz=w1000</v>
      </c>
      <c r="AH440" s="90" t="s">
        <v>837</v>
      </c>
    </row>
    <row r="441" spans="1:34" ht="22.15" customHeight="1">
      <c r="A441" s="30">
        <v>45541</v>
      </c>
      <c r="B441" s="2" t="s">
        <v>106</v>
      </c>
      <c r="C441" s="2" t="s">
        <v>109</v>
      </c>
      <c r="D441" s="16" t="str" cm="1">
        <f t="array" ref="D441">_xlfn.XLOOKUP(1, (Table1[Project Name]=Table2[[#This Row],[Project ID]])*(Table1[Plot]=Table2[[#This Row],[Plot]]), Table1[Project ID])</f>
        <v>MJ-09</v>
      </c>
      <c r="E441" s="69">
        <v>50</v>
      </c>
      <c r="F441" s="70">
        <v>743</v>
      </c>
      <c r="G441" s="69">
        <f>Table2[[#This Row],[Time Elapsed]]+Table2[[#This Row],[Time Remaining]]</f>
        <v>793</v>
      </c>
      <c r="H441" s="70" t="s">
        <v>761</v>
      </c>
      <c r="I441" s="70" t="s">
        <v>762</v>
      </c>
      <c r="J441" s="13">
        <v>0</v>
      </c>
      <c r="K441" s="137">
        <v>0</v>
      </c>
      <c r="L441" s="13">
        <f>Table2[[#This Row],[Actual %]]-Table2[[#This Row],[Plan %]]</f>
        <v>0</v>
      </c>
      <c r="M441" s="142" t="s">
        <v>643</v>
      </c>
      <c r="N441" s="193">
        <v>46288</v>
      </c>
      <c r="O441" s="195"/>
      <c r="P441" s="193"/>
      <c r="Q441" s="194">
        <v>45548</v>
      </c>
      <c r="R441" s="136" t="s">
        <v>774</v>
      </c>
      <c r="S441" s="136" t="s">
        <v>775</v>
      </c>
      <c r="T441" s="143" t="s">
        <v>777</v>
      </c>
      <c r="U441" s="151">
        <v>356759501</v>
      </c>
      <c r="V441" s="152"/>
      <c r="W441" s="36">
        <f>Table2[[#This Row],[Construction Contract Amount]]+Table2[[#This Row],[Cumulative Variations]]</f>
        <v>356759501</v>
      </c>
      <c r="X441" s="151">
        <v>3645800</v>
      </c>
      <c r="Y441" s="200"/>
      <c r="Z441" s="36">
        <f>Table2[[#This Row],[Final Contract Value]]+Table2[[#This Row],[Supervision Contract amount]]+Table2[[#This Row],[Authority Cost]]</f>
        <v>360405301</v>
      </c>
      <c r="AA441" s="36"/>
      <c r="AB441" s="36"/>
      <c r="AC441" s="102" t="str">
        <f t="shared" si="21"/>
        <v>https://drive.google.com/thumbnail?id=1N22qwC0vrqCOzXJ46mu1iA931nPdVUdV&amp;sz=w1000</v>
      </c>
      <c r="AD441" s="90" t="s">
        <v>805</v>
      </c>
      <c r="AE441" s="103" t="str">
        <f t="shared" si="22"/>
        <v>https://drive.google.com/thumbnail?id=1AWxAuRE6Vg50Zv6iozolSxiyZ-AwV82_&amp;sz=w1000</v>
      </c>
      <c r="AF441" s="90" t="s">
        <v>821</v>
      </c>
      <c r="AG441" s="90" t="str">
        <f t="shared" si="23"/>
        <v>https://drive.google.com/thumbnail?id=19aGB7slFQPfIgI387xmUjRUwIeJi_fXB&amp;sz=w1000</v>
      </c>
      <c r="AH441" s="90" t="s">
        <v>837</v>
      </c>
    </row>
    <row r="442" spans="1:34" ht="22.15" customHeight="1">
      <c r="A442" s="30">
        <v>45541</v>
      </c>
      <c r="B442" s="2" t="s">
        <v>106</v>
      </c>
      <c r="C442" s="2" t="s">
        <v>109</v>
      </c>
      <c r="D442" s="16" t="str" cm="1">
        <f t="array" ref="D442">_xlfn.XLOOKUP(1, (Table1[Project Name]=Table2[[#This Row],[Project ID]])*(Table1[Plot]=Table2[[#This Row],[Plot]]), Table1[Project ID])</f>
        <v>MJ-09</v>
      </c>
      <c r="E442" s="69">
        <v>50</v>
      </c>
      <c r="F442" s="70">
        <v>743</v>
      </c>
      <c r="G442" s="69">
        <f>Table2[[#This Row],[Time Elapsed]]+Table2[[#This Row],[Time Remaining]]</f>
        <v>793</v>
      </c>
      <c r="H442" s="70" t="s">
        <v>761</v>
      </c>
      <c r="I442" s="70" t="s">
        <v>762</v>
      </c>
      <c r="J442" s="13">
        <v>0</v>
      </c>
      <c r="K442" s="137">
        <v>0</v>
      </c>
      <c r="L442" s="13">
        <f>Table2[[#This Row],[Actual %]]-Table2[[#This Row],[Plan %]]</f>
        <v>0</v>
      </c>
      <c r="M442" s="142" t="s">
        <v>644</v>
      </c>
      <c r="N442" s="193">
        <v>46053</v>
      </c>
      <c r="O442" s="195"/>
      <c r="P442" s="193"/>
      <c r="Q442" s="194">
        <v>45548</v>
      </c>
      <c r="R442" s="136" t="s">
        <v>774</v>
      </c>
      <c r="S442" s="136" t="s">
        <v>774</v>
      </c>
      <c r="T442" s="143" t="s">
        <v>777</v>
      </c>
      <c r="U442" s="151">
        <v>356759501</v>
      </c>
      <c r="V442" s="152"/>
      <c r="W442" s="36">
        <f>Table2[[#This Row],[Construction Contract Amount]]+Table2[[#This Row],[Cumulative Variations]]</f>
        <v>356759501</v>
      </c>
      <c r="X442" s="151">
        <v>3645800</v>
      </c>
      <c r="Y442" s="200"/>
      <c r="Z442" s="36">
        <f>Table2[[#This Row],[Final Contract Value]]+Table2[[#This Row],[Supervision Contract amount]]+Table2[[#This Row],[Authority Cost]]</f>
        <v>360405301</v>
      </c>
      <c r="AA442" s="36"/>
      <c r="AB442" s="36"/>
      <c r="AC442" s="102" t="str">
        <f t="shared" si="21"/>
        <v>https://drive.google.com/thumbnail?id=1N22qwC0vrqCOzXJ46mu1iA931nPdVUdV&amp;sz=w1000</v>
      </c>
      <c r="AD442" s="90" t="s">
        <v>805</v>
      </c>
      <c r="AE442" s="103" t="str">
        <f t="shared" si="22"/>
        <v>https://drive.google.com/thumbnail?id=1AWxAuRE6Vg50Zv6iozolSxiyZ-AwV82_&amp;sz=w1000</v>
      </c>
      <c r="AF442" s="90" t="s">
        <v>821</v>
      </c>
      <c r="AG442" s="90" t="str">
        <f t="shared" si="23"/>
        <v>https://drive.google.com/thumbnail?id=19aGB7slFQPfIgI387xmUjRUwIeJi_fXB&amp;sz=w1000</v>
      </c>
      <c r="AH442" s="90" t="s">
        <v>837</v>
      </c>
    </row>
    <row r="443" spans="1:34" ht="22.15" customHeight="1">
      <c r="A443" s="30">
        <v>45541</v>
      </c>
      <c r="B443" s="2" t="s">
        <v>106</v>
      </c>
      <c r="C443" s="2" t="s">
        <v>109</v>
      </c>
      <c r="D443" s="16" t="str" cm="1">
        <f t="array" ref="D443">_xlfn.XLOOKUP(1, (Table1[Project Name]=Table2[[#This Row],[Project ID]])*(Table1[Plot]=Table2[[#This Row],[Plot]]), Table1[Project ID])</f>
        <v>MJ-09</v>
      </c>
      <c r="E443" s="69">
        <v>50</v>
      </c>
      <c r="F443" s="70">
        <v>743</v>
      </c>
      <c r="G443" s="69">
        <f>Table2[[#This Row],[Time Elapsed]]+Table2[[#This Row],[Time Remaining]]</f>
        <v>793</v>
      </c>
      <c r="H443" s="70" t="s">
        <v>761</v>
      </c>
      <c r="I443" s="70" t="s">
        <v>762</v>
      </c>
      <c r="J443" s="13">
        <v>0</v>
      </c>
      <c r="K443" s="137">
        <v>0</v>
      </c>
      <c r="L443" s="13">
        <f>Table2[[#This Row],[Actual %]]-Table2[[#This Row],[Plan %]]</f>
        <v>0</v>
      </c>
      <c r="M443" s="142" t="s">
        <v>650</v>
      </c>
      <c r="N443" s="193">
        <v>46280</v>
      </c>
      <c r="O443" s="195"/>
      <c r="P443" s="193"/>
      <c r="Q443" s="194">
        <v>45548</v>
      </c>
      <c r="R443" s="136" t="s">
        <v>774</v>
      </c>
      <c r="S443" s="136" t="s">
        <v>775</v>
      </c>
      <c r="T443" s="143" t="s">
        <v>777</v>
      </c>
      <c r="U443" s="151">
        <v>356759501</v>
      </c>
      <c r="V443" s="152"/>
      <c r="W443" s="36">
        <f>Table2[[#This Row],[Construction Contract Amount]]+Table2[[#This Row],[Cumulative Variations]]</f>
        <v>356759501</v>
      </c>
      <c r="X443" s="151">
        <v>3645800</v>
      </c>
      <c r="Y443" s="200"/>
      <c r="Z443" s="36">
        <f>Table2[[#This Row],[Final Contract Value]]+Table2[[#This Row],[Supervision Contract amount]]+Table2[[#This Row],[Authority Cost]]</f>
        <v>360405301</v>
      </c>
      <c r="AA443" s="36"/>
      <c r="AB443" s="36"/>
      <c r="AC443" s="102" t="str">
        <f t="shared" si="21"/>
        <v>https://drive.google.com/thumbnail?id=1N22qwC0vrqCOzXJ46mu1iA931nPdVUdV&amp;sz=w1000</v>
      </c>
      <c r="AD443" s="90" t="s">
        <v>805</v>
      </c>
      <c r="AE443" s="103" t="str">
        <f t="shared" si="22"/>
        <v>https://drive.google.com/thumbnail?id=1AWxAuRE6Vg50Zv6iozolSxiyZ-AwV82_&amp;sz=w1000</v>
      </c>
      <c r="AF443" s="90" t="s">
        <v>821</v>
      </c>
      <c r="AG443" s="90" t="str">
        <f t="shared" si="23"/>
        <v>https://drive.google.com/thumbnail?id=19aGB7slFQPfIgI387xmUjRUwIeJi_fXB&amp;sz=w1000</v>
      </c>
      <c r="AH443" s="90" t="s">
        <v>837</v>
      </c>
    </row>
    <row r="444" spans="1:34" ht="22.15" customHeight="1">
      <c r="A444" s="30">
        <v>45541</v>
      </c>
      <c r="B444" s="2" t="s">
        <v>106</v>
      </c>
      <c r="C444" s="2" t="s">
        <v>109</v>
      </c>
      <c r="D444" s="16" t="str" cm="1">
        <f t="array" ref="D444">_xlfn.XLOOKUP(1, (Table1[Project Name]=Table2[[#This Row],[Project ID]])*(Table1[Plot]=Table2[[#This Row],[Plot]]), Table1[Project ID])</f>
        <v>MJ-09</v>
      </c>
      <c r="E444" s="69">
        <v>50</v>
      </c>
      <c r="F444" s="70">
        <v>743</v>
      </c>
      <c r="G444" s="69">
        <f>Table2[[#This Row],[Time Elapsed]]+Table2[[#This Row],[Time Remaining]]</f>
        <v>793</v>
      </c>
      <c r="H444" s="70" t="s">
        <v>761</v>
      </c>
      <c r="I444" s="70" t="s">
        <v>762</v>
      </c>
      <c r="J444" s="13">
        <v>0</v>
      </c>
      <c r="K444" s="137">
        <v>0</v>
      </c>
      <c r="L444" s="13">
        <f>Table2[[#This Row],[Actual %]]-Table2[[#This Row],[Plan %]]</f>
        <v>0</v>
      </c>
      <c r="M444" s="142" t="s">
        <v>651</v>
      </c>
      <c r="N444" s="195">
        <v>46090</v>
      </c>
      <c r="O444" s="195"/>
      <c r="P444" s="193"/>
      <c r="Q444" s="194">
        <v>45548</v>
      </c>
      <c r="R444" s="136" t="s">
        <v>774</v>
      </c>
      <c r="S444" s="136" t="s">
        <v>774</v>
      </c>
      <c r="T444" s="143" t="s">
        <v>777</v>
      </c>
      <c r="U444" s="151">
        <v>356759501</v>
      </c>
      <c r="V444" s="152"/>
      <c r="W444" s="36">
        <f>Table2[[#This Row],[Construction Contract Amount]]+Table2[[#This Row],[Cumulative Variations]]</f>
        <v>356759501</v>
      </c>
      <c r="X444" s="151">
        <v>3645800</v>
      </c>
      <c r="Y444" s="200"/>
      <c r="Z444" s="36">
        <f>Table2[[#This Row],[Final Contract Value]]+Table2[[#This Row],[Supervision Contract amount]]+Table2[[#This Row],[Authority Cost]]</f>
        <v>360405301</v>
      </c>
      <c r="AA444" s="36"/>
      <c r="AB444" s="36"/>
      <c r="AC444" s="102" t="str">
        <f t="shared" si="21"/>
        <v>https://drive.google.com/thumbnail?id=1N22qwC0vrqCOzXJ46mu1iA931nPdVUdV&amp;sz=w1000</v>
      </c>
      <c r="AD444" s="90" t="s">
        <v>805</v>
      </c>
      <c r="AE444" s="103" t="str">
        <f t="shared" si="22"/>
        <v>https://drive.google.com/thumbnail?id=1AWxAuRE6Vg50Zv6iozolSxiyZ-AwV82_&amp;sz=w1000</v>
      </c>
      <c r="AF444" s="90" t="s">
        <v>821</v>
      </c>
      <c r="AG444" s="90" t="str">
        <f t="shared" si="23"/>
        <v>https://drive.google.com/thumbnail?id=19aGB7slFQPfIgI387xmUjRUwIeJi_fXB&amp;sz=w1000</v>
      </c>
      <c r="AH444" s="90" t="s">
        <v>837</v>
      </c>
    </row>
    <row r="445" spans="1:34" ht="22.15" customHeight="1">
      <c r="A445" s="30">
        <v>45541</v>
      </c>
      <c r="B445" s="2" t="s">
        <v>106</v>
      </c>
      <c r="C445" s="2" t="s">
        <v>109</v>
      </c>
      <c r="D445" s="16" t="str" cm="1">
        <f t="array" ref="D445">_xlfn.XLOOKUP(1, (Table1[Project Name]=Table2[[#This Row],[Project ID]])*(Table1[Plot]=Table2[[#This Row],[Plot]]), Table1[Project ID])</f>
        <v>MJ-09</v>
      </c>
      <c r="E445" s="69">
        <v>50</v>
      </c>
      <c r="F445" s="70">
        <v>743</v>
      </c>
      <c r="G445" s="69">
        <f>Table2[[#This Row],[Time Elapsed]]+Table2[[#This Row],[Time Remaining]]</f>
        <v>793</v>
      </c>
      <c r="H445" s="70" t="s">
        <v>761</v>
      </c>
      <c r="I445" s="70" t="s">
        <v>762</v>
      </c>
      <c r="J445" s="13">
        <v>0</v>
      </c>
      <c r="K445" s="137">
        <v>0</v>
      </c>
      <c r="L445" s="13">
        <f>Table2[[#This Row],[Actual %]]-Table2[[#This Row],[Plan %]]</f>
        <v>0</v>
      </c>
      <c r="M445" s="142" t="s">
        <v>652</v>
      </c>
      <c r="N445" s="195">
        <v>46212</v>
      </c>
      <c r="O445" s="195"/>
      <c r="P445" s="193"/>
      <c r="Q445" s="194">
        <v>45548</v>
      </c>
      <c r="R445" s="136" t="s">
        <v>774</v>
      </c>
      <c r="S445" s="136" t="s">
        <v>775</v>
      </c>
      <c r="T445" s="143" t="s">
        <v>777</v>
      </c>
      <c r="U445" s="151">
        <v>356759501</v>
      </c>
      <c r="V445" s="152"/>
      <c r="W445" s="36">
        <f>Table2[[#This Row],[Construction Contract Amount]]+Table2[[#This Row],[Cumulative Variations]]</f>
        <v>356759501</v>
      </c>
      <c r="X445" s="151">
        <v>3645800</v>
      </c>
      <c r="Y445" s="200"/>
      <c r="Z445" s="36">
        <f>Table2[[#This Row],[Final Contract Value]]+Table2[[#This Row],[Supervision Contract amount]]+Table2[[#This Row],[Authority Cost]]</f>
        <v>360405301</v>
      </c>
      <c r="AA445" s="36"/>
      <c r="AB445" s="36"/>
      <c r="AC445" s="102" t="str">
        <f t="shared" si="21"/>
        <v>https://drive.google.com/thumbnail?id=1N22qwC0vrqCOzXJ46mu1iA931nPdVUdV&amp;sz=w1000</v>
      </c>
      <c r="AD445" s="90" t="s">
        <v>805</v>
      </c>
      <c r="AE445" s="103" t="str">
        <f t="shared" si="22"/>
        <v>https://drive.google.com/thumbnail?id=1AWxAuRE6Vg50Zv6iozolSxiyZ-AwV82_&amp;sz=w1000</v>
      </c>
      <c r="AF445" s="90" t="s">
        <v>821</v>
      </c>
      <c r="AG445" s="90" t="str">
        <f t="shared" si="23"/>
        <v>https://drive.google.com/thumbnail?id=19aGB7slFQPfIgI387xmUjRUwIeJi_fXB&amp;sz=w1000</v>
      </c>
      <c r="AH445" s="90" t="s">
        <v>837</v>
      </c>
    </row>
    <row r="446" spans="1:34" ht="22.15" customHeight="1">
      <c r="A446" s="30">
        <v>45541</v>
      </c>
      <c r="B446" s="2" t="s">
        <v>106</v>
      </c>
      <c r="C446" s="2" t="s">
        <v>109</v>
      </c>
      <c r="D446" s="16" t="str" cm="1">
        <f t="array" ref="D446">_xlfn.XLOOKUP(1, (Table1[Project Name]=Table2[[#This Row],[Project ID]])*(Table1[Plot]=Table2[[#This Row],[Plot]]), Table1[Project ID])</f>
        <v>MJ-09</v>
      </c>
      <c r="E446" s="69">
        <v>50</v>
      </c>
      <c r="F446" s="70">
        <v>743</v>
      </c>
      <c r="G446" s="69">
        <f>Table2[[#This Row],[Time Elapsed]]+Table2[[#This Row],[Time Remaining]]</f>
        <v>793</v>
      </c>
      <c r="H446" s="70" t="s">
        <v>761</v>
      </c>
      <c r="I446" s="70" t="s">
        <v>762</v>
      </c>
      <c r="J446" s="13">
        <v>0</v>
      </c>
      <c r="K446" s="137">
        <v>0</v>
      </c>
      <c r="L446" s="13">
        <f>Table2[[#This Row],[Actual %]]-Table2[[#This Row],[Plan %]]</f>
        <v>0</v>
      </c>
      <c r="M446" s="142" t="s">
        <v>653</v>
      </c>
      <c r="N446" s="195">
        <v>46031</v>
      </c>
      <c r="O446" s="195"/>
      <c r="P446" s="193"/>
      <c r="Q446" s="194">
        <v>45548</v>
      </c>
      <c r="R446" s="136" t="s">
        <v>774</v>
      </c>
      <c r="S446" s="136" t="s">
        <v>774</v>
      </c>
      <c r="T446" s="143" t="s">
        <v>777</v>
      </c>
      <c r="U446" s="151">
        <v>356759501</v>
      </c>
      <c r="V446" s="152"/>
      <c r="W446" s="36">
        <f>Table2[[#This Row],[Construction Contract Amount]]+Table2[[#This Row],[Cumulative Variations]]</f>
        <v>356759501</v>
      </c>
      <c r="X446" s="151">
        <v>3645800</v>
      </c>
      <c r="Y446" s="200"/>
      <c r="Z446" s="36">
        <f>Table2[[#This Row],[Final Contract Value]]+Table2[[#This Row],[Supervision Contract amount]]+Table2[[#This Row],[Authority Cost]]</f>
        <v>360405301</v>
      </c>
      <c r="AA446" s="36"/>
      <c r="AB446" s="36"/>
      <c r="AC446" s="102" t="str">
        <f t="shared" si="21"/>
        <v>https://drive.google.com/thumbnail?id=1N22qwC0vrqCOzXJ46mu1iA931nPdVUdV&amp;sz=w1000</v>
      </c>
      <c r="AD446" s="90" t="s">
        <v>805</v>
      </c>
      <c r="AE446" s="103" t="str">
        <f t="shared" si="22"/>
        <v>https://drive.google.com/thumbnail?id=1AWxAuRE6Vg50Zv6iozolSxiyZ-AwV82_&amp;sz=w1000</v>
      </c>
      <c r="AF446" s="90" t="s">
        <v>821</v>
      </c>
      <c r="AG446" s="90" t="str">
        <f t="shared" si="23"/>
        <v>https://drive.google.com/thumbnail?id=19aGB7slFQPfIgI387xmUjRUwIeJi_fXB&amp;sz=w1000</v>
      </c>
      <c r="AH446" s="90" t="s">
        <v>837</v>
      </c>
    </row>
    <row r="447" spans="1:34" ht="22.15" customHeight="1">
      <c r="A447" s="30">
        <v>45541</v>
      </c>
      <c r="B447" s="2" t="s">
        <v>106</v>
      </c>
      <c r="C447" s="2" t="s">
        <v>109</v>
      </c>
      <c r="D447" s="16" t="str" cm="1">
        <f t="array" ref="D447">_xlfn.XLOOKUP(1, (Table1[Project Name]=Table2[[#This Row],[Project ID]])*(Table1[Plot]=Table2[[#This Row],[Plot]]), Table1[Project ID])</f>
        <v>MJ-09</v>
      </c>
      <c r="E447" s="69">
        <v>50</v>
      </c>
      <c r="F447" s="70">
        <v>743</v>
      </c>
      <c r="G447" s="69">
        <f>Table2[[#This Row],[Time Elapsed]]+Table2[[#This Row],[Time Remaining]]</f>
        <v>793</v>
      </c>
      <c r="H447" s="70" t="s">
        <v>761</v>
      </c>
      <c r="I447" s="70" t="s">
        <v>762</v>
      </c>
      <c r="J447" s="13">
        <v>0</v>
      </c>
      <c r="K447" s="137">
        <v>0</v>
      </c>
      <c r="L447" s="13">
        <f>Table2[[#This Row],[Actual %]]-Table2[[#This Row],[Plan %]]</f>
        <v>0</v>
      </c>
      <c r="M447" s="142" t="s">
        <v>654</v>
      </c>
      <c r="N447" s="195">
        <v>46225</v>
      </c>
      <c r="O447" s="195"/>
      <c r="P447" s="193"/>
      <c r="Q447" s="194">
        <v>45548</v>
      </c>
      <c r="R447" s="136" t="s">
        <v>774</v>
      </c>
      <c r="S447" s="136" t="s">
        <v>775</v>
      </c>
      <c r="T447" s="143" t="s">
        <v>777</v>
      </c>
      <c r="U447" s="151">
        <v>356759501</v>
      </c>
      <c r="V447" s="152"/>
      <c r="W447" s="36">
        <f>Table2[[#This Row],[Construction Contract Amount]]+Table2[[#This Row],[Cumulative Variations]]</f>
        <v>356759501</v>
      </c>
      <c r="X447" s="151">
        <v>3645800</v>
      </c>
      <c r="Y447" s="200"/>
      <c r="Z447" s="36">
        <f>Table2[[#This Row],[Final Contract Value]]+Table2[[#This Row],[Supervision Contract amount]]+Table2[[#This Row],[Authority Cost]]</f>
        <v>360405301</v>
      </c>
      <c r="AA447" s="36"/>
      <c r="AB447" s="36"/>
      <c r="AC447" s="102" t="str">
        <f t="shared" si="21"/>
        <v>https://drive.google.com/thumbnail?id=1N22qwC0vrqCOzXJ46mu1iA931nPdVUdV&amp;sz=w1000</v>
      </c>
      <c r="AD447" s="90" t="s">
        <v>805</v>
      </c>
      <c r="AE447" s="103" t="str">
        <f t="shared" si="22"/>
        <v>https://drive.google.com/thumbnail?id=1AWxAuRE6Vg50Zv6iozolSxiyZ-AwV82_&amp;sz=w1000</v>
      </c>
      <c r="AF447" s="90" t="s">
        <v>821</v>
      </c>
      <c r="AG447" s="90" t="str">
        <f t="shared" si="23"/>
        <v>https://drive.google.com/thumbnail?id=19aGB7slFQPfIgI387xmUjRUwIeJi_fXB&amp;sz=w1000</v>
      </c>
      <c r="AH447" s="90" t="s">
        <v>837</v>
      </c>
    </row>
    <row r="448" spans="1:34" ht="22.15" customHeight="1">
      <c r="A448" s="30">
        <v>45541</v>
      </c>
      <c r="B448" s="2" t="s">
        <v>106</v>
      </c>
      <c r="C448" s="2" t="s">
        <v>109</v>
      </c>
      <c r="D448" s="16" t="str" cm="1">
        <f t="array" ref="D448">_xlfn.XLOOKUP(1, (Table1[Project Name]=Table2[[#This Row],[Project ID]])*(Table1[Plot]=Table2[[#This Row],[Plot]]), Table1[Project ID])</f>
        <v>MJ-09</v>
      </c>
      <c r="E448" s="69">
        <v>50</v>
      </c>
      <c r="F448" s="70">
        <v>743</v>
      </c>
      <c r="G448" s="69">
        <f>Table2[[#This Row],[Time Elapsed]]+Table2[[#This Row],[Time Remaining]]</f>
        <v>793</v>
      </c>
      <c r="H448" s="70" t="s">
        <v>761</v>
      </c>
      <c r="I448" s="70" t="s">
        <v>762</v>
      </c>
      <c r="J448" s="13">
        <v>0</v>
      </c>
      <c r="K448" s="137">
        <v>0</v>
      </c>
      <c r="L448" s="13">
        <f>Table2[[#This Row],[Actual %]]-Table2[[#This Row],[Plan %]]</f>
        <v>0</v>
      </c>
      <c r="M448" s="142" t="s">
        <v>655</v>
      </c>
      <c r="N448" s="195">
        <v>46234</v>
      </c>
      <c r="O448" s="195"/>
      <c r="P448" s="193"/>
      <c r="Q448" s="194">
        <v>45548</v>
      </c>
      <c r="R448" s="136" t="s">
        <v>774</v>
      </c>
      <c r="S448" s="136" t="s">
        <v>774</v>
      </c>
      <c r="T448" s="143" t="s">
        <v>777</v>
      </c>
      <c r="U448" s="151">
        <v>356759501</v>
      </c>
      <c r="V448" s="152"/>
      <c r="W448" s="36">
        <f>Table2[[#This Row],[Construction Contract Amount]]+Table2[[#This Row],[Cumulative Variations]]</f>
        <v>356759501</v>
      </c>
      <c r="X448" s="151">
        <v>3645800</v>
      </c>
      <c r="Y448" s="200"/>
      <c r="Z448" s="36">
        <f>Table2[[#This Row],[Final Contract Value]]+Table2[[#This Row],[Supervision Contract amount]]+Table2[[#This Row],[Authority Cost]]</f>
        <v>360405301</v>
      </c>
      <c r="AA448" s="36"/>
      <c r="AB448" s="36"/>
      <c r="AC448" s="102" t="str">
        <f t="shared" si="21"/>
        <v>https://drive.google.com/thumbnail?id=1N22qwC0vrqCOzXJ46mu1iA931nPdVUdV&amp;sz=w1000</v>
      </c>
      <c r="AD448" s="90" t="s">
        <v>805</v>
      </c>
      <c r="AE448" s="103" t="str">
        <f t="shared" si="22"/>
        <v>https://drive.google.com/thumbnail?id=1AWxAuRE6Vg50Zv6iozolSxiyZ-AwV82_&amp;sz=w1000</v>
      </c>
      <c r="AF448" s="90" t="s">
        <v>821</v>
      </c>
      <c r="AG448" s="90" t="str">
        <f t="shared" si="23"/>
        <v>https://drive.google.com/thumbnail?id=19aGB7slFQPfIgI387xmUjRUwIeJi_fXB&amp;sz=w1000</v>
      </c>
      <c r="AH448" s="90" t="s">
        <v>837</v>
      </c>
    </row>
    <row r="449" spans="1:34" ht="22.15" customHeight="1">
      <c r="A449" s="30">
        <v>45541</v>
      </c>
      <c r="B449" s="2" t="s">
        <v>106</v>
      </c>
      <c r="C449" s="2" t="s">
        <v>109</v>
      </c>
      <c r="D449" s="16" t="str" cm="1">
        <f t="array" ref="D449">_xlfn.XLOOKUP(1, (Table1[Project Name]=Table2[[#This Row],[Project ID]])*(Table1[Plot]=Table2[[#This Row],[Plot]]), Table1[Project ID])</f>
        <v>MJ-09</v>
      </c>
      <c r="E449" s="69">
        <v>50</v>
      </c>
      <c r="F449" s="70">
        <v>743</v>
      </c>
      <c r="G449" s="69">
        <f>Table2[[#This Row],[Time Elapsed]]+Table2[[#This Row],[Time Remaining]]</f>
        <v>793</v>
      </c>
      <c r="H449" s="70" t="s">
        <v>761</v>
      </c>
      <c r="I449" s="70" t="s">
        <v>762</v>
      </c>
      <c r="J449" s="13">
        <v>0</v>
      </c>
      <c r="K449" s="137">
        <v>0</v>
      </c>
      <c r="L449" s="13">
        <f>Table2[[#This Row],[Actual %]]-Table2[[#This Row],[Plan %]]</f>
        <v>0</v>
      </c>
      <c r="M449" s="142" t="s">
        <v>656</v>
      </c>
      <c r="N449" s="195">
        <v>45789</v>
      </c>
      <c r="O449" s="195"/>
      <c r="P449" s="193"/>
      <c r="Q449" s="194">
        <v>45548</v>
      </c>
      <c r="R449" s="136" t="s">
        <v>774</v>
      </c>
      <c r="S449" s="136" t="s">
        <v>775</v>
      </c>
      <c r="T449" s="143" t="s">
        <v>777</v>
      </c>
      <c r="U449" s="151">
        <v>356759501</v>
      </c>
      <c r="V449" s="152"/>
      <c r="W449" s="36">
        <f>Table2[[#This Row],[Construction Contract Amount]]+Table2[[#This Row],[Cumulative Variations]]</f>
        <v>356759501</v>
      </c>
      <c r="X449" s="151">
        <v>3645800</v>
      </c>
      <c r="Y449" s="200"/>
      <c r="Z449" s="36">
        <f>Table2[[#This Row],[Final Contract Value]]+Table2[[#This Row],[Supervision Contract amount]]+Table2[[#This Row],[Authority Cost]]</f>
        <v>360405301</v>
      </c>
      <c r="AA449" s="36"/>
      <c r="AB449" s="36"/>
      <c r="AC449" s="102" t="str">
        <f t="shared" si="21"/>
        <v>https://drive.google.com/thumbnail?id=1N22qwC0vrqCOzXJ46mu1iA931nPdVUdV&amp;sz=w1000</v>
      </c>
      <c r="AD449" s="90" t="s">
        <v>805</v>
      </c>
      <c r="AE449" s="103" t="str">
        <f t="shared" si="22"/>
        <v>https://drive.google.com/thumbnail?id=1AWxAuRE6Vg50Zv6iozolSxiyZ-AwV82_&amp;sz=w1000</v>
      </c>
      <c r="AF449" s="90" t="s">
        <v>821</v>
      </c>
      <c r="AG449" s="90" t="str">
        <f t="shared" si="23"/>
        <v>https://drive.google.com/thumbnail?id=19aGB7slFQPfIgI387xmUjRUwIeJi_fXB&amp;sz=w1000</v>
      </c>
      <c r="AH449" s="90" t="s">
        <v>837</v>
      </c>
    </row>
    <row r="450" spans="1:34" ht="22.15" customHeight="1">
      <c r="A450" s="30">
        <v>45541</v>
      </c>
      <c r="B450" s="2" t="s">
        <v>106</v>
      </c>
      <c r="C450" s="2" t="s">
        <v>109</v>
      </c>
      <c r="D450" s="16" t="str" cm="1">
        <f t="array" ref="D450">_xlfn.XLOOKUP(1, (Table1[Project Name]=Table2[[#This Row],[Project ID]])*(Table1[Plot]=Table2[[#This Row],[Plot]]), Table1[Project ID])</f>
        <v>MJ-09</v>
      </c>
      <c r="E450" s="69">
        <v>50</v>
      </c>
      <c r="F450" s="70">
        <v>743</v>
      </c>
      <c r="G450" s="69">
        <f>Table2[[#This Row],[Time Elapsed]]+Table2[[#This Row],[Time Remaining]]</f>
        <v>793</v>
      </c>
      <c r="H450" s="70" t="s">
        <v>761</v>
      </c>
      <c r="I450" s="70" t="s">
        <v>762</v>
      </c>
      <c r="J450" s="13">
        <v>0</v>
      </c>
      <c r="K450" s="137">
        <v>0</v>
      </c>
      <c r="L450" s="13">
        <f>Table2[[#This Row],[Actual %]]-Table2[[#This Row],[Plan %]]</f>
        <v>0</v>
      </c>
      <c r="M450" s="142" t="s">
        <v>282</v>
      </c>
      <c r="N450" s="195">
        <v>46126</v>
      </c>
      <c r="O450" s="195"/>
      <c r="P450" s="193"/>
      <c r="Q450" s="194">
        <v>45548</v>
      </c>
      <c r="R450" s="136" t="s">
        <v>774</v>
      </c>
      <c r="S450" s="136" t="s">
        <v>774</v>
      </c>
      <c r="T450" s="143" t="s">
        <v>777</v>
      </c>
      <c r="U450" s="151">
        <v>356759501</v>
      </c>
      <c r="V450" s="152"/>
      <c r="W450" s="36">
        <f>Table2[[#This Row],[Construction Contract Amount]]+Table2[[#This Row],[Cumulative Variations]]</f>
        <v>356759501</v>
      </c>
      <c r="X450" s="151">
        <v>3645800</v>
      </c>
      <c r="Y450" s="200"/>
      <c r="Z450" s="36">
        <f>Table2[[#This Row],[Final Contract Value]]+Table2[[#This Row],[Supervision Contract amount]]+Table2[[#This Row],[Authority Cost]]</f>
        <v>360405301</v>
      </c>
      <c r="AA450" s="36"/>
      <c r="AB450" s="36"/>
      <c r="AC450" s="102" t="str">
        <f t="shared" ref="AC450:AC513" si="24">CONCATENATE("https://drive.google.com/thumbnail?id=", MID(AD450, FIND("/d/", AD450) + 3, FIND("/view", AD450) - FIND("/d/", AD450) - 3), "&amp;sz=w1000")</f>
        <v>https://drive.google.com/thumbnail?id=1N22qwC0vrqCOzXJ46mu1iA931nPdVUdV&amp;sz=w1000</v>
      </c>
      <c r="AD450" s="90" t="s">
        <v>805</v>
      </c>
      <c r="AE450" s="103" t="str">
        <f t="shared" ref="AE450:AE513" si="25">CONCATENATE("https://drive.google.com/thumbnail?id=", MID(AF450, FIND("/d/", AF450) + 3, FIND("/view", AF450) - FIND("/d/", AF450) - 3), "&amp;sz=w1000")</f>
        <v>https://drive.google.com/thumbnail?id=1AWxAuRE6Vg50Zv6iozolSxiyZ-AwV82_&amp;sz=w1000</v>
      </c>
      <c r="AF450" s="90" t="s">
        <v>821</v>
      </c>
      <c r="AG450" s="90" t="str">
        <f t="shared" ref="AG450:AG513" si="26">CONCATENATE("https://drive.google.com/thumbnail?id=", MID(AH450, FIND("/d/", AH450) + 3, FIND("/view", AH450) - FIND("/d/", AH450) - 3), "&amp;sz=w1000")</f>
        <v>https://drive.google.com/thumbnail?id=19aGB7slFQPfIgI387xmUjRUwIeJi_fXB&amp;sz=w1000</v>
      </c>
      <c r="AH450" s="90" t="s">
        <v>837</v>
      </c>
    </row>
    <row r="451" spans="1:34" ht="22.15" customHeight="1">
      <c r="A451" s="30">
        <v>45541</v>
      </c>
      <c r="B451" s="2" t="s">
        <v>106</v>
      </c>
      <c r="C451" s="2" t="s">
        <v>109</v>
      </c>
      <c r="D451" s="16" t="str" cm="1">
        <f t="array" ref="D451">_xlfn.XLOOKUP(1, (Table1[Project Name]=Table2[[#This Row],[Project ID]])*(Table1[Plot]=Table2[[#This Row],[Plot]]), Table1[Project ID])</f>
        <v>MJ-09</v>
      </c>
      <c r="E451" s="69">
        <v>50</v>
      </c>
      <c r="F451" s="70">
        <v>743</v>
      </c>
      <c r="G451" s="69">
        <f>Table2[[#This Row],[Time Elapsed]]+Table2[[#This Row],[Time Remaining]]</f>
        <v>793</v>
      </c>
      <c r="H451" s="70" t="s">
        <v>761</v>
      </c>
      <c r="I451" s="70" t="s">
        <v>762</v>
      </c>
      <c r="J451" s="13">
        <v>0</v>
      </c>
      <c r="K451" s="137">
        <v>0</v>
      </c>
      <c r="L451" s="13">
        <f>Table2[[#This Row],[Actual %]]-Table2[[#This Row],[Plan %]]</f>
        <v>0</v>
      </c>
      <c r="M451" s="142" t="s">
        <v>283</v>
      </c>
      <c r="N451" s="195">
        <v>46286</v>
      </c>
      <c r="O451" s="195"/>
      <c r="P451" s="193"/>
      <c r="Q451" s="194">
        <v>45548</v>
      </c>
      <c r="R451" s="136" t="s">
        <v>774</v>
      </c>
      <c r="S451" s="136" t="s">
        <v>775</v>
      </c>
      <c r="T451" s="143" t="s">
        <v>777</v>
      </c>
      <c r="U451" s="151">
        <v>356759501</v>
      </c>
      <c r="V451" s="152"/>
      <c r="W451" s="36">
        <f>Table2[[#This Row],[Construction Contract Amount]]+Table2[[#This Row],[Cumulative Variations]]</f>
        <v>356759501</v>
      </c>
      <c r="X451" s="151">
        <v>3645800</v>
      </c>
      <c r="Y451" s="200"/>
      <c r="Z451" s="36">
        <f>Table2[[#This Row],[Final Contract Value]]+Table2[[#This Row],[Supervision Contract amount]]+Table2[[#This Row],[Authority Cost]]</f>
        <v>360405301</v>
      </c>
      <c r="AA451" s="36"/>
      <c r="AB451" s="36"/>
      <c r="AC451" s="102" t="str">
        <f t="shared" si="24"/>
        <v>https://drive.google.com/thumbnail?id=1N22qwC0vrqCOzXJ46mu1iA931nPdVUdV&amp;sz=w1000</v>
      </c>
      <c r="AD451" s="90" t="s">
        <v>805</v>
      </c>
      <c r="AE451" s="103" t="str">
        <f t="shared" si="25"/>
        <v>https://drive.google.com/thumbnail?id=1AWxAuRE6Vg50Zv6iozolSxiyZ-AwV82_&amp;sz=w1000</v>
      </c>
      <c r="AF451" s="90" t="s">
        <v>821</v>
      </c>
      <c r="AG451" s="90" t="str">
        <f t="shared" si="26"/>
        <v>https://drive.google.com/thumbnail?id=19aGB7slFQPfIgI387xmUjRUwIeJi_fXB&amp;sz=w1000</v>
      </c>
      <c r="AH451" s="90" t="s">
        <v>837</v>
      </c>
    </row>
    <row r="452" spans="1:34" ht="22.15" customHeight="1">
      <c r="A452" s="30">
        <v>45541</v>
      </c>
      <c r="B452" s="2" t="s">
        <v>106</v>
      </c>
      <c r="C452" s="2" t="s">
        <v>109</v>
      </c>
      <c r="D452" s="16" t="str" cm="1">
        <f t="array" ref="D452">_xlfn.XLOOKUP(1, (Table1[Project Name]=Table2[[#This Row],[Project ID]])*(Table1[Plot]=Table2[[#This Row],[Plot]]), Table1[Project ID])</f>
        <v>MJ-09</v>
      </c>
      <c r="E452" s="69">
        <v>50</v>
      </c>
      <c r="F452" s="70">
        <v>743</v>
      </c>
      <c r="G452" s="69">
        <f>Table2[[#This Row],[Time Elapsed]]+Table2[[#This Row],[Time Remaining]]</f>
        <v>793</v>
      </c>
      <c r="H452" s="70" t="s">
        <v>761</v>
      </c>
      <c r="I452" s="70" t="s">
        <v>762</v>
      </c>
      <c r="J452" s="13">
        <v>0</v>
      </c>
      <c r="K452" s="137">
        <v>0</v>
      </c>
      <c r="L452" s="13">
        <f>Table2[[#This Row],[Actual %]]-Table2[[#This Row],[Plan %]]</f>
        <v>0</v>
      </c>
      <c r="M452" s="142" t="s">
        <v>649</v>
      </c>
      <c r="N452" s="195">
        <v>46304</v>
      </c>
      <c r="O452" s="195"/>
      <c r="P452" s="193"/>
      <c r="Q452" s="194">
        <v>45548</v>
      </c>
      <c r="R452" s="136" t="s">
        <v>774</v>
      </c>
      <c r="S452" s="136" t="s">
        <v>774</v>
      </c>
      <c r="T452" s="143" t="s">
        <v>777</v>
      </c>
      <c r="U452" s="151">
        <v>356759501</v>
      </c>
      <c r="V452" s="152"/>
      <c r="W452" s="36">
        <f>Table2[[#This Row],[Construction Contract Amount]]+Table2[[#This Row],[Cumulative Variations]]</f>
        <v>356759501</v>
      </c>
      <c r="X452" s="151">
        <v>3645800</v>
      </c>
      <c r="Y452" s="200"/>
      <c r="Z452" s="36">
        <f>Table2[[#This Row],[Final Contract Value]]+Table2[[#This Row],[Supervision Contract amount]]+Table2[[#This Row],[Authority Cost]]</f>
        <v>360405301</v>
      </c>
      <c r="AA452" s="36"/>
      <c r="AB452" s="36"/>
      <c r="AC452" s="102" t="str">
        <f t="shared" si="24"/>
        <v>https://drive.google.com/thumbnail?id=1N22qwC0vrqCOzXJ46mu1iA931nPdVUdV&amp;sz=w1000</v>
      </c>
      <c r="AD452" s="90" t="s">
        <v>805</v>
      </c>
      <c r="AE452" s="103" t="str">
        <f t="shared" si="25"/>
        <v>https://drive.google.com/thumbnail?id=1AWxAuRE6Vg50Zv6iozolSxiyZ-AwV82_&amp;sz=w1000</v>
      </c>
      <c r="AF452" s="90" t="s">
        <v>821</v>
      </c>
      <c r="AG452" s="90" t="str">
        <f t="shared" si="26"/>
        <v>https://drive.google.com/thumbnail?id=19aGB7slFQPfIgI387xmUjRUwIeJi_fXB&amp;sz=w1000</v>
      </c>
      <c r="AH452" s="90" t="s">
        <v>837</v>
      </c>
    </row>
    <row r="453" spans="1:34" ht="22.15" customHeight="1">
      <c r="A453" s="30">
        <v>45541</v>
      </c>
      <c r="B453" s="2" t="s">
        <v>106</v>
      </c>
      <c r="C453" s="2" t="s">
        <v>109</v>
      </c>
      <c r="D453" s="16" t="str" cm="1">
        <f t="array" ref="D453">_xlfn.XLOOKUP(1, (Table1[Project Name]=Table2[[#This Row],[Project ID]])*(Table1[Plot]=Table2[[#This Row],[Plot]]), Table1[Project ID])</f>
        <v>MJ-09</v>
      </c>
      <c r="E453" s="69">
        <v>50</v>
      </c>
      <c r="F453" s="70">
        <v>743</v>
      </c>
      <c r="G453" s="69">
        <f>Table2[[#This Row],[Time Elapsed]]+Table2[[#This Row],[Time Remaining]]</f>
        <v>793</v>
      </c>
      <c r="H453" s="70" t="s">
        <v>761</v>
      </c>
      <c r="I453" s="70" t="s">
        <v>762</v>
      </c>
      <c r="J453" s="13">
        <v>0</v>
      </c>
      <c r="K453" s="137">
        <v>0</v>
      </c>
      <c r="L453" s="13">
        <f>Table2[[#This Row],[Actual %]]-Table2[[#This Row],[Plan %]]</f>
        <v>0</v>
      </c>
      <c r="M453" s="142" t="s">
        <v>284</v>
      </c>
      <c r="N453" s="195">
        <v>46288</v>
      </c>
      <c r="O453" s="195"/>
      <c r="P453" s="193"/>
      <c r="Q453" s="194">
        <v>45548</v>
      </c>
      <c r="R453" s="136" t="s">
        <v>774</v>
      </c>
      <c r="S453" s="136" t="s">
        <v>775</v>
      </c>
      <c r="T453" s="143" t="s">
        <v>777</v>
      </c>
      <c r="U453" s="151">
        <v>356759501</v>
      </c>
      <c r="V453" s="152"/>
      <c r="W453" s="36">
        <f>Table2[[#This Row],[Construction Contract Amount]]+Table2[[#This Row],[Cumulative Variations]]</f>
        <v>356759501</v>
      </c>
      <c r="X453" s="151">
        <v>3645800</v>
      </c>
      <c r="Y453" s="200"/>
      <c r="Z453" s="36">
        <f>Table2[[#This Row],[Final Contract Value]]+Table2[[#This Row],[Supervision Contract amount]]+Table2[[#This Row],[Authority Cost]]</f>
        <v>360405301</v>
      </c>
      <c r="AA453" s="36"/>
      <c r="AB453" s="36"/>
      <c r="AC453" s="102" t="str">
        <f t="shared" si="24"/>
        <v>https://drive.google.com/thumbnail?id=1N22qwC0vrqCOzXJ46mu1iA931nPdVUdV&amp;sz=w1000</v>
      </c>
      <c r="AD453" s="90" t="s">
        <v>805</v>
      </c>
      <c r="AE453" s="103" t="str">
        <f t="shared" si="25"/>
        <v>https://drive.google.com/thumbnail?id=1AWxAuRE6Vg50Zv6iozolSxiyZ-AwV82_&amp;sz=w1000</v>
      </c>
      <c r="AF453" s="90" t="s">
        <v>821</v>
      </c>
      <c r="AG453" s="90" t="str">
        <f t="shared" si="26"/>
        <v>https://drive.google.com/thumbnail?id=19aGB7slFQPfIgI387xmUjRUwIeJi_fXB&amp;sz=w1000</v>
      </c>
      <c r="AH453" s="90" t="s">
        <v>837</v>
      </c>
    </row>
    <row r="454" spans="1:34" ht="22.15" customHeight="1">
      <c r="A454" s="30">
        <v>45541</v>
      </c>
      <c r="B454" s="2" t="s">
        <v>75</v>
      </c>
      <c r="C454" s="2" t="s">
        <v>78</v>
      </c>
      <c r="D454" s="16" t="str" cm="1">
        <f t="array" ref="D454">_xlfn.XLOOKUP(1, (Table1[Project Name]=Table2[[#This Row],[Project ID]])*(Table1[Plot]=Table2[[#This Row],[Plot]]), Table1[Project ID])</f>
        <v>MJ-04</v>
      </c>
      <c r="E454" s="69">
        <v>103</v>
      </c>
      <c r="F454" s="70">
        <v>627</v>
      </c>
      <c r="G454" s="69">
        <f>Table2[[#This Row],[Time Elapsed]]+Table2[[#This Row],[Time Remaining]]</f>
        <v>730</v>
      </c>
      <c r="H454" s="70" t="s">
        <v>763</v>
      </c>
      <c r="I454" s="70" t="s">
        <v>666</v>
      </c>
      <c r="J454" s="13">
        <v>8.6800000000000002E-2</v>
      </c>
      <c r="K454" s="137">
        <v>8.9899999999999994E-2</v>
      </c>
      <c r="L454" s="13">
        <f>Table2[[#This Row],[Actual %]]-Table2[[#This Row],[Plan %]]</f>
        <v>3.0999999999999917E-3</v>
      </c>
      <c r="M454" s="144" t="s">
        <v>28</v>
      </c>
      <c r="N454" s="193">
        <v>45446</v>
      </c>
      <c r="O454" s="193">
        <v>45446</v>
      </c>
      <c r="P454" s="193"/>
      <c r="Q454" s="194">
        <v>45548</v>
      </c>
      <c r="R454" s="146" t="s">
        <v>778</v>
      </c>
      <c r="S454" s="146" t="s">
        <v>779</v>
      </c>
      <c r="T454" s="143" t="s">
        <v>780</v>
      </c>
      <c r="U454" s="155">
        <v>106953287.34999999</v>
      </c>
      <c r="V454" s="152">
        <v>0</v>
      </c>
      <c r="W454" s="36">
        <f>Table2[[#This Row],[Construction Contract Amount]]+Table2[[#This Row],[Cumulative Variations]]</f>
        <v>106953287.34999999</v>
      </c>
      <c r="X454" s="152">
        <v>3824490.97</v>
      </c>
      <c r="Y454" s="200">
        <v>0</v>
      </c>
      <c r="Z454" s="36">
        <f>Table2[[#This Row],[Final Contract Value]]+Table2[[#This Row],[Supervision Contract amount]]+Table2[[#This Row],[Authority Cost]]</f>
        <v>110777778.31999999</v>
      </c>
      <c r="AA454" s="152">
        <v>10680390</v>
      </c>
      <c r="AB454" s="152">
        <v>199302.08</v>
      </c>
      <c r="AC454" s="102" t="str">
        <f t="shared" si="24"/>
        <v>https://drive.google.com/thumbnail?id=1C77z3tm5EXrMVDwQXL6nGlcUbobUc3K6&amp;sz=w1000</v>
      </c>
      <c r="AD454" s="90" t="s">
        <v>806</v>
      </c>
      <c r="AE454" s="103" t="str">
        <f t="shared" si="25"/>
        <v>https://drive.google.com/thumbnail?id=1De6vO_A2TlUNz8pj1sCUy_mHHl1A_xUW&amp;sz=w1000</v>
      </c>
      <c r="AF454" s="90" t="s">
        <v>822</v>
      </c>
      <c r="AG454" s="90" t="str">
        <f t="shared" si="26"/>
        <v>https://drive.google.com/thumbnail?id=1him6ZDHLJLy-eeKVRJfMXKdfGKVGBhI3&amp;sz=w1000</v>
      </c>
      <c r="AH454" s="90" t="s">
        <v>838</v>
      </c>
    </row>
    <row r="455" spans="1:34" ht="22.15" customHeight="1">
      <c r="A455" s="30">
        <v>45541</v>
      </c>
      <c r="B455" s="2" t="s">
        <v>75</v>
      </c>
      <c r="C455" s="2" t="s">
        <v>78</v>
      </c>
      <c r="D455" s="16" t="str" cm="1">
        <f t="array" ref="D455">_xlfn.XLOOKUP(1, (Table1[Project Name]=Table2[[#This Row],[Project ID]])*(Table1[Plot]=Table2[[#This Row],[Plot]]), Table1[Project ID])</f>
        <v>MJ-04</v>
      </c>
      <c r="E455" s="69">
        <v>103</v>
      </c>
      <c r="F455" s="70">
        <v>627</v>
      </c>
      <c r="G455" s="69">
        <f>Table2[[#This Row],[Time Elapsed]]+Table2[[#This Row],[Time Remaining]]</f>
        <v>730</v>
      </c>
      <c r="H455" s="70" t="s">
        <v>763</v>
      </c>
      <c r="I455" s="70" t="s">
        <v>666</v>
      </c>
      <c r="J455" s="13">
        <v>8.6800000000000002E-2</v>
      </c>
      <c r="K455" s="137">
        <v>8.9899999999999994E-2</v>
      </c>
      <c r="L455" s="13">
        <f>Table2[[#This Row],[Actual %]]-Table2[[#This Row],[Plan %]]</f>
        <v>3.0999999999999917E-3</v>
      </c>
      <c r="M455" s="144" t="s">
        <v>50</v>
      </c>
      <c r="N455" s="193">
        <v>45455</v>
      </c>
      <c r="O455" s="193">
        <v>45439</v>
      </c>
      <c r="P455" s="193"/>
      <c r="Q455" s="194">
        <v>45541</v>
      </c>
      <c r="R455" s="146" t="s">
        <v>778</v>
      </c>
      <c r="S455" s="146" t="s">
        <v>779</v>
      </c>
      <c r="T455" s="143" t="s">
        <v>780</v>
      </c>
      <c r="U455" s="155">
        <v>106953287.34999999</v>
      </c>
      <c r="V455" s="152">
        <v>0</v>
      </c>
      <c r="W455" s="36">
        <f>Table2[[#This Row],[Construction Contract Amount]]+Table2[[#This Row],[Cumulative Variations]]</f>
        <v>106953287.34999999</v>
      </c>
      <c r="X455" s="152">
        <v>3824490.97</v>
      </c>
      <c r="Y455" s="200">
        <v>0</v>
      </c>
      <c r="Z455" s="36">
        <f>Table2[[#This Row],[Final Contract Value]]+Table2[[#This Row],[Supervision Contract amount]]+Table2[[#This Row],[Authority Cost]]</f>
        <v>110777778.31999999</v>
      </c>
      <c r="AA455" s="152">
        <v>10680390</v>
      </c>
      <c r="AB455" s="152">
        <v>199302.08</v>
      </c>
      <c r="AC455" s="102" t="str">
        <f t="shared" si="24"/>
        <v>https://drive.google.com/thumbnail?id=1C77z3tm5EXrMVDwQXL6nGlcUbobUc3K6&amp;sz=w1000</v>
      </c>
      <c r="AD455" s="90" t="s">
        <v>806</v>
      </c>
      <c r="AE455" s="103" t="str">
        <f t="shared" si="25"/>
        <v>https://drive.google.com/thumbnail?id=1De6vO_A2TlUNz8pj1sCUy_mHHl1A_xUW&amp;sz=w1000</v>
      </c>
      <c r="AF455" s="90" t="s">
        <v>822</v>
      </c>
      <c r="AG455" s="90" t="str">
        <f t="shared" si="26"/>
        <v>https://drive.google.com/thumbnail?id=1him6ZDHLJLy-eeKVRJfMXKdfGKVGBhI3&amp;sz=w1000</v>
      </c>
      <c r="AH455" s="90" t="s">
        <v>838</v>
      </c>
    </row>
    <row r="456" spans="1:34" ht="22.15" customHeight="1">
      <c r="A456" s="30">
        <v>45541</v>
      </c>
      <c r="B456" s="2" t="s">
        <v>75</v>
      </c>
      <c r="C456" s="2" t="s">
        <v>78</v>
      </c>
      <c r="D456" s="16" t="str" cm="1">
        <f t="array" ref="D456">_xlfn.XLOOKUP(1, (Table1[Project Name]=Table2[[#This Row],[Project ID]])*(Table1[Plot]=Table2[[#This Row],[Plot]]), Table1[Project ID])</f>
        <v>MJ-04</v>
      </c>
      <c r="E456" s="69">
        <v>103</v>
      </c>
      <c r="F456" s="70">
        <v>627</v>
      </c>
      <c r="G456" s="69">
        <f>Table2[[#This Row],[Time Elapsed]]+Table2[[#This Row],[Time Remaining]]</f>
        <v>730</v>
      </c>
      <c r="H456" s="70" t="s">
        <v>763</v>
      </c>
      <c r="I456" s="70" t="s">
        <v>666</v>
      </c>
      <c r="J456" s="13">
        <v>8.6800000000000002E-2</v>
      </c>
      <c r="K456" s="137">
        <v>8.9899999999999994E-2</v>
      </c>
      <c r="L456" s="13">
        <f>Table2[[#This Row],[Actual %]]-Table2[[#This Row],[Plan %]]</f>
        <v>3.0999999999999917E-3</v>
      </c>
      <c r="M456" s="144" t="s">
        <v>51</v>
      </c>
      <c r="N456" s="193">
        <v>45483</v>
      </c>
      <c r="O456" s="193">
        <v>45519</v>
      </c>
      <c r="P456" s="193">
        <v>45519</v>
      </c>
      <c r="Q456" s="194">
        <v>45541</v>
      </c>
      <c r="R456" s="146" t="s">
        <v>778</v>
      </c>
      <c r="S456" s="146" t="s">
        <v>779</v>
      </c>
      <c r="T456" s="143" t="s">
        <v>780</v>
      </c>
      <c r="U456" s="155">
        <v>106953287.34999999</v>
      </c>
      <c r="V456" s="152">
        <v>0</v>
      </c>
      <c r="W456" s="36">
        <f>Table2[[#This Row],[Construction Contract Amount]]+Table2[[#This Row],[Cumulative Variations]]</f>
        <v>106953287.34999999</v>
      </c>
      <c r="X456" s="152">
        <v>3824490.97</v>
      </c>
      <c r="Y456" s="200">
        <v>0</v>
      </c>
      <c r="Z456" s="36">
        <f>Table2[[#This Row],[Final Contract Value]]+Table2[[#This Row],[Supervision Contract amount]]+Table2[[#This Row],[Authority Cost]]</f>
        <v>110777778.31999999</v>
      </c>
      <c r="AA456" s="152">
        <v>10680390</v>
      </c>
      <c r="AB456" s="152">
        <v>199302.08</v>
      </c>
      <c r="AC456" s="102" t="str">
        <f t="shared" si="24"/>
        <v>https://drive.google.com/thumbnail?id=1C77z3tm5EXrMVDwQXL6nGlcUbobUc3K6&amp;sz=w1000</v>
      </c>
      <c r="AD456" s="90" t="s">
        <v>806</v>
      </c>
      <c r="AE456" s="103" t="str">
        <f t="shared" si="25"/>
        <v>https://drive.google.com/thumbnail?id=1De6vO_A2TlUNz8pj1sCUy_mHHl1A_xUW&amp;sz=w1000</v>
      </c>
      <c r="AF456" s="90" t="s">
        <v>822</v>
      </c>
      <c r="AG456" s="90" t="str">
        <f t="shared" si="26"/>
        <v>https://drive.google.com/thumbnail?id=1him6ZDHLJLy-eeKVRJfMXKdfGKVGBhI3&amp;sz=w1000</v>
      </c>
      <c r="AH456" s="90" t="s">
        <v>838</v>
      </c>
    </row>
    <row r="457" spans="1:34" ht="22.15" customHeight="1">
      <c r="A457" s="30">
        <v>45541</v>
      </c>
      <c r="B457" s="2" t="s">
        <v>75</v>
      </c>
      <c r="C457" s="2" t="s">
        <v>78</v>
      </c>
      <c r="D457" s="16" t="str" cm="1">
        <f t="array" ref="D457">_xlfn.XLOOKUP(1, (Table1[Project Name]=Table2[[#This Row],[Project ID]])*(Table1[Plot]=Table2[[#This Row],[Plot]]), Table1[Project ID])</f>
        <v>MJ-04</v>
      </c>
      <c r="E457" s="69">
        <v>103</v>
      </c>
      <c r="F457" s="70">
        <v>627</v>
      </c>
      <c r="G457" s="69">
        <f>Table2[[#This Row],[Time Elapsed]]+Table2[[#This Row],[Time Remaining]]</f>
        <v>730</v>
      </c>
      <c r="H457" s="70" t="s">
        <v>763</v>
      </c>
      <c r="I457" s="70" t="s">
        <v>666</v>
      </c>
      <c r="J457" s="13">
        <v>8.6800000000000002E-2</v>
      </c>
      <c r="K457" s="137">
        <v>8.9899999999999994E-2</v>
      </c>
      <c r="L457" s="13">
        <f>Table2[[#This Row],[Actual %]]-Table2[[#This Row],[Plan %]]</f>
        <v>3.0999999999999917E-3</v>
      </c>
      <c r="M457" s="144" t="s">
        <v>275</v>
      </c>
      <c r="N457" s="193">
        <v>45565</v>
      </c>
      <c r="O457" s="193"/>
      <c r="P457" s="193">
        <v>45565</v>
      </c>
      <c r="Q457" s="194">
        <v>45541</v>
      </c>
      <c r="R457" s="146" t="s">
        <v>778</v>
      </c>
      <c r="S457" s="146" t="s">
        <v>779</v>
      </c>
      <c r="T457" s="143" t="s">
        <v>780</v>
      </c>
      <c r="U457" s="155">
        <v>106953287.34999999</v>
      </c>
      <c r="V457" s="152">
        <v>0</v>
      </c>
      <c r="W457" s="36">
        <f>Table2[[#This Row],[Construction Contract Amount]]+Table2[[#This Row],[Cumulative Variations]]</f>
        <v>106953287.34999999</v>
      </c>
      <c r="X457" s="152">
        <v>3824490.97</v>
      </c>
      <c r="Y457" s="200">
        <v>0</v>
      </c>
      <c r="Z457" s="36">
        <f>Table2[[#This Row],[Final Contract Value]]+Table2[[#This Row],[Supervision Contract amount]]+Table2[[#This Row],[Authority Cost]]</f>
        <v>110777778.31999999</v>
      </c>
      <c r="AA457" s="152">
        <v>10680390</v>
      </c>
      <c r="AB457" s="152">
        <v>199302.08</v>
      </c>
      <c r="AC457" s="102" t="str">
        <f t="shared" si="24"/>
        <v>https://drive.google.com/thumbnail?id=1C77z3tm5EXrMVDwQXL6nGlcUbobUc3K6&amp;sz=w1000</v>
      </c>
      <c r="AD457" s="90" t="s">
        <v>806</v>
      </c>
      <c r="AE457" s="103" t="str">
        <f t="shared" si="25"/>
        <v>https://drive.google.com/thumbnail?id=1De6vO_A2TlUNz8pj1sCUy_mHHl1A_xUW&amp;sz=w1000</v>
      </c>
      <c r="AF457" s="90" t="s">
        <v>822</v>
      </c>
      <c r="AG457" s="90" t="str">
        <f t="shared" si="26"/>
        <v>https://drive.google.com/thumbnail?id=1him6ZDHLJLy-eeKVRJfMXKdfGKVGBhI3&amp;sz=w1000</v>
      </c>
      <c r="AH457" s="90" t="s">
        <v>838</v>
      </c>
    </row>
    <row r="458" spans="1:34" ht="22.15" customHeight="1">
      <c r="A458" s="30">
        <v>45541</v>
      </c>
      <c r="B458" s="2" t="s">
        <v>75</v>
      </c>
      <c r="C458" s="2" t="s">
        <v>78</v>
      </c>
      <c r="D458" s="16" t="str" cm="1">
        <f t="array" ref="D458">_xlfn.XLOOKUP(1, (Table1[Project Name]=Table2[[#This Row],[Project ID]])*(Table1[Plot]=Table2[[#This Row],[Plot]]), Table1[Project ID])</f>
        <v>MJ-04</v>
      </c>
      <c r="E458" s="69">
        <v>103</v>
      </c>
      <c r="F458" s="70">
        <v>627</v>
      </c>
      <c r="G458" s="69">
        <f>Table2[[#This Row],[Time Elapsed]]+Table2[[#This Row],[Time Remaining]]</f>
        <v>730</v>
      </c>
      <c r="H458" s="70" t="s">
        <v>763</v>
      </c>
      <c r="I458" s="70" t="s">
        <v>666</v>
      </c>
      <c r="J458" s="13">
        <v>8.6800000000000002E-2</v>
      </c>
      <c r="K458" s="137">
        <v>8.9899999999999994E-2</v>
      </c>
      <c r="L458" s="13">
        <f>Table2[[#This Row],[Actual %]]-Table2[[#This Row],[Plan %]]</f>
        <v>3.0999999999999917E-3</v>
      </c>
      <c r="M458" s="144" t="s">
        <v>276</v>
      </c>
      <c r="N458" s="193">
        <v>45626</v>
      </c>
      <c r="O458" s="193"/>
      <c r="P458" s="193">
        <v>45626</v>
      </c>
      <c r="Q458" s="194">
        <v>45541</v>
      </c>
      <c r="R458" s="146" t="s">
        <v>778</v>
      </c>
      <c r="S458" s="146" t="s">
        <v>779</v>
      </c>
      <c r="T458" s="143" t="s">
        <v>780</v>
      </c>
      <c r="U458" s="155">
        <v>106953287.34999999</v>
      </c>
      <c r="V458" s="152">
        <v>0</v>
      </c>
      <c r="W458" s="36">
        <f>Table2[[#This Row],[Construction Contract Amount]]+Table2[[#This Row],[Cumulative Variations]]</f>
        <v>106953287.34999999</v>
      </c>
      <c r="X458" s="152">
        <v>3824490.97</v>
      </c>
      <c r="Y458" s="200">
        <v>0</v>
      </c>
      <c r="Z458" s="36">
        <f>Table2[[#This Row],[Final Contract Value]]+Table2[[#This Row],[Supervision Contract amount]]+Table2[[#This Row],[Authority Cost]]</f>
        <v>110777778.31999999</v>
      </c>
      <c r="AA458" s="152">
        <v>10680390</v>
      </c>
      <c r="AB458" s="152">
        <v>199302.08</v>
      </c>
      <c r="AC458" s="102" t="str">
        <f t="shared" si="24"/>
        <v>https://drive.google.com/thumbnail?id=1C77z3tm5EXrMVDwQXL6nGlcUbobUc3K6&amp;sz=w1000</v>
      </c>
      <c r="AD458" s="90" t="s">
        <v>806</v>
      </c>
      <c r="AE458" s="103" t="str">
        <f t="shared" si="25"/>
        <v>https://drive.google.com/thumbnail?id=1De6vO_A2TlUNz8pj1sCUy_mHHl1A_xUW&amp;sz=w1000</v>
      </c>
      <c r="AF458" s="90" t="s">
        <v>822</v>
      </c>
      <c r="AG458" s="90" t="str">
        <f t="shared" si="26"/>
        <v>https://drive.google.com/thumbnail?id=1him6ZDHLJLy-eeKVRJfMXKdfGKVGBhI3&amp;sz=w1000</v>
      </c>
      <c r="AH458" s="90" t="s">
        <v>838</v>
      </c>
    </row>
    <row r="459" spans="1:34" ht="22.15" customHeight="1">
      <c r="A459" s="30">
        <v>45541</v>
      </c>
      <c r="B459" s="2" t="s">
        <v>75</v>
      </c>
      <c r="C459" s="2" t="s">
        <v>78</v>
      </c>
      <c r="D459" s="16" t="str" cm="1">
        <f t="array" ref="D459">_xlfn.XLOOKUP(1, (Table1[Project Name]=Table2[[#This Row],[Project ID]])*(Table1[Plot]=Table2[[#This Row],[Plot]]), Table1[Project ID])</f>
        <v>MJ-04</v>
      </c>
      <c r="E459" s="69">
        <v>103</v>
      </c>
      <c r="F459" s="70">
        <v>627</v>
      </c>
      <c r="G459" s="69">
        <f>Table2[[#This Row],[Time Elapsed]]+Table2[[#This Row],[Time Remaining]]</f>
        <v>730</v>
      </c>
      <c r="H459" s="70" t="s">
        <v>763</v>
      </c>
      <c r="I459" s="70" t="s">
        <v>666</v>
      </c>
      <c r="J459" s="13">
        <v>8.6800000000000002E-2</v>
      </c>
      <c r="K459" s="137">
        <v>8.9899999999999994E-2</v>
      </c>
      <c r="L459" s="13">
        <f>Table2[[#This Row],[Actual %]]-Table2[[#This Row],[Plan %]]</f>
        <v>3.0999999999999917E-3</v>
      </c>
      <c r="M459" s="147" t="s">
        <v>277</v>
      </c>
      <c r="N459" s="193">
        <v>45701</v>
      </c>
      <c r="O459" s="193"/>
      <c r="P459" s="193">
        <v>45701</v>
      </c>
      <c r="Q459" s="194">
        <v>45541</v>
      </c>
      <c r="R459" s="146" t="s">
        <v>778</v>
      </c>
      <c r="S459" s="146" t="s">
        <v>779</v>
      </c>
      <c r="T459" s="143" t="s">
        <v>780</v>
      </c>
      <c r="U459" s="155">
        <v>106953287.34999999</v>
      </c>
      <c r="V459" s="152">
        <v>0</v>
      </c>
      <c r="W459" s="36">
        <f>Table2[[#This Row],[Construction Contract Amount]]+Table2[[#This Row],[Cumulative Variations]]</f>
        <v>106953287.34999999</v>
      </c>
      <c r="X459" s="152">
        <v>3824490.97</v>
      </c>
      <c r="Y459" s="200">
        <v>0</v>
      </c>
      <c r="Z459" s="36">
        <f>Table2[[#This Row],[Final Contract Value]]+Table2[[#This Row],[Supervision Contract amount]]+Table2[[#This Row],[Authority Cost]]</f>
        <v>110777778.31999999</v>
      </c>
      <c r="AA459" s="152">
        <v>10680390</v>
      </c>
      <c r="AB459" s="152">
        <v>199302.08</v>
      </c>
      <c r="AC459" s="102" t="str">
        <f t="shared" si="24"/>
        <v>https://drive.google.com/thumbnail?id=1C77z3tm5EXrMVDwQXL6nGlcUbobUc3K6&amp;sz=w1000</v>
      </c>
      <c r="AD459" s="90" t="s">
        <v>806</v>
      </c>
      <c r="AE459" s="103" t="str">
        <f t="shared" si="25"/>
        <v>https://drive.google.com/thumbnail?id=1De6vO_A2TlUNz8pj1sCUy_mHHl1A_xUW&amp;sz=w1000</v>
      </c>
      <c r="AF459" s="90" t="s">
        <v>822</v>
      </c>
      <c r="AG459" s="90" t="str">
        <f t="shared" si="26"/>
        <v>https://drive.google.com/thumbnail?id=1him6ZDHLJLy-eeKVRJfMXKdfGKVGBhI3&amp;sz=w1000</v>
      </c>
      <c r="AH459" s="90" t="s">
        <v>838</v>
      </c>
    </row>
    <row r="460" spans="1:34" ht="22.15" customHeight="1">
      <c r="A460" s="30">
        <v>45541</v>
      </c>
      <c r="B460" s="2" t="s">
        <v>75</v>
      </c>
      <c r="C460" s="2" t="s">
        <v>78</v>
      </c>
      <c r="D460" s="16" t="str" cm="1">
        <f t="array" ref="D460">_xlfn.XLOOKUP(1, (Table1[Project Name]=Table2[[#This Row],[Project ID]])*(Table1[Plot]=Table2[[#This Row],[Plot]]), Table1[Project ID])</f>
        <v>MJ-04</v>
      </c>
      <c r="E460" s="69">
        <v>103</v>
      </c>
      <c r="F460" s="70">
        <v>627</v>
      </c>
      <c r="G460" s="69">
        <f>Table2[[#This Row],[Time Elapsed]]+Table2[[#This Row],[Time Remaining]]</f>
        <v>730</v>
      </c>
      <c r="H460" s="70" t="s">
        <v>763</v>
      </c>
      <c r="I460" s="70" t="s">
        <v>666</v>
      </c>
      <c r="J460" s="13">
        <v>8.6800000000000002E-2</v>
      </c>
      <c r="K460" s="137">
        <v>8.9899999999999994E-2</v>
      </c>
      <c r="L460" s="13">
        <f>Table2[[#This Row],[Actual %]]-Table2[[#This Row],[Plan %]]</f>
        <v>3.0999999999999917E-3</v>
      </c>
      <c r="M460" s="144" t="s">
        <v>278</v>
      </c>
      <c r="N460" s="193">
        <v>45858</v>
      </c>
      <c r="O460" s="193"/>
      <c r="P460" s="193">
        <v>45858</v>
      </c>
      <c r="Q460" s="194">
        <v>45541</v>
      </c>
      <c r="R460" s="146" t="s">
        <v>778</v>
      </c>
      <c r="S460" s="146" t="s">
        <v>779</v>
      </c>
      <c r="T460" s="143" t="s">
        <v>780</v>
      </c>
      <c r="U460" s="155">
        <v>106953287.34999999</v>
      </c>
      <c r="V460" s="152">
        <v>0</v>
      </c>
      <c r="W460" s="36">
        <f>Table2[[#This Row],[Construction Contract Amount]]+Table2[[#This Row],[Cumulative Variations]]</f>
        <v>106953287.34999999</v>
      </c>
      <c r="X460" s="152">
        <v>3824490.97</v>
      </c>
      <c r="Y460" s="200">
        <v>0</v>
      </c>
      <c r="Z460" s="36">
        <f>Table2[[#This Row],[Final Contract Value]]+Table2[[#This Row],[Supervision Contract amount]]+Table2[[#This Row],[Authority Cost]]</f>
        <v>110777778.31999999</v>
      </c>
      <c r="AA460" s="152">
        <v>10680390</v>
      </c>
      <c r="AB460" s="152">
        <v>199302.08</v>
      </c>
      <c r="AC460" s="102" t="str">
        <f t="shared" si="24"/>
        <v>https://drive.google.com/thumbnail?id=1C77z3tm5EXrMVDwQXL6nGlcUbobUc3K6&amp;sz=w1000</v>
      </c>
      <c r="AD460" s="90" t="s">
        <v>806</v>
      </c>
      <c r="AE460" s="103" t="str">
        <f t="shared" si="25"/>
        <v>https://drive.google.com/thumbnail?id=1De6vO_A2TlUNz8pj1sCUy_mHHl1A_xUW&amp;sz=w1000</v>
      </c>
      <c r="AF460" s="90" t="s">
        <v>822</v>
      </c>
      <c r="AG460" s="90" t="str">
        <f t="shared" si="26"/>
        <v>https://drive.google.com/thumbnail?id=1him6ZDHLJLy-eeKVRJfMXKdfGKVGBhI3&amp;sz=w1000</v>
      </c>
      <c r="AH460" s="90" t="s">
        <v>838</v>
      </c>
    </row>
    <row r="461" spans="1:34" ht="22.15" customHeight="1">
      <c r="A461" s="30">
        <v>45541</v>
      </c>
      <c r="B461" s="2" t="s">
        <v>75</v>
      </c>
      <c r="C461" s="2" t="s">
        <v>78</v>
      </c>
      <c r="D461" s="16" t="str" cm="1">
        <f t="array" ref="D461">_xlfn.XLOOKUP(1, (Table1[Project Name]=Table2[[#This Row],[Project ID]])*(Table1[Plot]=Table2[[#This Row],[Plot]]), Table1[Project ID])</f>
        <v>MJ-04</v>
      </c>
      <c r="E461" s="69">
        <v>103</v>
      </c>
      <c r="F461" s="70">
        <v>627</v>
      </c>
      <c r="G461" s="69">
        <f>Table2[[#This Row],[Time Elapsed]]+Table2[[#This Row],[Time Remaining]]</f>
        <v>730</v>
      </c>
      <c r="H461" s="70" t="s">
        <v>763</v>
      </c>
      <c r="I461" s="70" t="s">
        <v>666</v>
      </c>
      <c r="J461" s="13">
        <v>8.6800000000000002E-2</v>
      </c>
      <c r="K461" s="137">
        <v>8.9899999999999994E-2</v>
      </c>
      <c r="L461" s="13">
        <f>Table2[[#This Row],[Actual %]]-Table2[[#This Row],[Plan %]]</f>
        <v>3.0999999999999917E-3</v>
      </c>
      <c r="M461" s="144" t="s">
        <v>279</v>
      </c>
      <c r="N461" s="193">
        <v>45974</v>
      </c>
      <c r="O461" s="193"/>
      <c r="P461" s="193">
        <v>45974</v>
      </c>
      <c r="Q461" s="194">
        <v>45541</v>
      </c>
      <c r="R461" s="146" t="s">
        <v>778</v>
      </c>
      <c r="S461" s="146" t="s">
        <v>779</v>
      </c>
      <c r="T461" s="143" t="s">
        <v>780</v>
      </c>
      <c r="U461" s="155">
        <v>106953287.34999999</v>
      </c>
      <c r="V461" s="152">
        <v>0</v>
      </c>
      <c r="W461" s="36">
        <f>Table2[[#This Row],[Construction Contract Amount]]+Table2[[#This Row],[Cumulative Variations]]</f>
        <v>106953287.34999999</v>
      </c>
      <c r="X461" s="152">
        <v>3824490.97</v>
      </c>
      <c r="Y461" s="200">
        <v>0</v>
      </c>
      <c r="Z461" s="36">
        <f>Table2[[#This Row],[Final Contract Value]]+Table2[[#This Row],[Supervision Contract amount]]+Table2[[#This Row],[Authority Cost]]</f>
        <v>110777778.31999999</v>
      </c>
      <c r="AA461" s="152">
        <v>10680390</v>
      </c>
      <c r="AB461" s="152">
        <v>199302.08</v>
      </c>
      <c r="AC461" s="102" t="str">
        <f t="shared" si="24"/>
        <v>https://drive.google.com/thumbnail?id=1C77z3tm5EXrMVDwQXL6nGlcUbobUc3K6&amp;sz=w1000</v>
      </c>
      <c r="AD461" s="90" t="s">
        <v>806</v>
      </c>
      <c r="AE461" s="103" t="str">
        <f t="shared" si="25"/>
        <v>https://drive.google.com/thumbnail?id=1De6vO_A2TlUNz8pj1sCUy_mHHl1A_xUW&amp;sz=w1000</v>
      </c>
      <c r="AF461" s="90" t="s">
        <v>822</v>
      </c>
      <c r="AG461" s="90" t="str">
        <f t="shared" si="26"/>
        <v>https://drive.google.com/thumbnail?id=1him6ZDHLJLy-eeKVRJfMXKdfGKVGBhI3&amp;sz=w1000</v>
      </c>
      <c r="AH461" s="90" t="s">
        <v>838</v>
      </c>
    </row>
    <row r="462" spans="1:34" ht="22.15" customHeight="1">
      <c r="A462" s="30">
        <v>45541</v>
      </c>
      <c r="B462" s="2" t="s">
        <v>75</v>
      </c>
      <c r="C462" s="2" t="s">
        <v>78</v>
      </c>
      <c r="D462" s="16" t="str" cm="1">
        <f t="array" ref="D462">_xlfn.XLOOKUP(1, (Table1[Project Name]=Table2[[#This Row],[Project ID]])*(Table1[Plot]=Table2[[#This Row],[Plot]]), Table1[Project ID])</f>
        <v>MJ-04</v>
      </c>
      <c r="E462" s="69">
        <v>103</v>
      </c>
      <c r="F462" s="70">
        <v>627</v>
      </c>
      <c r="G462" s="69">
        <f>Table2[[#This Row],[Time Elapsed]]+Table2[[#This Row],[Time Remaining]]</f>
        <v>730</v>
      </c>
      <c r="H462" s="70" t="s">
        <v>763</v>
      </c>
      <c r="I462" s="70" t="s">
        <v>666</v>
      </c>
      <c r="J462" s="13">
        <v>8.6800000000000002E-2</v>
      </c>
      <c r="K462" s="137">
        <v>8.9899999999999994E-2</v>
      </c>
      <c r="L462" s="13">
        <f>Table2[[#This Row],[Actual %]]-Table2[[#This Row],[Plan %]]</f>
        <v>3.0999999999999917E-3</v>
      </c>
      <c r="M462" s="144" t="s">
        <v>280</v>
      </c>
      <c r="N462" s="193">
        <v>46150</v>
      </c>
      <c r="O462" s="193"/>
      <c r="P462" s="193">
        <v>46150</v>
      </c>
      <c r="Q462" s="194">
        <v>45541</v>
      </c>
      <c r="R462" s="146" t="s">
        <v>778</v>
      </c>
      <c r="S462" s="146" t="s">
        <v>779</v>
      </c>
      <c r="T462" s="143" t="s">
        <v>780</v>
      </c>
      <c r="U462" s="155">
        <v>106953287.34999999</v>
      </c>
      <c r="V462" s="152">
        <v>0</v>
      </c>
      <c r="W462" s="36">
        <f>Table2[[#This Row],[Construction Contract Amount]]+Table2[[#This Row],[Cumulative Variations]]</f>
        <v>106953287.34999999</v>
      </c>
      <c r="X462" s="152">
        <v>3824490.97</v>
      </c>
      <c r="Y462" s="200">
        <v>0</v>
      </c>
      <c r="Z462" s="36">
        <f>Table2[[#This Row],[Final Contract Value]]+Table2[[#This Row],[Supervision Contract amount]]+Table2[[#This Row],[Authority Cost]]</f>
        <v>110777778.31999999</v>
      </c>
      <c r="AA462" s="152">
        <v>10680390</v>
      </c>
      <c r="AB462" s="152">
        <v>199302.08</v>
      </c>
      <c r="AC462" s="102" t="str">
        <f t="shared" si="24"/>
        <v>https://drive.google.com/thumbnail?id=1C77z3tm5EXrMVDwQXL6nGlcUbobUc3K6&amp;sz=w1000</v>
      </c>
      <c r="AD462" s="90" t="s">
        <v>806</v>
      </c>
      <c r="AE462" s="103" t="str">
        <f t="shared" si="25"/>
        <v>https://drive.google.com/thumbnail?id=1De6vO_A2TlUNz8pj1sCUy_mHHl1A_xUW&amp;sz=w1000</v>
      </c>
      <c r="AF462" s="90" t="s">
        <v>822</v>
      </c>
      <c r="AG462" s="90" t="str">
        <f t="shared" si="26"/>
        <v>https://drive.google.com/thumbnail?id=1him6ZDHLJLy-eeKVRJfMXKdfGKVGBhI3&amp;sz=w1000</v>
      </c>
      <c r="AH462" s="90" t="s">
        <v>838</v>
      </c>
    </row>
    <row r="463" spans="1:34" ht="22.15" customHeight="1">
      <c r="A463" s="30">
        <v>45541</v>
      </c>
      <c r="B463" s="2" t="s">
        <v>75</v>
      </c>
      <c r="C463" s="2" t="s">
        <v>78</v>
      </c>
      <c r="D463" s="16" t="str" cm="1">
        <f t="array" ref="D463">_xlfn.XLOOKUP(1, (Table1[Project Name]=Table2[[#This Row],[Project ID]])*(Table1[Plot]=Table2[[#This Row],[Plot]]), Table1[Project ID])</f>
        <v>MJ-04</v>
      </c>
      <c r="E463" s="69">
        <v>103</v>
      </c>
      <c r="F463" s="70">
        <v>627</v>
      </c>
      <c r="G463" s="69">
        <f>Table2[[#This Row],[Time Elapsed]]+Table2[[#This Row],[Time Remaining]]</f>
        <v>730</v>
      </c>
      <c r="H463" s="70" t="s">
        <v>763</v>
      </c>
      <c r="I463" s="70" t="s">
        <v>666</v>
      </c>
      <c r="J463" s="13">
        <v>8.6800000000000002E-2</v>
      </c>
      <c r="K463" s="137">
        <v>8.9899999999999994E-2</v>
      </c>
      <c r="L463" s="13">
        <f>Table2[[#This Row],[Actual %]]-Table2[[#This Row],[Plan %]]</f>
        <v>3.0999999999999917E-3</v>
      </c>
      <c r="M463" s="144" t="s">
        <v>281</v>
      </c>
      <c r="N463" s="193">
        <v>46171</v>
      </c>
      <c r="O463" s="193"/>
      <c r="P463" s="193">
        <v>46171</v>
      </c>
      <c r="Q463" s="194">
        <v>45541</v>
      </c>
      <c r="R463" s="146" t="s">
        <v>778</v>
      </c>
      <c r="S463" s="146" t="s">
        <v>779</v>
      </c>
      <c r="T463" s="143" t="s">
        <v>780</v>
      </c>
      <c r="U463" s="155">
        <v>106953287.34999999</v>
      </c>
      <c r="V463" s="152">
        <v>0</v>
      </c>
      <c r="W463" s="36">
        <f>Table2[[#This Row],[Construction Contract Amount]]+Table2[[#This Row],[Cumulative Variations]]</f>
        <v>106953287.34999999</v>
      </c>
      <c r="X463" s="152">
        <v>3824490.97</v>
      </c>
      <c r="Y463" s="200">
        <v>0</v>
      </c>
      <c r="Z463" s="36">
        <f>Table2[[#This Row],[Final Contract Value]]+Table2[[#This Row],[Supervision Contract amount]]+Table2[[#This Row],[Authority Cost]]</f>
        <v>110777778.31999999</v>
      </c>
      <c r="AA463" s="152">
        <v>10680390</v>
      </c>
      <c r="AB463" s="152">
        <v>199302.08</v>
      </c>
      <c r="AC463" s="102" t="str">
        <f t="shared" si="24"/>
        <v>https://drive.google.com/thumbnail?id=1C77z3tm5EXrMVDwQXL6nGlcUbobUc3K6&amp;sz=w1000</v>
      </c>
      <c r="AD463" s="90" t="s">
        <v>806</v>
      </c>
      <c r="AE463" s="103" t="str">
        <f t="shared" si="25"/>
        <v>https://drive.google.com/thumbnail?id=1De6vO_A2TlUNz8pj1sCUy_mHHl1A_xUW&amp;sz=w1000</v>
      </c>
      <c r="AF463" s="90" t="s">
        <v>822</v>
      </c>
      <c r="AG463" s="90" t="str">
        <f t="shared" si="26"/>
        <v>https://drive.google.com/thumbnail?id=1him6ZDHLJLy-eeKVRJfMXKdfGKVGBhI3&amp;sz=w1000</v>
      </c>
      <c r="AH463" s="90" t="s">
        <v>838</v>
      </c>
    </row>
    <row r="464" spans="1:34" ht="22.15" customHeight="1">
      <c r="A464" s="30">
        <v>45541</v>
      </c>
      <c r="B464" s="2" t="s">
        <v>75</v>
      </c>
      <c r="C464" s="2" t="s">
        <v>78</v>
      </c>
      <c r="D464" s="16" t="str" cm="1">
        <f t="array" ref="D464">_xlfn.XLOOKUP(1, (Table1[Project Name]=Table2[[#This Row],[Project ID]])*(Table1[Plot]=Table2[[#This Row],[Plot]]), Table1[Project ID])</f>
        <v>MJ-04</v>
      </c>
      <c r="E464" s="69">
        <v>103</v>
      </c>
      <c r="F464" s="70">
        <v>627</v>
      </c>
      <c r="G464" s="69">
        <f>Table2[[#This Row],[Time Elapsed]]+Table2[[#This Row],[Time Remaining]]</f>
        <v>730</v>
      </c>
      <c r="H464" s="70" t="s">
        <v>763</v>
      </c>
      <c r="I464" s="70" t="s">
        <v>666</v>
      </c>
      <c r="J464" s="13">
        <v>8.6800000000000002E-2</v>
      </c>
      <c r="K464" s="137">
        <v>8.9899999999999994E-2</v>
      </c>
      <c r="L464" s="13">
        <f>Table2[[#This Row],[Actual %]]-Table2[[#This Row],[Plan %]]</f>
        <v>3.0999999999999917E-3</v>
      </c>
      <c r="M464" s="144" t="s">
        <v>282</v>
      </c>
      <c r="N464" s="193">
        <v>46175</v>
      </c>
      <c r="O464" s="193"/>
      <c r="P464" s="193">
        <v>46175</v>
      </c>
      <c r="Q464" s="194">
        <v>45541</v>
      </c>
      <c r="R464" s="146" t="s">
        <v>778</v>
      </c>
      <c r="S464" s="146" t="s">
        <v>779</v>
      </c>
      <c r="T464" s="143" t="s">
        <v>780</v>
      </c>
      <c r="U464" s="155">
        <v>106953287.34999999</v>
      </c>
      <c r="V464" s="152">
        <v>0</v>
      </c>
      <c r="W464" s="36">
        <f>Table2[[#This Row],[Construction Contract Amount]]+Table2[[#This Row],[Cumulative Variations]]</f>
        <v>106953287.34999999</v>
      </c>
      <c r="X464" s="152">
        <v>3824490.97</v>
      </c>
      <c r="Y464" s="200">
        <v>0</v>
      </c>
      <c r="Z464" s="36">
        <f>Table2[[#This Row],[Final Contract Value]]+Table2[[#This Row],[Supervision Contract amount]]+Table2[[#This Row],[Authority Cost]]</f>
        <v>110777778.31999999</v>
      </c>
      <c r="AA464" s="152">
        <v>10680390</v>
      </c>
      <c r="AB464" s="152">
        <v>199302.08</v>
      </c>
      <c r="AC464" s="102" t="str">
        <f t="shared" si="24"/>
        <v>https://drive.google.com/thumbnail?id=1C77z3tm5EXrMVDwQXL6nGlcUbobUc3K6&amp;sz=w1000</v>
      </c>
      <c r="AD464" s="90" t="s">
        <v>806</v>
      </c>
      <c r="AE464" s="103" t="str">
        <f t="shared" si="25"/>
        <v>https://drive.google.com/thumbnail?id=1De6vO_A2TlUNz8pj1sCUy_mHHl1A_xUW&amp;sz=w1000</v>
      </c>
      <c r="AF464" s="90" t="s">
        <v>822</v>
      </c>
      <c r="AG464" s="90" t="str">
        <f t="shared" si="26"/>
        <v>https://drive.google.com/thumbnail?id=1him6ZDHLJLy-eeKVRJfMXKdfGKVGBhI3&amp;sz=w1000</v>
      </c>
      <c r="AH464" s="90" t="s">
        <v>838</v>
      </c>
    </row>
    <row r="465" spans="1:34" ht="22.15" customHeight="1">
      <c r="A465" s="30">
        <v>45541</v>
      </c>
      <c r="B465" s="2" t="s">
        <v>75</v>
      </c>
      <c r="C465" s="2" t="s">
        <v>78</v>
      </c>
      <c r="D465" s="16" t="str" cm="1">
        <f t="array" ref="D465">_xlfn.XLOOKUP(1, (Table1[Project Name]=Table2[[#This Row],[Project ID]])*(Table1[Plot]=Table2[[#This Row],[Plot]]), Table1[Project ID])</f>
        <v>MJ-04</v>
      </c>
      <c r="E465" s="69">
        <v>103</v>
      </c>
      <c r="F465" s="70">
        <v>627</v>
      </c>
      <c r="G465" s="69">
        <f>Table2[[#This Row],[Time Elapsed]]+Table2[[#This Row],[Time Remaining]]</f>
        <v>730</v>
      </c>
      <c r="H465" s="70" t="s">
        <v>763</v>
      </c>
      <c r="I465" s="70" t="s">
        <v>666</v>
      </c>
      <c r="J465" s="13">
        <v>8.6800000000000002E-2</v>
      </c>
      <c r="K465" s="137">
        <v>8.9899999999999994E-2</v>
      </c>
      <c r="L465" s="13">
        <f>Table2[[#This Row],[Actual %]]-Table2[[#This Row],[Plan %]]</f>
        <v>3.0999999999999917E-3</v>
      </c>
      <c r="M465" s="144" t="s">
        <v>283</v>
      </c>
      <c r="N465" s="193">
        <v>46175</v>
      </c>
      <c r="O465" s="193"/>
      <c r="P465" s="193">
        <v>46175</v>
      </c>
      <c r="Q465" s="194">
        <v>45541</v>
      </c>
      <c r="R465" s="146" t="s">
        <v>778</v>
      </c>
      <c r="S465" s="146" t="s">
        <v>779</v>
      </c>
      <c r="T465" s="143" t="s">
        <v>780</v>
      </c>
      <c r="U465" s="155">
        <v>106953287.34999999</v>
      </c>
      <c r="V465" s="152">
        <v>0</v>
      </c>
      <c r="W465" s="36">
        <f>Table2[[#This Row],[Construction Contract Amount]]+Table2[[#This Row],[Cumulative Variations]]</f>
        <v>106953287.34999999</v>
      </c>
      <c r="X465" s="152">
        <v>3824490.97</v>
      </c>
      <c r="Y465" s="200">
        <v>0</v>
      </c>
      <c r="Z465" s="36">
        <f>Table2[[#This Row],[Final Contract Value]]+Table2[[#This Row],[Supervision Contract amount]]+Table2[[#This Row],[Authority Cost]]</f>
        <v>110777778.31999999</v>
      </c>
      <c r="AA465" s="152">
        <v>10680390</v>
      </c>
      <c r="AB465" s="152">
        <v>199302.08</v>
      </c>
      <c r="AC465" s="102" t="str">
        <f t="shared" si="24"/>
        <v>https://drive.google.com/thumbnail?id=1C77z3tm5EXrMVDwQXL6nGlcUbobUc3K6&amp;sz=w1000</v>
      </c>
      <c r="AD465" s="90" t="s">
        <v>806</v>
      </c>
      <c r="AE465" s="103" t="str">
        <f t="shared" si="25"/>
        <v>https://drive.google.com/thumbnail?id=1De6vO_A2TlUNz8pj1sCUy_mHHl1A_xUW&amp;sz=w1000</v>
      </c>
      <c r="AF465" s="90" t="s">
        <v>822</v>
      </c>
      <c r="AG465" s="90" t="str">
        <f t="shared" si="26"/>
        <v>https://drive.google.com/thumbnail?id=1him6ZDHLJLy-eeKVRJfMXKdfGKVGBhI3&amp;sz=w1000</v>
      </c>
      <c r="AH465" s="90" t="s">
        <v>838</v>
      </c>
    </row>
    <row r="466" spans="1:34" ht="22.15" customHeight="1">
      <c r="A466" s="30">
        <v>45541</v>
      </c>
      <c r="B466" s="2" t="s">
        <v>75</v>
      </c>
      <c r="C466" s="2" t="s">
        <v>78</v>
      </c>
      <c r="D466" s="16" t="str" cm="1">
        <f t="array" ref="D466">_xlfn.XLOOKUP(1, (Table1[Project Name]=Table2[[#This Row],[Project ID]])*(Table1[Plot]=Table2[[#This Row],[Plot]]), Table1[Project ID])</f>
        <v>MJ-04</v>
      </c>
      <c r="E466" s="69">
        <v>103</v>
      </c>
      <c r="F466" s="70">
        <v>627</v>
      </c>
      <c r="G466" s="69">
        <f>Table2[[#This Row],[Time Elapsed]]+Table2[[#This Row],[Time Remaining]]</f>
        <v>730</v>
      </c>
      <c r="H466" s="70" t="s">
        <v>763</v>
      </c>
      <c r="I466" s="70" t="s">
        <v>666</v>
      </c>
      <c r="J466" s="13">
        <v>8.6800000000000002E-2</v>
      </c>
      <c r="K466" s="137">
        <v>8.9899999999999994E-2</v>
      </c>
      <c r="L466" s="13">
        <f>Table2[[#This Row],[Actual %]]-Table2[[#This Row],[Plan %]]</f>
        <v>3.0999999999999917E-3</v>
      </c>
      <c r="M466" s="144" t="s">
        <v>284</v>
      </c>
      <c r="N466" s="193">
        <v>46175</v>
      </c>
      <c r="O466" s="193"/>
      <c r="P466" s="193">
        <v>46175</v>
      </c>
      <c r="Q466" s="194">
        <v>45541</v>
      </c>
      <c r="R466" s="146" t="s">
        <v>778</v>
      </c>
      <c r="S466" s="146" t="s">
        <v>779</v>
      </c>
      <c r="T466" s="143" t="s">
        <v>780</v>
      </c>
      <c r="U466" s="155">
        <v>106953287.34999999</v>
      </c>
      <c r="V466" s="152">
        <v>0</v>
      </c>
      <c r="W466" s="36">
        <f>Table2[[#This Row],[Construction Contract Amount]]+Table2[[#This Row],[Cumulative Variations]]</f>
        <v>106953287.34999999</v>
      </c>
      <c r="X466" s="152">
        <v>3824490.97</v>
      </c>
      <c r="Y466" s="200">
        <v>0</v>
      </c>
      <c r="Z466" s="36">
        <f>Table2[[#This Row],[Final Contract Value]]+Table2[[#This Row],[Supervision Contract amount]]+Table2[[#This Row],[Authority Cost]]</f>
        <v>110777778.31999999</v>
      </c>
      <c r="AA466" s="152">
        <v>10680390</v>
      </c>
      <c r="AB466" s="152">
        <v>199302.08</v>
      </c>
      <c r="AC466" s="102" t="str">
        <f t="shared" si="24"/>
        <v>https://drive.google.com/thumbnail?id=1C77z3tm5EXrMVDwQXL6nGlcUbobUc3K6&amp;sz=w1000</v>
      </c>
      <c r="AD466" s="90" t="s">
        <v>806</v>
      </c>
      <c r="AE466" s="103" t="str">
        <f t="shared" si="25"/>
        <v>https://drive.google.com/thumbnail?id=1De6vO_A2TlUNz8pj1sCUy_mHHl1A_xUW&amp;sz=w1000</v>
      </c>
      <c r="AF466" s="90" t="s">
        <v>822</v>
      </c>
      <c r="AG466" s="90" t="str">
        <f t="shared" si="26"/>
        <v>https://drive.google.com/thumbnail?id=1him6ZDHLJLy-eeKVRJfMXKdfGKVGBhI3&amp;sz=w1000</v>
      </c>
      <c r="AH466" s="90" t="s">
        <v>838</v>
      </c>
    </row>
    <row r="467" spans="1:34" ht="22.15" customHeight="1">
      <c r="A467" s="30">
        <v>45541</v>
      </c>
      <c r="B467" s="17" t="s">
        <v>96</v>
      </c>
      <c r="C467" s="2" t="s">
        <v>99</v>
      </c>
      <c r="D467" s="16" t="str" cm="1">
        <f t="array" ref="D467">_xlfn.XLOOKUP(1, (Table1[Project Name]=Table2[[#This Row],[Project ID]])*(Table1[Plot]=Table2[[#This Row],[Plot]]), Table1[Project ID])</f>
        <v>MJ-05</v>
      </c>
      <c r="E467" s="69">
        <v>103</v>
      </c>
      <c r="F467" s="70">
        <v>627</v>
      </c>
      <c r="G467" s="69">
        <f>Table2[[#This Row],[Time Elapsed]]+Table2[[#This Row],[Time Remaining]]</f>
        <v>730</v>
      </c>
      <c r="H467" s="70" t="s">
        <v>663</v>
      </c>
      <c r="I467" s="70" t="s">
        <v>664</v>
      </c>
      <c r="J467" s="13">
        <v>7.4899999999999994E-2</v>
      </c>
      <c r="K467" s="137">
        <v>7.9899999999999999E-2</v>
      </c>
      <c r="L467" s="13">
        <f>Table2[[#This Row],[Actual %]]-Table2[[#This Row],[Plan %]]</f>
        <v>5.0000000000000044E-3</v>
      </c>
      <c r="M467" s="144" t="s">
        <v>28</v>
      </c>
      <c r="N467" s="193">
        <v>45446</v>
      </c>
      <c r="O467" s="193">
        <v>45446</v>
      </c>
      <c r="P467" s="193"/>
      <c r="Q467" s="194">
        <v>45548</v>
      </c>
      <c r="R467" s="146" t="s">
        <v>781</v>
      </c>
      <c r="S467" s="146" t="s">
        <v>782</v>
      </c>
      <c r="T467" s="143" t="s">
        <v>669</v>
      </c>
      <c r="U467" s="153">
        <v>130388712.65000001</v>
      </c>
      <c r="V467" s="152">
        <v>0</v>
      </c>
      <c r="W467" s="36">
        <f>Table2[[#This Row],[Construction Contract Amount]]+Table2[[#This Row],[Cumulative Variations]]</f>
        <v>130388712.65000001</v>
      </c>
      <c r="X467" s="154">
        <v>4662507.03</v>
      </c>
      <c r="Y467" s="200">
        <v>0</v>
      </c>
      <c r="Z467" s="36">
        <f>Table2[[#This Row],[Final Contract Value]]+Table2[[#This Row],[Supervision Contract amount]]+Table2[[#This Row],[Authority Cost]]</f>
        <v>135051219.68000001</v>
      </c>
      <c r="AA467" s="154">
        <v>13053810</v>
      </c>
      <c r="AB467" s="154">
        <v>243591.44</v>
      </c>
      <c r="AC467" s="102" t="str">
        <f t="shared" si="24"/>
        <v>https://drive.google.com/thumbnail?id=1Ea4IsWWBHCZ29uRy7Zxp0SvMnOmdjCvn&amp;sz=w1000</v>
      </c>
      <c r="AD467" s="90" t="s">
        <v>807</v>
      </c>
      <c r="AE467" s="103" t="str">
        <f t="shared" si="25"/>
        <v>https://drive.google.com/thumbnail?id=1gB5Fi3nL6FCTnmd91Ei3_QQJ9QXEVQuG&amp;sz=w1000</v>
      </c>
      <c r="AF467" s="90" t="s">
        <v>823</v>
      </c>
      <c r="AG467" s="90" t="str">
        <f t="shared" si="26"/>
        <v>https://drive.google.com/thumbnail?id=1xvK7oL2060tGjomnxIMM_vkytJCIFbUM&amp;sz=w1000</v>
      </c>
      <c r="AH467" s="90" t="s">
        <v>839</v>
      </c>
    </row>
    <row r="468" spans="1:34" ht="22.15" customHeight="1">
      <c r="A468" s="30">
        <v>45541</v>
      </c>
      <c r="B468" s="17" t="s">
        <v>96</v>
      </c>
      <c r="C468" s="2" t="s">
        <v>99</v>
      </c>
      <c r="D468" s="16" t="str" cm="1">
        <f t="array" ref="D468">_xlfn.XLOOKUP(1, (Table1[Project Name]=Table2[[#This Row],[Project ID]])*(Table1[Plot]=Table2[[#This Row],[Plot]]), Table1[Project ID])</f>
        <v>MJ-05</v>
      </c>
      <c r="E468" s="69">
        <v>103</v>
      </c>
      <c r="F468" s="70">
        <v>627</v>
      </c>
      <c r="G468" s="69">
        <f>Table2[[#This Row],[Time Elapsed]]+Table2[[#This Row],[Time Remaining]]</f>
        <v>730</v>
      </c>
      <c r="H468" s="70" t="s">
        <v>663</v>
      </c>
      <c r="I468" s="70" t="s">
        <v>664</v>
      </c>
      <c r="J468" s="13">
        <v>7.4899999999999994E-2</v>
      </c>
      <c r="K468" s="137">
        <v>7.9899999999999999E-2</v>
      </c>
      <c r="L468" s="13">
        <f>Table2[[#This Row],[Actual %]]-Table2[[#This Row],[Plan %]]</f>
        <v>5.0000000000000044E-3</v>
      </c>
      <c r="M468" s="144" t="s">
        <v>50</v>
      </c>
      <c r="N468" s="193">
        <v>45455</v>
      </c>
      <c r="O468" s="193">
        <v>45434</v>
      </c>
      <c r="P468" s="193"/>
      <c r="Q468" s="194">
        <v>45548</v>
      </c>
      <c r="R468" s="146" t="s">
        <v>781</v>
      </c>
      <c r="S468" s="146" t="s">
        <v>782</v>
      </c>
      <c r="T468" s="143" t="s">
        <v>669</v>
      </c>
      <c r="U468" s="153">
        <v>130388712.65000001</v>
      </c>
      <c r="V468" s="152">
        <v>0</v>
      </c>
      <c r="W468" s="36">
        <f>Table2[[#This Row],[Construction Contract Amount]]+Table2[[#This Row],[Cumulative Variations]]</f>
        <v>130388712.65000001</v>
      </c>
      <c r="X468" s="154">
        <v>4662507.03</v>
      </c>
      <c r="Y468" s="200">
        <v>0</v>
      </c>
      <c r="Z468" s="36">
        <f>Table2[[#This Row],[Final Contract Value]]+Table2[[#This Row],[Supervision Contract amount]]+Table2[[#This Row],[Authority Cost]]</f>
        <v>135051219.68000001</v>
      </c>
      <c r="AA468" s="154">
        <v>13053810</v>
      </c>
      <c r="AB468" s="154">
        <v>243591.44</v>
      </c>
      <c r="AC468" s="102" t="str">
        <f t="shared" si="24"/>
        <v>https://drive.google.com/thumbnail?id=1Ea4IsWWBHCZ29uRy7Zxp0SvMnOmdjCvn&amp;sz=w1000</v>
      </c>
      <c r="AD468" s="90" t="s">
        <v>807</v>
      </c>
      <c r="AE468" s="103" t="str">
        <f t="shared" si="25"/>
        <v>https://drive.google.com/thumbnail?id=1gB5Fi3nL6FCTnmd91Ei3_QQJ9QXEVQuG&amp;sz=w1000</v>
      </c>
      <c r="AF468" s="90" t="s">
        <v>823</v>
      </c>
      <c r="AG468" s="90" t="str">
        <f t="shared" si="26"/>
        <v>https://drive.google.com/thumbnail?id=1xvK7oL2060tGjomnxIMM_vkytJCIFbUM&amp;sz=w1000</v>
      </c>
      <c r="AH468" s="90" t="s">
        <v>839</v>
      </c>
    </row>
    <row r="469" spans="1:34" ht="22.15" customHeight="1">
      <c r="A469" s="30">
        <v>45541</v>
      </c>
      <c r="B469" s="17" t="s">
        <v>96</v>
      </c>
      <c r="C469" s="2" t="s">
        <v>99</v>
      </c>
      <c r="D469" s="16" t="str" cm="1">
        <f t="array" ref="D469">_xlfn.XLOOKUP(1, (Table1[Project Name]=Table2[[#This Row],[Project ID]])*(Table1[Plot]=Table2[[#This Row],[Plot]]), Table1[Project ID])</f>
        <v>MJ-05</v>
      </c>
      <c r="E469" s="69">
        <v>103</v>
      </c>
      <c r="F469" s="70">
        <v>627</v>
      </c>
      <c r="G469" s="69">
        <f>Table2[[#This Row],[Time Elapsed]]+Table2[[#This Row],[Time Remaining]]</f>
        <v>730</v>
      </c>
      <c r="H469" s="70" t="s">
        <v>663</v>
      </c>
      <c r="I469" s="70" t="s">
        <v>664</v>
      </c>
      <c r="J469" s="13">
        <v>7.4899999999999994E-2</v>
      </c>
      <c r="K469" s="137">
        <v>7.9899999999999999E-2</v>
      </c>
      <c r="L469" s="13">
        <f>Table2[[#This Row],[Actual %]]-Table2[[#This Row],[Plan %]]</f>
        <v>5.0000000000000044E-3</v>
      </c>
      <c r="M469" s="144" t="s">
        <v>51</v>
      </c>
      <c r="N469" s="193">
        <v>45483</v>
      </c>
      <c r="O469" s="193">
        <v>45512</v>
      </c>
      <c r="P469" s="193">
        <v>45512</v>
      </c>
      <c r="Q469" s="194">
        <v>45548</v>
      </c>
      <c r="R469" s="146" t="s">
        <v>781</v>
      </c>
      <c r="S469" s="146" t="s">
        <v>782</v>
      </c>
      <c r="T469" s="143" t="s">
        <v>669</v>
      </c>
      <c r="U469" s="153">
        <v>130388712.65000001</v>
      </c>
      <c r="V469" s="152">
        <v>0</v>
      </c>
      <c r="W469" s="36">
        <f>Table2[[#This Row],[Construction Contract Amount]]+Table2[[#This Row],[Cumulative Variations]]</f>
        <v>130388712.65000001</v>
      </c>
      <c r="X469" s="154">
        <v>4662507.03</v>
      </c>
      <c r="Y469" s="200">
        <v>0</v>
      </c>
      <c r="Z469" s="36">
        <f>Table2[[#This Row],[Final Contract Value]]+Table2[[#This Row],[Supervision Contract amount]]+Table2[[#This Row],[Authority Cost]]</f>
        <v>135051219.68000001</v>
      </c>
      <c r="AA469" s="154">
        <v>13053810</v>
      </c>
      <c r="AB469" s="154">
        <v>243591.44</v>
      </c>
      <c r="AC469" s="102" t="str">
        <f t="shared" si="24"/>
        <v>https://drive.google.com/thumbnail?id=1Ea4IsWWBHCZ29uRy7Zxp0SvMnOmdjCvn&amp;sz=w1000</v>
      </c>
      <c r="AD469" s="90" t="s">
        <v>807</v>
      </c>
      <c r="AE469" s="103" t="str">
        <f t="shared" si="25"/>
        <v>https://drive.google.com/thumbnail?id=1gB5Fi3nL6FCTnmd91Ei3_QQJ9QXEVQuG&amp;sz=w1000</v>
      </c>
      <c r="AF469" s="90" t="s">
        <v>823</v>
      </c>
      <c r="AG469" s="90" t="str">
        <f t="shared" si="26"/>
        <v>https://drive.google.com/thumbnail?id=1xvK7oL2060tGjomnxIMM_vkytJCIFbUM&amp;sz=w1000</v>
      </c>
      <c r="AH469" s="90" t="s">
        <v>839</v>
      </c>
    </row>
    <row r="470" spans="1:34" ht="22.15" customHeight="1">
      <c r="A470" s="30">
        <v>45541</v>
      </c>
      <c r="B470" s="17" t="s">
        <v>96</v>
      </c>
      <c r="C470" s="2" t="s">
        <v>99</v>
      </c>
      <c r="D470" s="16" t="str" cm="1">
        <f t="array" ref="D470">_xlfn.XLOOKUP(1, (Table1[Project Name]=Table2[[#This Row],[Project ID]])*(Table1[Plot]=Table2[[#This Row],[Plot]]), Table1[Project ID])</f>
        <v>MJ-05</v>
      </c>
      <c r="E470" s="69">
        <v>103</v>
      </c>
      <c r="F470" s="70">
        <v>627</v>
      </c>
      <c r="G470" s="69">
        <f>Table2[[#This Row],[Time Elapsed]]+Table2[[#This Row],[Time Remaining]]</f>
        <v>730</v>
      </c>
      <c r="H470" s="70" t="s">
        <v>663</v>
      </c>
      <c r="I470" s="70" t="s">
        <v>664</v>
      </c>
      <c r="J470" s="13">
        <v>7.4899999999999994E-2</v>
      </c>
      <c r="K470" s="137">
        <v>7.9899999999999999E-2</v>
      </c>
      <c r="L470" s="13">
        <f>Table2[[#This Row],[Actual %]]-Table2[[#This Row],[Plan %]]</f>
        <v>5.0000000000000044E-3</v>
      </c>
      <c r="M470" s="144" t="s">
        <v>275</v>
      </c>
      <c r="N470" s="193">
        <v>45563</v>
      </c>
      <c r="O470" s="193"/>
      <c r="P470" s="193">
        <v>45563</v>
      </c>
      <c r="Q470" s="194">
        <v>45548</v>
      </c>
      <c r="R470" s="146" t="s">
        <v>781</v>
      </c>
      <c r="S470" s="146" t="s">
        <v>782</v>
      </c>
      <c r="T470" s="143" t="s">
        <v>669</v>
      </c>
      <c r="U470" s="153">
        <v>130388712.65000001</v>
      </c>
      <c r="V470" s="152">
        <v>0</v>
      </c>
      <c r="W470" s="36">
        <f>Table2[[#This Row],[Construction Contract Amount]]+Table2[[#This Row],[Cumulative Variations]]</f>
        <v>130388712.65000001</v>
      </c>
      <c r="X470" s="154">
        <v>4662507.03</v>
      </c>
      <c r="Y470" s="200">
        <v>0</v>
      </c>
      <c r="Z470" s="36">
        <f>Table2[[#This Row],[Final Contract Value]]+Table2[[#This Row],[Supervision Contract amount]]+Table2[[#This Row],[Authority Cost]]</f>
        <v>135051219.68000001</v>
      </c>
      <c r="AA470" s="154">
        <v>13053810</v>
      </c>
      <c r="AB470" s="154">
        <v>243591.44</v>
      </c>
      <c r="AC470" s="102" t="str">
        <f t="shared" si="24"/>
        <v>https://drive.google.com/thumbnail?id=1Ea4IsWWBHCZ29uRy7Zxp0SvMnOmdjCvn&amp;sz=w1000</v>
      </c>
      <c r="AD470" s="90" t="s">
        <v>807</v>
      </c>
      <c r="AE470" s="103" t="str">
        <f t="shared" si="25"/>
        <v>https://drive.google.com/thumbnail?id=1gB5Fi3nL6FCTnmd91Ei3_QQJ9QXEVQuG&amp;sz=w1000</v>
      </c>
      <c r="AF470" s="90" t="s">
        <v>823</v>
      </c>
      <c r="AG470" s="90" t="str">
        <f t="shared" si="26"/>
        <v>https://drive.google.com/thumbnail?id=1xvK7oL2060tGjomnxIMM_vkytJCIFbUM&amp;sz=w1000</v>
      </c>
      <c r="AH470" s="90" t="s">
        <v>839</v>
      </c>
    </row>
    <row r="471" spans="1:34" ht="22.15" customHeight="1">
      <c r="A471" s="30">
        <v>45541</v>
      </c>
      <c r="B471" s="17" t="s">
        <v>96</v>
      </c>
      <c r="C471" s="2" t="s">
        <v>99</v>
      </c>
      <c r="D471" s="16" t="str" cm="1">
        <f t="array" ref="D471">_xlfn.XLOOKUP(1, (Table1[Project Name]=Table2[[#This Row],[Project ID]])*(Table1[Plot]=Table2[[#This Row],[Plot]]), Table1[Project ID])</f>
        <v>MJ-05</v>
      </c>
      <c r="E471" s="69">
        <v>103</v>
      </c>
      <c r="F471" s="70">
        <v>627</v>
      </c>
      <c r="G471" s="69">
        <f>Table2[[#This Row],[Time Elapsed]]+Table2[[#This Row],[Time Remaining]]</f>
        <v>730</v>
      </c>
      <c r="H471" s="70" t="s">
        <v>663</v>
      </c>
      <c r="I471" s="70" t="s">
        <v>664</v>
      </c>
      <c r="J471" s="13">
        <v>7.4899999999999994E-2</v>
      </c>
      <c r="K471" s="137">
        <v>7.9899999999999999E-2</v>
      </c>
      <c r="L471" s="13">
        <f>Table2[[#This Row],[Actual %]]-Table2[[#This Row],[Plan %]]</f>
        <v>5.0000000000000044E-3</v>
      </c>
      <c r="M471" s="144" t="s">
        <v>276</v>
      </c>
      <c r="N471" s="193">
        <v>45625</v>
      </c>
      <c r="O471" s="193"/>
      <c r="P471" s="193">
        <v>45625</v>
      </c>
      <c r="Q471" s="194">
        <v>45548</v>
      </c>
      <c r="R471" s="146" t="s">
        <v>781</v>
      </c>
      <c r="S471" s="146" t="s">
        <v>782</v>
      </c>
      <c r="T471" s="143" t="s">
        <v>669</v>
      </c>
      <c r="U471" s="153">
        <v>130388712.65000001</v>
      </c>
      <c r="V471" s="152">
        <v>0</v>
      </c>
      <c r="W471" s="36">
        <f>Table2[[#This Row],[Construction Contract Amount]]+Table2[[#This Row],[Cumulative Variations]]</f>
        <v>130388712.65000001</v>
      </c>
      <c r="X471" s="154">
        <v>4662507.03</v>
      </c>
      <c r="Y471" s="200">
        <v>0</v>
      </c>
      <c r="Z471" s="36">
        <f>Table2[[#This Row],[Final Contract Value]]+Table2[[#This Row],[Supervision Contract amount]]+Table2[[#This Row],[Authority Cost]]</f>
        <v>135051219.68000001</v>
      </c>
      <c r="AA471" s="154">
        <v>13053810</v>
      </c>
      <c r="AB471" s="154">
        <v>243591.44</v>
      </c>
      <c r="AC471" s="102" t="str">
        <f t="shared" si="24"/>
        <v>https://drive.google.com/thumbnail?id=1Ea4IsWWBHCZ29uRy7Zxp0SvMnOmdjCvn&amp;sz=w1000</v>
      </c>
      <c r="AD471" s="90" t="s">
        <v>807</v>
      </c>
      <c r="AE471" s="103" t="str">
        <f t="shared" si="25"/>
        <v>https://drive.google.com/thumbnail?id=1gB5Fi3nL6FCTnmd91Ei3_QQJ9QXEVQuG&amp;sz=w1000</v>
      </c>
      <c r="AF471" s="90" t="s">
        <v>823</v>
      </c>
      <c r="AG471" s="90" t="str">
        <f t="shared" si="26"/>
        <v>https://drive.google.com/thumbnail?id=1xvK7oL2060tGjomnxIMM_vkytJCIFbUM&amp;sz=w1000</v>
      </c>
      <c r="AH471" s="90" t="s">
        <v>839</v>
      </c>
    </row>
    <row r="472" spans="1:34" ht="22.15" customHeight="1">
      <c r="A472" s="30">
        <v>45541</v>
      </c>
      <c r="B472" s="17" t="s">
        <v>96</v>
      </c>
      <c r="C472" s="2" t="s">
        <v>99</v>
      </c>
      <c r="D472" s="16" t="str" cm="1">
        <f t="array" ref="D472">_xlfn.XLOOKUP(1, (Table1[Project Name]=Table2[[#This Row],[Project ID]])*(Table1[Plot]=Table2[[#This Row],[Plot]]), Table1[Project ID])</f>
        <v>MJ-05</v>
      </c>
      <c r="E472" s="69">
        <v>103</v>
      </c>
      <c r="F472" s="70">
        <v>627</v>
      </c>
      <c r="G472" s="69">
        <f>Table2[[#This Row],[Time Elapsed]]+Table2[[#This Row],[Time Remaining]]</f>
        <v>730</v>
      </c>
      <c r="H472" s="70" t="s">
        <v>663</v>
      </c>
      <c r="I472" s="70" t="s">
        <v>664</v>
      </c>
      <c r="J472" s="13">
        <v>7.4899999999999994E-2</v>
      </c>
      <c r="K472" s="137">
        <v>7.9899999999999999E-2</v>
      </c>
      <c r="L472" s="13">
        <f>Table2[[#This Row],[Actual %]]-Table2[[#This Row],[Plan %]]</f>
        <v>5.0000000000000044E-3</v>
      </c>
      <c r="M472" s="144" t="s">
        <v>277</v>
      </c>
      <c r="N472" s="193">
        <v>45700</v>
      </c>
      <c r="O472" s="193"/>
      <c r="P472" s="193">
        <v>45700</v>
      </c>
      <c r="Q472" s="194">
        <v>45548</v>
      </c>
      <c r="R472" s="146" t="s">
        <v>781</v>
      </c>
      <c r="S472" s="146" t="s">
        <v>782</v>
      </c>
      <c r="T472" s="143" t="s">
        <v>669</v>
      </c>
      <c r="U472" s="153">
        <v>130388712.65000001</v>
      </c>
      <c r="V472" s="152">
        <v>0</v>
      </c>
      <c r="W472" s="36">
        <f>Table2[[#This Row],[Construction Contract Amount]]+Table2[[#This Row],[Cumulative Variations]]</f>
        <v>130388712.65000001</v>
      </c>
      <c r="X472" s="154">
        <v>4662507.03</v>
      </c>
      <c r="Y472" s="200">
        <v>0</v>
      </c>
      <c r="Z472" s="36">
        <f>Table2[[#This Row],[Final Contract Value]]+Table2[[#This Row],[Supervision Contract amount]]+Table2[[#This Row],[Authority Cost]]</f>
        <v>135051219.68000001</v>
      </c>
      <c r="AA472" s="154">
        <v>13053810</v>
      </c>
      <c r="AB472" s="154">
        <v>243591.44</v>
      </c>
      <c r="AC472" s="102" t="str">
        <f t="shared" si="24"/>
        <v>https://drive.google.com/thumbnail?id=1Ea4IsWWBHCZ29uRy7Zxp0SvMnOmdjCvn&amp;sz=w1000</v>
      </c>
      <c r="AD472" s="90" t="s">
        <v>807</v>
      </c>
      <c r="AE472" s="103" t="str">
        <f t="shared" si="25"/>
        <v>https://drive.google.com/thumbnail?id=1gB5Fi3nL6FCTnmd91Ei3_QQJ9QXEVQuG&amp;sz=w1000</v>
      </c>
      <c r="AF472" s="90" t="s">
        <v>823</v>
      </c>
      <c r="AG472" s="90" t="str">
        <f t="shared" si="26"/>
        <v>https://drive.google.com/thumbnail?id=1xvK7oL2060tGjomnxIMM_vkytJCIFbUM&amp;sz=w1000</v>
      </c>
      <c r="AH472" s="90" t="s">
        <v>839</v>
      </c>
    </row>
    <row r="473" spans="1:34" ht="22.15" customHeight="1">
      <c r="A473" s="30">
        <v>45541</v>
      </c>
      <c r="B473" s="17" t="s">
        <v>96</v>
      </c>
      <c r="C473" s="2" t="s">
        <v>99</v>
      </c>
      <c r="D473" s="16" t="str" cm="1">
        <f t="array" ref="D473">_xlfn.XLOOKUP(1, (Table1[Project Name]=Table2[[#This Row],[Project ID]])*(Table1[Plot]=Table2[[#This Row],[Plot]]), Table1[Project ID])</f>
        <v>MJ-05</v>
      </c>
      <c r="E473" s="69">
        <v>103</v>
      </c>
      <c r="F473" s="70">
        <v>627</v>
      </c>
      <c r="G473" s="69">
        <f>Table2[[#This Row],[Time Elapsed]]+Table2[[#This Row],[Time Remaining]]</f>
        <v>730</v>
      </c>
      <c r="H473" s="70" t="s">
        <v>663</v>
      </c>
      <c r="I473" s="70" t="s">
        <v>664</v>
      </c>
      <c r="J473" s="13">
        <v>7.4899999999999994E-2</v>
      </c>
      <c r="K473" s="137">
        <v>7.9899999999999999E-2</v>
      </c>
      <c r="L473" s="13">
        <f>Table2[[#This Row],[Actual %]]-Table2[[#This Row],[Plan %]]</f>
        <v>5.0000000000000044E-3</v>
      </c>
      <c r="M473" s="144" t="s">
        <v>278</v>
      </c>
      <c r="N473" s="193">
        <v>45858</v>
      </c>
      <c r="O473" s="193"/>
      <c r="P473" s="193">
        <v>45858</v>
      </c>
      <c r="Q473" s="194">
        <v>45548</v>
      </c>
      <c r="R473" s="146" t="s">
        <v>781</v>
      </c>
      <c r="S473" s="146" t="s">
        <v>782</v>
      </c>
      <c r="T473" s="143" t="s">
        <v>669</v>
      </c>
      <c r="U473" s="153">
        <v>130388712.65000001</v>
      </c>
      <c r="V473" s="152">
        <v>0</v>
      </c>
      <c r="W473" s="36">
        <f>Table2[[#This Row],[Construction Contract Amount]]+Table2[[#This Row],[Cumulative Variations]]</f>
        <v>130388712.65000001</v>
      </c>
      <c r="X473" s="154">
        <v>4662507.03</v>
      </c>
      <c r="Y473" s="200">
        <v>0</v>
      </c>
      <c r="Z473" s="36">
        <f>Table2[[#This Row],[Final Contract Value]]+Table2[[#This Row],[Supervision Contract amount]]+Table2[[#This Row],[Authority Cost]]</f>
        <v>135051219.68000001</v>
      </c>
      <c r="AA473" s="154">
        <v>13053810</v>
      </c>
      <c r="AB473" s="154">
        <v>243591.44</v>
      </c>
      <c r="AC473" s="102" t="str">
        <f t="shared" si="24"/>
        <v>https://drive.google.com/thumbnail?id=1Ea4IsWWBHCZ29uRy7Zxp0SvMnOmdjCvn&amp;sz=w1000</v>
      </c>
      <c r="AD473" s="90" t="s">
        <v>807</v>
      </c>
      <c r="AE473" s="103" t="str">
        <f t="shared" si="25"/>
        <v>https://drive.google.com/thumbnail?id=1gB5Fi3nL6FCTnmd91Ei3_QQJ9QXEVQuG&amp;sz=w1000</v>
      </c>
      <c r="AF473" s="90" t="s">
        <v>823</v>
      </c>
      <c r="AG473" s="90" t="str">
        <f t="shared" si="26"/>
        <v>https://drive.google.com/thumbnail?id=1xvK7oL2060tGjomnxIMM_vkytJCIFbUM&amp;sz=w1000</v>
      </c>
      <c r="AH473" s="90" t="s">
        <v>839</v>
      </c>
    </row>
    <row r="474" spans="1:34" ht="22.15" customHeight="1">
      <c r="A474" s="30">
        <v>45541</v>
      </c>
      <c r="B474" s="17" t="s">
        <v>96</v>
      </c>
      <c r="C474" s="2" t="s">
        <v>99</v>
      </c>
      <c r="D474" s="16" t="str" cm="1">
        <f t="array" ref="D474">_xlfn.XLOOKUP(1, (Table1[Project Name]=Table2[[#This Row],[Project ID]])*(Table1[Plot]=Table2[[#This Row],[Plot]]), Table1[Project ID])</f>
        <v>MJ-05</v>
      </c>
      <c r="E474" s="69">
        <v>103</v>
      </c>
      <c r="F474" s="70">
        <v>627</v>
      </c>
      <c r="G474" s="69">
        <f>Table2[[#This Row],[Time Elapsed]]+Table2[[#This Row],[Time Remaining]]</f>
        <v>730</v>
      </c>
      <c r="H474" s="70" t="s">
        <v>663</v>
      </c>
      <c r="I474" s="70" t="s">
        <v>664</v>
      </c>
      <c r="J474" s="13">
        <v>7.4899999999999994E-2</v>
      </c>
      <c r="K474" s="137">
        <v>7.9899999999999999E-2</v>
      </c>
      <c r="L474" s="13">
        <f>Table2[[#This Row],[Actual %]]-Table2[[#This Row],[Plan %]]</f>
        <v>5.0000000000000044E-3</v>
      </c>
      <c r="M474" s="144" t="s">
        <v>279</v>
      </c>
      <c r="N474" s="193">
        <v>45967</v>
      </c>
      <c r="O474" s="193"/>
      <c r="P474" s="193">
        <v>45967</v>
      </c>
      <c r="Q474" s="194">
        <v>45548</v>
      </c>
      <c r="R474" s="146" t="s">
        <v>781</v>
      </c>
      <c r="S474" s="146" t="s">
        <v>782</v>
      </c>
      <c r="T474" s="143" t="s">
        <v>669</v>
      </c>
      <c r="U474" s="153">
        <v>130388712.65000001</v>
      </c>
      <c r="V474" s="152">
        <v>0</v>
      </c>
      <c r="W474" s="36">
        <f>Table2[[#This Row],[Construction Contract Amount]]+Table2[[#This Row],[Cumulative Variations]]</f>
        <v>130388712.65000001</v>
      </c>
      <c r="X474" s="154">
        <v>4662507.03</v>
      </c>
      <c r="Y474" s="200">
        <v>0</v>
      </c>
      <c r="Z474" s="36">
        <f>Table2[[#This Row],[Final Contract Value]]+Table2[[#This Row],[Supervision Contract amount]]+Table2[[#This Row],[Authority Cost]]</f>
        <v>135051219.68000001</v>
      </c>
      <c r="AA474" s="154">
        <v>13053810</v>
      </c>
      <c r="AB474" s="154">
        <v>243591.44</v>
      </c>
      <c r="AC474" s="102" t="str">
        <f t="shared" si="24"/>
        <v>https://drive.google.com/thumbnail?id=1Ea4IsWWBHCZ29uRy7Zxp0SvMnOmdjCvn&amp;sz=w1000</v>
      </c>
      <c r="AD474" s="90" t="s">
        <v>807</v>
      </c>
      <c r="AE474" s="103" t="str">
        <f t="shared" si="25"/>
        <v>https://drive.google.com/thumbnail?id=1gB5Fi3nL6FCTnmd91Ei3_QQJ9QXEVQuG&amp;sz=w1000</v>
      </c>
      <c r="AF474" s="90" t="s">
        <v>823</v>
      </c>
      <c r="AG474" s="90" t="str">
        <f t="shared" si="26"/>
        <v>https://drive.google.com/thumbnail?id=1xvK7oL2060tGjomnxIMM_vkytJCIFbUM&amp;sz=w1000</v>
      </c>
      <c r="AH474" s="90" t="s">
        <v>839</v>
      </c>
    </row>
    <row r="475" spans="1:34" ht="22.15" customHeight="1">
      <c r="A475" s="30">
        <v>45541</v>
      </c>
      <c r="B475" s="17" t="s">
        <v>96</v>
      </c>
      <c r="C475" s="2" t="s">
        <v>99</v>
      </c>
      <c r="D475" s="16" t="str" cm="1">
        <f t="array" ref="D475">_xlfn.XLOOKUP(1, (Table1[Project Name]=Table2[[#This Row],[Project ID]])*(Table1[Plot]=Table2[[#This Row],[Plot]]), Table1[Project ID])</f>
        <v>MJ-05</v>
      </c>
      <c r="E475" s="69">
        <v>103</v>
      </c>
      <c r="F475" s="70">
        <v>627</v>
      </c>
      <c r="G475" s="69">
        <f>Table2[[#This Row],[Time Elapsed]]+Table2[[#This Row],[Time Remaining]]</f>
        <v>730</v>
      </c>
      <c r="H475" s="70" t="s">
        <v>663</v>
      </c>
      <c r="I475" s="70" t="s">
        <v>664</v>
      </c>
      <c r="J475" s="13">
        <v>7.4899999999999994E-2</v>
      </c>
      <c r="K475" s="137">
        <v>7.9899999999999999E-2</v>
      </c>
      <c r="L475" s="13">
        <f>Table2[[#This Row],[Actual %]]-Table2[[#This Row],[Plan %]]</f>
        <v>5.0000000000000044E-3</v>
      </c>
      <c r="M475" s="144" t="s">
        <v>280</v>
      </c>
      <c r="N475" s="193">
        <v>46150</v>
      </c>
      <c r="O475" s="193"/>
      <c r="P475" s="193">
        <v>46150</v>
      </c>
      <c r="Q475" s="194">
        <v>45548</v>
      </c>
      <c r="R475" s="146" t="s">
        <v>781</v>
      </c>
      <c r="S475" s="146" t="s">
        <v>782</v>
      </c>
      <c r="T475" s="143" t="s">
        <v>669</v>
      </c>
      <c r="U475" s="153">
        <v>130388712.65000001</v>
      </c>
      <c r="V475" s="152">
        <v>0</v>
      </c>
      <c r="W475" s="36">
        <f>Table2[[#This Row],[Construction Contract Amount]]+Table2[[#This Row],[Cumulative Variations]]</f>
        <v>130388712.65000001</v>
      </c>
      <c r="X475" s="154">
        <v>4662507.03</v>
      </c>
      <c r="Y475" s="200">
        <v>0</v>
      </c>
      <c r="Z475" s="36">
        <f>Table2[[#This Row],[Final Contract Value]]+Table2[[#This Row],[Supervision Contract amount]]+Table2[[#This Row],[Authority Cost]]</f>
        <v>135051219.68000001</v>
      </c>
      <c r="AA475" s="154">
        <v>13053810</v>
      </c>
      <c r="AB475" s="154">
        <v>243591.44</v>
      </c>
      <c r="AC475" s="102" t="str">
        <f t="shared" si="24"/>
        <v>https://drive.google.com/thumbnail?id=1Ea4IsWWBHCZ29uRy7Zxp0SvMnOmdjCvn&amp;sz=w1000</v>
      </c>
      <c r="AD475" s="90" t="s">
        <v>807</v>
      </c>
      <c r="AE475" s="103" t="str">
        <f t="shared" si="25"/>
        <v>https://drive.google.com/thumbnail?id=1gB5Fi3nL6FCTnmd91Ei3_QQJ9QXEVQuG&amp;sz=w1000</v>
      </c>
      <c r="AF475" s="90" t="s">
        <v>823</v>
      </c>
      <c r="AG475" s="90" t="str">
        <f t="shared" si="26"/>
        <v>https://drive.google.com/thumbnail?id=1xvK7oL2060tGjomnxIMM_vkytJCIFbUM&amp;sz=w1000</v>
      </c>
      <c r="AH475" s="90" t="s">
        <v>839</v>
      </c>
    </row>
    <row r="476" spans="1:34" ht="22.15" customHeight="1">
      <c r="A476" s="30">
        <v>45541</v>
      </c>
      <c r="B476" s="17" t="s">
        <v>96</v>
      </c>
      <c r="C476" s="2" t="s">
        <v>99</v>
      </c>
      <c r="D476" s="16" t="str" cm="1">
        <f t="array" ref="D476">_xlfn.XLOOKUP(1, (Table1[Project Name]=Table2[[#This Row],[Project ID]])*(Table1[Plot]=Table2[[#This Row],[Plot]]), Table1[Project ID])</f>
        <v>MJ-05</v>
      </c>
      <c r="E476" s="69">
        <v>103</v>
      </c>
      <c r="F476" s="70">
        <v>627</v>
      </c>
      <c r="G476" s="69">
        <f>Table2[[#This Row],[Time Elapsed]]+Table2[[#This Row],[Time Remaining]]</f>
        <v>730</v>
      </c>
      <c r="H476" s="70" t="s">
        <v>663</v>
      </c>
      <c r="I476" s="70" t="s">
        <v>664</v>
      </c>
      <c r="J476" s="13">
        <v>7.4899999999999994E-2</v>
      </c>
      <c r="K476" s="137">
        <v>7.9899999999999999E-2</v>
      </c>
      <c r="L476" s="13">
        <f>Table2[[#This Row],[Actual %]]-Table2[[#This Row],[Plan %]]</f>
        <v>5.0000000000000044E-3</v>
      </c>
      <c r="M476" s="144" t="s">
        <v>281</v>
      </c>
      <c r="N476" s="193">
        <v>46164</v>
      </c>
      <c r="O476" s="193"/>
      <c r="P476" s="193">
        <v>46164</v>
      </c>
      <c r="Q476" s="194">
        <v>45548</v>
      </c>
      <c r="R476" s="146" t="s">
        <v>781</v>
      </c>
      <c r="S476" s="146" t="s">
        <v>782</v>
      </c>
      <c r="T476" s="143" t="s">
        <v>669</v>
      </c>
      <c r="U476" s="153">
        <v>130388712.65000001</v>
      </c>
      <c r="V476" s="152">
        <v>0</v>
      </c>
      <c r="W476" s="36">
        <f>Table2[[#This Row],[Construction Contract Amount]]+Table2[[#This Row],[Cumulative Variations]]</f>
        <v>130388712.65000001</v>
      </c>
      <c r="X476" s="154">
        <v>4662507.03</v>
      </c>
      <c r="Y476" s="200">
        <v>0</v>
      </c>
      <c r="Z476" s="36">
        <f>Table2[[#This Row],[Final Contract Value]]+Table2[[#This Row],[Supervision Contract amount]]+Table2[[#This Row],[Authority Cost]]</f>
        <v>135051219.68000001</v>
      </c>
      <c r="AA476" s="154">
        <v>13053810</v>
      </c>
      <c r="AB476" s="154">
        <v>243591.44</v>
      </c>
      <c r="AC476" s="102" t="str">
        <f t="shared" si="24"/>
        <v>https://drive.google.com/thumbnail?id=1Ea4IsWWBHCZ29uRy7Zxp0SvMnOmdjCvn&amp;sz=w1000</v>
      </c>
      <c r="AD476" s="90" t="s">
        <v>807</v>
      </c>
      <c r="AE476" s="103" t="str">
        <f t="shared" si="25"/>
        <v>https://drive.google.com/thumbnail?id=1gB5Fi3nL6FCTnmd91Ei3_QQJ9QXEVQuG&amp;sz=w1000</v>
      </c>
      <c r="AF476" s="90" t="s">
        <v>823</v>
      </c>
      <c r="AG476" s="90" t="str">
        <f t="shared" si="26"/>
        <v>https://drive.google.com/thumbnail?id=1xvK7oL2060tGjomnxIMM_vkytJCIFbUM&amp;sz=w1000</v>
      </c>
      <c r="AH476" s="90" t="s">
        <v>839</v>
      </c>
    </row>
    <row r="477" spans="1:34" ht="22.15" customHeight="1">
      <c r="A477" s="30">
        <v>45541</v>
      </c>
      <c r="B477" s="17" t="s">
        <v>96</v>
      </c>
      <c r="C477" s="2" t="s">
        <v>99</v>
      </c>
      <c r="D477" s="16" t="str" cm="1">
        <f t="array" ref="D477">_xlfn.XLOOKUP(1, (Table1[Project Name]=Table2[[#This Row],[Project ID]])*(Table1[Plot]=Table2[[#This Row],[Plot]]), Table1[Project ID])</f>
        <v>MJ-05</v>
      </c>
      <c r="E477" s="69">
        <v>103</v>
      </c>
      <c r="F477" s="70">
        <v>627</v>
      </c>
      <c r="G477" s="69">
        <f>Table2[[#This Row],[Time Elapsed]]+Table2[[#This Row],[Time Remaining]]</f>
        <v>730</v>
      </c>
      <c r="H477" s="70" t="s">
        <v>663</v>
      </c>
      <c r="I477" s="70" t="s">
        <v>664</v>
      </c>
      <c r="J477" s="13">
        <v>7.4899999999999994E-2</v>
      </c>
      <c r="K477" s="137">
        <v>7.9899999999999999E-2</v>
      </c>
      <c r="L477" s="13">
        <f>Table2[[#This Row],[Actual %]]-Table2[[#This Row],[Plan %]]</f>
        <v>5.0000000000000044E-3</v>
      </c>
      <c r="M477" s="144" t="s">
        <v>282</v>
      </c>
      <c r="N477" s="193">
        <v>46174</v>
      </c>
      <c r="O477" s="193"/>
      <c r="P477" s="193">
        <v>46174</v>
      </c>
      <c r="Q477" s="194">
        <v>45548</v>
      </c>
      <c r="R477" s="146" t="s">
        <v>781</v>
      </c>
      <c r="S477" s="146" t="s">
        <v>782</v>
      </c>
      <c r="T477" s="143" t="s">
        <v>669</v>
      </c>
      <c r="U477" s="153">
        <v>130388712.65000001</v>
      </c>
      <c r="V477" s="152">
        <v>0</v>
      </c>
      <c r="W477" s="36">
        <f>Table2[[#This Row],[Construction Contract Amount]]+Table2[[#This Row],[Cumulative Variations]]</f>
        <v>130388712.65000001</v>
      </c>
      <c r="X477" s="154">
        <v>4662507.03</v>
      </c>
      <c r="Y477" s="200">
        <v>0</v>
      </c>
      <c r="Z477" s="36">
        <f>Table2[[#This Row],[Final Contract Value]]+Table2[[#This Row],[Supervision Contract amount]]+Table2[[#This Row],[Authority Cost]]</f>
        <v>135051219.68000001</v>
      </c>
      <c r="AA477" s="154">
        <v>13053810</v>
      </c>
      <c r="AB477" s="154">
        <v>243591.44</v>
      </c>
      <c r="AC477" s="102" t="str">
        <f t="shared" si="24"/>
        <v>https://drive.google.com/thumbnail?id=1Ea4IsWWBHCZ29uRy7Zxp0SvMnOmdjCvn&amp;sz=w1000</v>
      </c>
      <c r="AD477" s="90" t="s">
        <v>807</v>
      </c>
      <c r="AE477" s="103" t="str">
        <f t="shared" si="25"/>
        <v>https://drive.google.com/thumbnail?id=1gB5Fi3nL6FCTnmd91Ei3_QQJ9QXEVQuG&amp;sz=w1000</v>
      </c>
      <c r="AF477" s="90" t="s">
        <v>823</v>
      </c>
      <c r="AG477" s="90" t="str">
        <f t="shared" si="26"/>
        <v>https://drive.google.com/thumbnail?id=1xvK7oL2060tGjomnxIMM_vkytJCIFbUM&amp;sz=w1000</v>
      </c>
      <c r="AH477" s="90" t="s">
        <v>839</v>
      </c>
    </row>
    <row r="478" spans="1:34" ht="22.15" customHeight="1">
      <c r="A478" s="30">
        <v>45541</v>
      </c>
      <c r="B478" s="17" t="s">
        <v>96</v>
      </c>
      <c r="C478" s="2" t="s">
        <v>99</v>
      </c>
      <c r="D478" s="16" t="str" cm="1">
        <f t="array" ref="D478">_xlfn.XLOOKUP(1, (Table1[Project Name]=Table2[[#This Row],[Project ID]])*(Table1[Plot]=Table2[[#This Row],[Plot]]), Table1[Project ID])</f>
        <v>MJ-05</v>
      </c>
      <c r="E478" s="69">
        <v>103</v>
      </c>
      <c r="F478" s="70">
        <v>627</v>
      </c>
      <c r="G478" s="69">
        <f>Table2[[#This Row],[Time Elapsed]]+Table2[[#This Row],[Time Remaining]]</f>
        <v>730</v>
      </c>
      <c r="H478" s="70" t="s">
        <v>663</v>
      </c>
      <c r="I478" s="70" t="s">
        <v>664</v>
      </c>
      <c r="J478" s="13">
        <v>7.4899999999999994E-2</v>
      </c>
      <c r="K478" s="137">
        <v>7.9899999999999999E-2</v>
      </c>
      <c r="L478" s="13">
        <f>Table2[[#This Row],[Actual %]]-Table2[[#This Row],[Plan %]]</f>
        <v>5.0000000000000044E-3</v>
      </c>
      <c r="M478" s="144" t="s">
        <v>283</v>
      </c>
      <c r="N478" s="193">
        <v>46175</v>
      </c>
      <c r="O478" s="193"/>
      <c r="P478" s="193">
        <v>46175</v>
      </c>
      <c r="Q478" s="194">
        <v>45548</v>
      </c>
      <c r="R478" s="146" t="s">
        <v>781</v>
      </c>
      <c r="S478" s="146" t="s">
        <v>782</v>
      </c>
      <c r="T478" s="143" t="s">
        <v>669</v>
      </c>
      <c r="U478" s="153">
        <v>130388712.65000001</v>
      </c>
      <c r="V478" s="152">
        <v>0</v>
      </c>
      <c r="W478" s="36">
        <f>Table2[[#This Row],[Construction Contract Amount]]+Table2[[#This Row],[Cumulative Variations]]</f>
        <v>130388712.65000001</v>
      </c>
      <c r="X478" s="154">
        <v>4662507.03</v>
      </c>
      <c r="Y478" s="200">
        <v>0</v>
      </c>
      <c r="Z478" s="36">
        <f>Table2[[#This Row],[Final Contract Value]]+Table2[[#This Row],[Supervision Contract amount]]+Table2[[#This Row],[Authority Cost]]</f>
        <v>135051219.68000001</v>
      </c>
      <c r="AA478" s="154">
        <v>13053810</v>
      </c>
      <c r="AB478" s="154">
        <v>243591.44</v>
      </c>
      <c r="AC478" s="102" t="str">
        <f t="shared" si="24"/>
        <v>https://drive.google.com/thumbnail?id=1Ea4IsWWBHCZ29uRy7Zxp0SvMnOmdjCvn&amp;sz=w1000</v>
      </c>
      <c r="AD478" s="90" t="s">
        <v>807</v>
      </c>
      <c r="AE478" s="103" t="str">
        <f t="shared" si="25"/>
        <v>https://drive.google.com/thumbnail?id=1gB5Fi3nL6FCTnmd91Ei3_QQJ9QXEVQuG&amp;sz=w1000</v>
      </c>
      <c r="AF478" s="90" t="s">
        <v>823</v>
      </c>
      <c r="AG478" s="90" t="str">
        <f t="shared" si="26"/>
        <v>https://drive.google.com/thumbnail?id=1xvK7oL2060tGjomnxIMM_vkytJCIFbUM&amp;sz=w1000</v>
      </c>
      <c r="AH478" s="90" t="s">
        <v>839</v>
      </c>
    </row>
    <row r="479" spans="1:34" ht="22.15" customHeight="1">
      <c r="A479" s="30">
        <v>45541</v>
      </c>
      <c r="B479" s="17" t="s">
        <v>96</v>
      </c>
      <c r="C479" s="2" t="s">
        <v>99</v>
      </c>
      <c r="D479" s="16" t="str" cm="1">
        <f t="array" ref="D479">_xlfn.XLOOKUP(1, (Table1[Project Name]=Table2[[#This Row],[Project ID]])*(Table1[Plot]=Table2[[#This Row],[Plot]]), Table1[Project ID])</f>
        <v>MJ-05</v>
      </c>
      <c r="E479" s="69">
        <v>103</v>
      </c>
      <c r="F479" s="70">
        <v>627</v>
      </c>
      <c r="G479" s="69">
        <f>Table2[[#This Row],[Time Elapsed]]+Table2[[#This Row],[Time Remaining]]</f>
        <v>730</v>
      </c>
      <c r="H479" s="70" t="s">
        <v>663</v>
      </c>
      <c r="I479" s="70" t="s">
        <v>664</v>
      </c>
      <c r="J479" s="13">
        <v>7.4899999999999994E-2</v>
      </c>
      <c r="K479" s="137">
        <v>7.9899999999999999E-2</v>
      </c>
      <c r="L479" s="13">
        <f>Table2[[#This Row],[Actual %]]-Table2[[#This Row],[Plan %]]</f>
        <v>5.0000000000000044E-3</v>
      </c>
      <c r="M479" s="144" t="s">
        <v>284</v>
      </c>
      <c r="N479" s="193">
        <v>46175</v>
      </c>
      <c r="O479" s="193"/>
      <c r="P479" s="193">
        <v>46175</v>
      </c>
      <c r="Q479" s="194">
        <v>45548</v>
      </c>
      <c r="R479" s="146" t="s">
        <v>781</v>
      </c>
      <c r="S479" s="146" t="s">
        <v>782</v>
      </c>
      <c r="T479" s="143" t="s">
        <v>669</v>
      </c>
      <c r="U479" s="153">
        <v>130388712.65000001</v>
      </c>
      <c r="V479" s="152">
        <v>0</v>
      </c>
      <c r="W479" s="36">
        <f>Table2[[#This Row],[Construction Contract Amount]]+Table2[[#This Row],[Cumulative Variations]]</f>
        <v>130388712.65000001</v>
      </c>
      <c r="X479" s="154">
        <v>4662507.03</v>
      </c>
      <c r="Y479" s="200">
        <v>0</v>
      </c>
      <c r="Z479" s="36">
        <f>Table2[[#This Row],[Final Contract Value]]+Table2[[#This Row],[Supervision Contract amount]]+Table2[[#This Row],[Authority Cost]]</f>
        <v>135051219.68000001</v>
      </c>
      <c r="AA479" s="154">
        <v>13053810</v>
      </c>
      <c r="AB479" s="154">
        <v>243591.44</v>
      </c>
      <c r="AC479" s="102" t="str">
        <f t="shared" si="24"/>
        <v>https://drive.google.com/thumbnail?id=1Ea4IsWWBHCZ29uRy7Zxp0SvMnOmdjCvn&amp;sz=w1000</v>
      </c>
      <c r="AD479" s="90" t="s">
        <v>807</v>
      </c>
      <c r="AE479" s="103" t="str">
        <f t="shared" si="25"/>
        <v>https://drive.google.com/thumbnail?id=1gB5Fi3nL6FCTnmd91Ei3_QQJ9QXEVQuG&amp;sz=w1000</v>
      </c>
      <c r="AF479" s="90" t="s">
        <v>823</v>
      </c>
      <c r="AG479" s="90" t="str">
        <f t="shared" si="26"/>
        <v>https://drive.google.com/thumbnail?id=1xvK7oL2060tGjomnxIMM_vkytJCIFbUM&amp;sz=w1000</v>
      </c>
      <c r="AH479" s="90" t="s">
        <v>839</v>
      </c>
    </row>
    <row r="480" spans="1:34" ht="22.15" customHeight="1">
      <c r="A480" s="30">
        <v>45541</v>
      </c>
      <c r="B480" s="2" t="s">
        <v>87</v>
      </c>
      <c r="C480" s="2" t="s">
        <v>11</v>
      </c>
      <c r="D480" s="16" t="str" cm="1">
        <f t="array" ref="D480">_xlfn.XLOOKUP(1, (Table1[Project Name]=Table2[[#This Row],[Project ID]])*(Table1[Plot]=Table2[[#This Row],[Plot]]), Table1[Project ID])</f>
        <v>MJ-06</v>
      </c>
      <c r="E480" s="69">
        <v>124</v>
      </c>
      <c r="F480" s="70">
        <v>486</v>
      </c>
      <c r="G480" s="69">
        <f>Table2[[#This Row],[Time Elapsed]]+Table2[[#This Row],[Time Remaining]]</f>
        <v>610</v>
      </c>
      <c r="H480" s="70" t="s">
        <v>764</v>
      </c>
      <c r="I480" s="70" t="s">
        <v>752</v>
      </c>
      <c r="J480" s="13">
        <v>4.7800000000000002E-2</v>
      </c>
      <c r="K480" s="137">
        <v>2.1999999999999999E-2</v>
      </c>
      <c r="L480" s="13">
        <f>Table2[[#This Row],[Actual %]]-Table2[[#This Row],[Plan %]]</f>
        <v>-2.5800000000000003E-2</v>
      </c>
      <c r="M480" s="144" t="s">
        <v>285</v>
      </c>
      <c r="N480" s="193">
        <v>45427</v>
      </c>
      <c r="O480" s="193">
        <v>45427</v>
      </c>
      <c r="P480" s="193"/>
      <c r="Q480" s="194">
        <v>45548</v>
      </c>
      <c r="R480" s="136" t="s">
        <v>783</v>
      </c>
      <c r="S480" s="136" t="s">
        <v>784</v>
      </c>
      <c r="T480" s="143" t="s">
        <v>785</v>
      </c>
      <c r="U480" s="199">
        <v>94981423.150000006</v>
      </c>
      <c r="V480" s="152">
        <v>0</v>
      </c>
      <c r="W480" s="36">
        <f>Table2[[#This Row],[Construction Contract Amount]]+Table2[[#This Row],[Cumulative Variations]]</f>
        <v>94981423.150000006</v>
      </c>
      <c r="X480" s="152">
        <v>3708466.35</v>
      </c>
      <c r="Y480" s="200">
        <v>0</v>
      </c>
      <c r="Z480" s="36">
        <f>Table2[[#This Row],[Final Contract Value]]+Table2[[#This Row],[Supervision Contract amount]]+Table2[[#This Row],[Authority Cost]]</f>
        <v>98689889.5</v>
      </c>
      <c r="AA480" s="152">
        <v>1208000</v>
      </c>
      <c r="AB480" s="36"/>
      <c r="AC480" s="102" t="str">
        <f t="shared" si="24"/>
        <v>https://drive.google.com/thumbnail?id=1ns9WVi4LIlCy9kRsqLx6fuozbqpfzmaZ&amp;sz=w1000</v>
      </c>
      <c r="AD480" s="90" t="s">
        <v>808</v>
      </c>
      <c r="AE480" s="103" t="str">
        <f t="shared" si="25"/>
        <v>https://drive.google.com/thumbnail?id=1l1qtJWULZ9Ls8rKQ1VUw4meyuzKWs1jT&amp;sz=w1000</v>
      </c>
      <c r="AF480" s="90" t="s">
        <v>824</v>
      </c>
      <c r="AG480" s="90" t="str">
        <f t="shared" si="26"/>
        <v>https://drive.google.com/thumbnail?id=1p6hIUtd-nvQqhm5QfcZ7_NmYe6thw_QN&amp;sz=w1000</v>
      </c>
      <c r="AH480" s="90" t="s">
        <v>840</v>
      </c>
    </row>
    <row r="481" spans="1:34" ht="22.15" customHeight="1">
      <c r="A481" s="30">
        <v>45541</v>
      </c>
      <c r="B481" s="2" t="s">
        <v>87</v>
      </c>
      <c r="C481" s="2" t="s">
        <v>11</v>
      </c>
      <c r="D481" s="16" t="str" cm="1">
        <f t="array" ref="D481">_xlfn.XLOOKUP(1, (Table1[Project Name]=Table2[[#This Row],[Project ID]])*(Table1[Plot]=Table2[[#This Row],[Plot]]), Table1[Project ID])</f>
        <v>MJ-06</v>
      </c>
      <c r="E481" s="69">
        <v>124</v>
      </c>
      <c r="F481" s="70">
        <v>486</v>
      </c>
      <c r="G481" s="69">
        <f>Table2[[#This Row],[Time Elapsed]]+Table2[[#This Row],[Time Remaining]]</f>
        <v>610</v>
      </c>
      <c r="H481" s="70" t="s">
        <v>764</v>
      </c>
      <c r="I481" s="70" t="s">
        <v>752</v>
      </c>
      <c r="J481" s="13">
        <v>4.7800000000000002E-2</v>
      </c>
      <c r="K481" s="137">
        <v>2.1999999999999999E-2</v>
      </c>
      <c r="L481" s="13">
        <f>Table2[[#This Row],[Actual %]]-Table2[[#This Row],[Plan %]]</f>
        <v>-2.5800000000000003E-2</v>
      </c>
      <c r="M481" s="144" t="s">
        <v>287</v>
      </c>
      <c r="N481" s="193">
        <v>45433</v>
      </c>
      <c r="O481" s="193">
        <v>45433</v>
      </c>
      <c r="P481" s="193"/>
      <c r="Q481" s="194">
        <v>45548</v>
      </c>
      <c r="R481" s="136" t="s">
        <v>783</v>
      </c>
      <c r="S481" s="136" t="s">
        <v>784</v>
      </c>
      <c r="T481" s="143" t="s">
        <v>785</v>
      </c>
      <c r="U481" s="199">
        <v>94981423.150000006</v>
      </c>
      <c r="V481" s="152">
        <v>0</v>
      </c>
      <c r="W481" s="36">
        <f>Table2[[#This Row],[Construction Contract Amount]]+Table2[[#This Row],[Cumulative Variations]]</f>
        <v>94981423.150000006</v>
      </c>
      <c r="X481" s="152">
        <v>3708466.35</v>
      </c>
      <c r="Y481" s="200">
        <v>0</v>
      </c>
      <c r="Z481" s="36">
        <f>Table2[[#This Row],[Final Contract Value]]+Table2[[#This Row],[Supervision Contract amount]]+Table2[[#This Row],[Authority Cost]]</f>
        <v>98689889.5</v>
      </c>
      <c r="AA481" s="152">
        <v>1208000</v>
      </c>
      <c r="AB481" s="36"/>
      <c r="AC481" s="102" t="str">
        <f t="shared" si="24"/>
        <v>https://drive.google.com/thumbnail?id=1ns9WVi4LIlCy9kRsqLx6fuozbqpfzmaZ&amp;sz=w1000</v>
      </c>
      <c r="AD481" s="90" t="s">
        <v>808</v>
      </c>
      <c r="AE481" s="103" t="str">
        <f t="shared" si="25"/>
        <v>https://drive.google.com/thumbnail?id=1l1qtJWULZ9Ls8rKQ1VUw4meyuzKWs1jT&amp;sz=w1000</v>
      </c>
      <c r="AF481" s="90" t="s">
        <v>824</v>
      </c>
      <c r="AG481" s="90" t="str">
        <f t="shared" si="26"/>
        <v>https://drive.google.com/thumbnail?id=1p6hIUtd-nvQqhm5QfcZ7_NmYe6thw_QN&amp;sz=w1000</v>
      </c>
      <c r="AH481" s="90" t="s">
        <v>840</v>
      </c>
    </row>
    <row r="482" spans="1:34" ht="22.15" customHeight="1">
      <c r="A482" s="30">
        <v>45541</v>
      </c>
      <c r="B482" s="2" t="s">
        <v>87</v>
      </c>
      <c r="C482" s="2" t="s">
        <v>11</v>
      </c>
      <c r="D482" s="16" t="str" cm="1">
        <f t="array" ref="D482">_xlfn.XLOOKUP(1, (Table1[Project Name]=Table2[[#This Row],[Project ID]])*(Table1[Plot]=Table2[[#This Row],[Plot]]), Table1[Project ID])</f>
        <v>MJ-06</v>
      </c>
      <c r="E482" s="69">
        <v>124</v>
      </c>
      <c r="F482" s="70">
        <v>486</v>
      </c>
      <c r="G482" s="69">
        <f>Table2[[#This Row],[Time Elapsed]]+Table2[[#This Row],[Time Remaining]]</f>
        <v>610</v>
      </c>
      <c r="H482" s="70" t="s">
        <v>764</v>
      </c>
      <c r="I482" s="70" t="s">
        <v>752</v>
      </c>
      <c r="J482" s="13">
        <v>4.7800000000000002E-2</v>
      </c>
      <c r="K482" s="137">
        <v>2.1999999999999999E-2</v>
      </c>
      <c r="L482" s="13">
        <f>Table2[[#This Row],[Actual %]]-Table2[[#This Row],[Plan %]]</f>
        <v>-2.5800000000000003E-2</v>
      </c>
      <c r="M482" s="144" t="s">
        <v>51</v>
      </c>
      <c r="N482" s="193">
        <v>45495</v>
      </c>
      <c r="O482" s="193"/>
      <c r="P482" s="193">
        <v>45551</v>
      </c>
      <c r="Q482" s="194">
        <v>45548</v>
      </c>
      <c r="R482" s="136" t="s">
        <v>783</v>
      </c>
      <c r="S482" s="136" t="s">
        <v>784</v>
      </c>
      <c r="T482" s="143" t="s">
        <v>785</v>
      </c>
      <c r="U482" s="199">
        <v>94981423.150000006</v>
      </c>
      <c r="V482" s="152">
        <v>0</v>
      </c>
      <c r="W482" s="36">
        <f>Table2[[#This Row],[Construction Contract Amount]]+Table2[[#This Row],[Cumulative Variations]]</f>
        <v>94981423.150000006</v>
      </c>
      <c r="X482" s="152">
        <v>3708466.35</v>
      </c>
      <c r="Y482" s="200">
        <v>0</v>
      </c>
      <c r="Z482" s="36">
        <f>Table2[[#This Row],[Final Contract Value]]+Table2[[#This Row],[Supervision Contract amount]]+Table2[[#This Row],[Authority Cost]]</f>
        <v>98689889.5</v>
      </c>
      <c r="AA482" s="152">
        <v>1208000</v>
      </c>
      <c r="AB482" s="36"/>
      <c r="AC482" s="102" t="str">
        <f t="shared" si="24"/>
        <v>https://drive.google.com/thumbnail?id=1ns9WVi4LIlCy9kRsqLx6fuozbqpfzmaZ&amp;sz=w1000</v>
      </c>
      <c r="AD482" s="90" t="s">
        <v>808</v>
      </c>
      <c r="AE482" s="103" t="str">
        <f t="shared" si="25"/>
        <v>https://drive.google.com/thumbnail?id=1l1qtJWULZ9Ls8rKQ1VUw4meyuzKWs1jT&amp;sz=w1000</v>
      </c>
      <c r="AF482" s="90" t="s">
        <v>824</v>
      </c>
      <c r="AG482" s="90" t="str">
        <f t="shared" si="26"/>
        <v>https://drive.google.com/thumbnail?id=1p6hIUtd-nvQqhm5QfcZ7_NmYe6thw_QN&amp;sz=w1000</v>
      </c>
      <c r="AH482" s="90" t="s">
        <v>840</v>
      </c>
    </row>
    <row r="483" spans="1:34" ht="22.15" customHeight="1">
      <c r="A483" s="30">
        <v>45541</v>
      </c>
      <c r="B483" s="2" t="s">
        <v>87</v>
      </c>
      <c r="C483" s="2" t="s">
        <v>11</v>
      </c>
      <c r="D483" s="16" t="str" cm="1">
        <f t="array" ref="D483">_xlfn.XLOOKUP(1, (Table1[Project Name]=Table2[[#This Row],[Project ID]])*(Table1[Plot]=Table2[[#This Row],[Plot]]), Table1[Project ID])</f>
        <v>MJ-06</v>
      </c>
      <c r="E483" s="69">
        <v>124</v>
      </c>
      <c r="F483" s="70">
        <v>486</v>
      </c>
      <c r="G483" s="69">
        <f>Table2[[#This Row],[Time Elapsed]]+Table2[[#This Row],[Time Remaining]]</f>
        <v>610</v>
      </c>
      <c r="H483" s="70" t="s">
        <v>764</v>
      </c>
      <c r="I483" s="70" t="s">
        <v>752</v>
      </c>
      <c r="J483" s="13">
        <v>4.7800000000000002E-2</v>
      </c>
      <c r="K483" s="137">
        <v>2.1999999999999999E-2</v>
      </c>
      <c r="L483" s="13">
        <f>Table2[[#This Row],[Actual %]]-Table2[[#This Row],[Plan %]]</f>
        <v>-2.5800000000000003E-2</v>
      </c>
      <c r="M483" s="144" t="s">
        <v>786</v>
      </c>
      <c r="N483" s="193">
        <v>45549</v>
      </c>
      <c r="O483" s="193"/>
      <c r="P483" s="193">
        <v>45589</v>
      </c>
      <c r="Q483" s="194">
        <v>45548</v>
      </c>
      <c r="R483" s="136" t="s">
        <v>783</v>
      </c>
      <c r="S483" s="136" t="s">
        <v>784</v>
      </c>
      <c r="T483" s="143" t="s">
        <v>785</v>
      </c>
      <c r="U483" s="199">
        <v>94981423.150000006</v>
      </c>
      <c r="V483" s="152">
        <v>0</v>
      </c>
      <c r="W483" s="36">
        <f>Table2[[#This Row],[Construction Contract Amount]]+Table2[[#This Row],[Cumulative Variations]]</f>
        <v>94981423.150000006</v>
      </c>
      <c r="X483" s="152">
        <v>3708466.35</v>
      </c>
      <c r="Y483" s="200">
        <v>0</v>
      </c>
      <c r="Z483" s="36">
        <f>Table2[[#This Row],[Final Contract Value]]+Table2[[#This Row],[Supervision Contract amount]]+Table2[[#This Row],[Authority Cost]]</f>
        <v>98689889.5</v>
      </c>
      <c r="AA483" s="152">
        <v>1208000</v>
      </c>
      <c r="AB483" s="36"/>
      <c r="AC483" s="102" t="str">
        <f t="shared" si="24"/>
        <v>https://drive.google.com/thumbnail?id=1ns9WVi4LIlCy9kRsqLx6fuozbqpfzmaZ&amp;sz=w1000</v>
      </c>
      <c r="AD483" s="90" t="s">
        <v>808</v>
      </c>
      <c r="AE483" s="103" t="str">
        <f t="shared" si="25"/>
        <v>https://drive.google.com/thumbnail?id=1l1qtJWULZ9Ls8rKQ1VUw4meyuzKWs1jT&amp;sz=w1000</v>
      </c>
      <c r="AF483" s="90" t="s">
        <v>824</v>
      </c>
      <c r="AG483" s="90" t="str">
        <f t="shared" si="26"/>
        <v>https://drive.google.com/thumbnail?id=1p6hIUtd-nvQqhm5QfcZ7_NmYe6thw_QN&amp;sz=w1000</v>
      </c>
      <c r="AH483" s="90" t="s">
        <v>840</v>
      </c>
    </row>
    <row r="484" spans="1:34" ht="22.15" customHeight="1">
      <c r="A484" s="30">
        <v>45541</v>
      </c>
      <c r="B484" s="2" t="s">
        <v>87</v>
      </c>
      <c r="C484" s="2" t="s">
        <v>11</v>
      </c>
      <c r="D484" s="16" t="str" cm="1">
        <f t="array" ref="D484">_xlfn.XLOOKUP(1, (Table1[Project Name]=Table2[[#This Row],[Project ID]])*(Table1[Plot]=Table2[[#This Row],[Plot]]), Table1[Project ID])</f>
        <v>MJ-06</v>
      </c>
      <c r="E484" s="69">
        <v>124</v>
      </c>
      <c r="F484" s="70">
        <v>486</v>
      </c>
      <c r="G484" s="69">
        <f>Table2[[#This Row],[Time Elapsed]]+Table2[[#This Row],[Time Remaining]]</f>
        <v>610</v>
      </c>
      <c r="H484" s="70" t="s">
        <v>764</v>
      </c>
      <c r="I484" s="70" t="s">
        <v>752</v>
      </c>
      <c r="J484" s="13">
        <v>4.7800000000000002E-2</v>
      </c>
      <c r="K484" s="137">
        <v>2.1999999999999999E-2</v>
      </c>
      <c r="L484" s="13">
        <f>Table2[[#This Row],[Actual %]]-Table2[[#This Row],[Plan %]]</f>
        <v>-2.5800000000000003E-2</v>
      </c>
      <c r="M484" s="144" t="s">
        <v>753</v>
      </c>
      <c r="N484" s="193">
        <v>45549</v>
      </c>
      <c r="O484" s="193"/>
      <c r="P484" s="193">
        <v>45589</v>
      </c>
      <c r="Q484" s="194">
        <v>45548</v>
      </c>
      <c r="R484" s="136" t="s">
        <v>783</v>
      </c>
      <c r="S484" s="136" t="s">
        <v>784</v>
      </c>
      <c r="T484" s="143" t="s">
        <v>785</v>
      </c>
      <c r="U484" s="199">
        <v>94981423.150000006</v>
      </c>
      <c r="V484" s="152">
        <v>0</v>
      </c>
      <c r="W484" s="36">
        <f>Table2[[#This Row],[Construction Contract Amount]]+Table2[[#This Row],[Cumulative Variations]]</f>
        <v>94981423.150000006</v>
      </c>
      <c r="X484" s="152">
        <v>3708466.35</v>
      </c>
      <c r="Y484" s="200">
        <v>0</v>
      </c>
      <c r="Z484" s="36">
        <f>Table2[[#This Row],[Final Contract Value]]+Table2[[#This Row],[Supervision Contract amount]]+Table2[[#This Row],[Authority Cost]]</f>
        <v>98689889.5</v>
      </c>
      <c r="AA484" s="152">
        <v>1208000</v>
      </c>
      <c r="AB484" s="36"/>
      <c r="AC484" s="102" t="str">
        <f t="shared" si="24"/>
        <v>https://drive.google.com/thumbnail?id=1ns9WVi4LIlCy9kRsqLx6fuozbqpfzmaZ&amp;sz=w1000</v>
      </c>
      <c r="AD484" s="90" t="s">
        <v>808</v>
      </c>
      <c r="AE484" s="103" t="str">
        <f t="shared" si="25"/>
        <v>https://drive.google.com/thumbnail?id=1l1qtJWULZ9Ls8rKQ1VUw4meyuzKWs1jT&amp;sz=w1000</v>
      </c>
      <c r="AF484" s="90" t="s">
        <v>824</v>
      </c>
      <c r="AG484" s="90" t="str">
        <f t="shared" si="26"/>
        <v>https://drive.google.com/thumbnail?id=1p6hIUtd-nvQqhm5QfcZ7_NmYe6thw_QN&amp;sz=w1000</v>
      </c>
      <c r="AH484" s="90" t="s">
        <v>840</v>
      </c>
    </row>
    <row r="485" spans="1:34" ht="22.15" customHeight="1">
      <c r="A485" s="30">
        <v>45541</v>
      </c>
      <c r="B485" s="2" t="s">
        <v>87</v>
      </c>
      <c r="C485" s="2" t="s">
        <v>11</v>
      </c>
      <c r="D485" s="16" t="str" cm="1">
        <f t="array" ref="D485">_xlfn.XLOOKUP(1, (Table1[Project Name]=Table2[[#This Row],[Project ID]])*(Table1[Plot]=Table2[[#This Row],[Plot]]), Table1[Project ID])</f>
        <v>MJ-06</v>
      </c>
      <c r="E485" s="69">
        <v>124</v>
      </c>
      <c r="F485" s="70">
        <v>486</v>
      </c>
      <c r="G485" s="69">
        <f>Table2[[#This Row],[Time Elapsed]]+Table2[[#This Row],[Time Remaining]]</f>
        <v>610</v>
      </c>
      <c r="H485" s="70" t="s">
        <v>764</v>
      </c>
      <c r="I485" s="70" t="s">
        <v>752</v>
      </c>
      <c r="J485" s="13">
        <v>4.7800000000000002E-2</v>
      </c>
      <c r="K485" s="137">
        <v>2.1999999999999999E-2</v>
      </c>
      <c r="L485" s="13">
        <f>Table2[[#This Row],[Actual %]]-Table2[[#This Row],[Plan %]]</f>
        <v>-2.5800000000000003E-2</v>
      </c>
      <c r="M485" s="144" t="s">
        <v>787</v>
      </c>
      <c r="N485" s="193">
        <v>45556</v>
      </c>
      <c r="O485" s="193"/>
      <c r="P485" s="193">
        <v>45596</v>
      </c>
      <c r="Q485" s="194">
        <v>45548</v>
      </c>
      <c r="R485" s="136" t="s">
        <v>783</v>
      </c>
      <c r="S485" s="136" t="s">
        <v>784</v>
      </c>
      <c r="T485" s="143" t="s">
        <v>785</v>
      </c>
      <c r="U485" s="199">
        <v>94981423.150000006</v>
      </c>
      <c r="V485" s="152">
        <v>0</v>
      </c>
      <c r="W485" s="36">
        <f>Table2[[#This Row],[Construction Contract Amount]]+Table2[[#This Row],[Cumulative Variations]]</f>
        <v>94981423.150000006</v>
      </c>
      <c r="X485" s="152">
        <v>3708466.35</v>
      </c>
      <c r="Y485" s="200">
        <v>0</v>
      </c>
      <c r="Z485" s="36">
        <f>Table2[[#This Row],[Final Contract Value]]+Table2[[#This Row],[Supervision Contract amount]]+Table2[[#This Row],[Authority Cost]]</f>
        <v>98689889.5</v>
      </c>
      <c r="AA485" s="152">
        <v>1208000</v>
      </c>
      <c r="AB485" s="36"/>
      <c r="AC485" s="102" t="str">
        <f t="shared" si="24"/>
        <v>https://drive.google.com/thumbnail?id=1ns9WVi4LIlCy9kRsqLx6fuozbqpfzmaZ&amp;sz=w1000</v>
      </c>
      <c r="AD485" s="90" t="s">
        <v>808</v>
      </c>
      <c r="AE485" s="103" t="str">
        <f t="shared" si="25"/>
        <v>https://drive.google.com/thumbnail?id=1l1qtJWULZ9Ls8rKQ1VUw4meyuzKWs1jT&amp;sz=w1000</v>
      </c>
      <c r="AF485" s="90" t="s">
        <v>824</v>
      </c>
      <c r="AG485" s="90" t="str">
        <f t="shared" si="26"/>
        <v>https://drive.google.com/thumbnail?id=1p6hIUtd-nvQqhm5QfcZ7_NmYe6thw_QN&amp;sz=w1000</v>
      </c>
      <c r="AH485" s="90" t="s">
        <v>840</v>
      </c>
    </row>
    <row r="486" spans="1:34" ht="22.15" customHeight="1">
      <c r="A486" s="30">
        <v>45541</v>
      </c>
      <c r="B486" s="2" t="s">
        <v>87</v>
      </c>
      <c r="C486" s="2" t="s">
        <v>11</v>
      </c>
      <c r="D486" s="16" t="str" cm="1">
        <f t="array" ref="D486">_xlfn.XLOOKUP(1, (Table1[Project Name]=Table2[[#This Row],[Project ID]])*(Table1[Plot]=Table2[[#This Row],[Plot]]), Table1[Project ID])</f>
        <v>MJ-06</v>
      </c>
      <c r="E486" s="69">
        <v>124</v>
      </c>
      <c r="F486" s="70">
        <v>486</v>
      </c>
      <c r="G486" s="69">
        <f>Table2[[#This Row],[Time Elapsed]]+Table2[[#This Row],[Time Remaining]]</f>
        <v>610</v>
      </c>
      <c r="H486" s="70" t="s">
        <v>764</v>
      </c>
      <c r="I486" s="70" t="s">
        <v>752</v>
      </c>
      <c r="J486" s="13">
        <v>4.7800000000000002E-2</v>
      </c>
      <c r="K486" s="137">
        <v>2.1999999999999999E-2</v>
      </c>
      <c r="L486" s="13">
        <f>Table2[[#This Row],[Actual %]]-Table2[[#This Row],[Plan %]]</f>
        <v>-2.5800000000000003E-2</v>
      </c>
      <c r="M486" s="144" t="s">
        <v>788</v>
      </c>
      <c r="N486" s="193">
        <v>45556</v>
      </c>
      <c r="O486" s="193"/>
      <c r="P486" s="193">
        <v>45596</v>
      </c>
      <c r="Q486" s="194">
        <v>45548</v>
      </c>
      <c r="R486" s="136" t="s">
        <v>783</v>
      </c>
      <c r="S486" s="136" t="s">
        <v>784</v>
      </c>
      <c r="T486" s="143" t="s">
        <v>785</v>
      </c>
      <c r="U486" s="199">
        <v>94981423.150000006</v>
      </c>
      <c r="V486" s="152">
        <v>0</v>
      </c>
      <c r="W486" s="36">
        <f>Table2[[#This Row],[Construction Contract Amount]]+Table2[[#This Row],[Cumulative Variations]]</f>
        <v>94981423.150000006</v>
      </c>
      <c r="X486" s="152">
        <v>3708466.35</v>
      </c>
      <c r="Y486" s="200">
        <v>0</v>
      </c>
      <c r="Z486" s="36">
        <f>Table2[[#This Row],[Final Contract Value]]+Table2[[#This Row],[Supervision Contract amount]]+Table2[[#This Row],[Authority Cost]]</f>
        <v>98689889.5</v>
      </c>
      <c r="AA486" s="152">
        <v>1208000</v>
      </c>
      <c r="AB486" s="36"/>
      <c r="AC486" s="102" t="str">
        <f t="shared" si="24"/>
        <v>https://drive.google.com/thumbnail?id=1ns9WVi4LIlCy9kRsqLx6fuozbqpfzmaZ&amp;sz=w1000</v>
      </c>
      <c r="AD486" s="90" t="s">
        <v>808</v>
      </c>
      <c r="AE486" s="103" t="str">
        <f t="shared" si="25"/>
        <v>https://drive.google.com/thumbnail?id=1l1qtJWULZ9Ls8rKQ1VUw4meyuzKWs1jT&amp;sz=w1000</v>
      </c>
      <c r="AF486" s="90" t="s">
        <v>824</v>
      </c>
      <c r="AG486" s="90" t="str">
        <f t="shared" si="26"/>
        <v>https://drive.google.com/thumbnail?id=1p6hIUtd-nvQqhm5QfcZ7_NmYe6thw_QN&amp;sz=w1000</v>
      </c>
      <c r="AH486" s="90" t="s">
        <v>840</v>
      </c>
    </row>
    <row r="487" spans="1:34" ht="22.15" customHeight="1">
      <c r="A487" s="30">
        <v>45541</v>
      </c>
      <c r="B487" s="2" t="s">
        <v>91</v>
      </c>
      <c r="C487" s="2" t="s">
        <v>94</v>
      </c>
      <c r="D487" s="16" t="str" cm="1">
        <f t="array" ref="D487">_xlfn.XLOOKUP(1, (Table1[Project Name]=Table2[[#This Row],[Project ID]])*(Table1[Plot]=Table2[[#This Row],[Plot]]), Table1[Project ID])</f>
        <v>MJ-07</v>
      </c>
      <c r="E487" s="69">
        <v>124</v>
      </c>
      <c r="F487" s="70">
        <v>486</v>
      </c>
      <c r="G487" s="69">
        <f>Table2[[#This Row],[Time Elapsed]]+Table2[[#This Row],[Time Remaining]]</f>
        <v>610</v>
      </c>
      <c r="H487" s="70" t="s">
        <v>765</v>
      </c>
      <c r="I487" s="70" t="s">
        <v>743</v>
      </c>
      <c r="J487" s="13">
        <v>6.9599999999999995E-2</v>
      </c>
      <c r="K487" s="137">
        <v>2.9899999999999999E-2</v>
      </c>
      <c r="L487" s="13">
        <f>Table2[[#This Row],[Actual %]]-Table2[[#This Row],[Plan %]]</f>
        <v>-3.9699999999999999E-2</v>
      </c>
      <c r="M487" s="144" t="s">
        <v>285</v>
      </c>
      <c r="N487" s="193">
        <v>45427</v>
      </c>
      <c r="O487" s="193">
        <v>45427</v>
      </c>
      <c r="P487" s="193"/>
      <c r="Q487" s="194">
        <v>45548</v>
      </c>
      <c r="R487" s="136" t="s">
        <v>747</v>
      </c>
      <c r="S487" s="136" t="s">
        <v>789</v>
      </c>
      <c r="T487" s="143" t="s">
        <v>790</v>
      </c>
      <c r="U487" s="199">
        <v>97238576.530000001</v>
      </c>
      <c r="V487" s="152">
        <v>0</v>
      </c>
      <c r="W487" s="36">
        <f>Table2[[#This Row],[Construction Contract Amount]]+Table2[[#This Row],[Cumulative Variations]]</f>
        <v>97238576.530000001</v>
      </c>
      <c r="X487" s="152">
        <v>3344531.65</v>
      </c>
      <c r="Y487" s="152">
        <v>0</v>
      </c>
      <c r="Z487" s="36">
        <f>Table2[[#This Row],[Final Contract Value]]+Table2[[#This Row],[Supervision Contract amount]]+Table2[[#This Row],[Authority Cost]]</f>
        <v>100583108.18000001</v>
      </c>
      <c r="AA487" s="152">
        <v>1208000</v>
      </c>
      <c r="AB487" s="36"/>
      <c r="AC487" s="102" t="str">
        <f t="shared" si="24"/>
        <v>https://drive.google.com/thumbnail?id=1dRnOElIobWmdZEkO8BRVE7TU1yvuxQXW&amp;sz=w1000</v>
      </c>
      <c r="AD487" s="90" t="s">
        <v>809</v>
      </c>
      <c r="AE487" s="103" t="str">
        <f t="shared" si="25"/>
        <v>https://drive.google.com/thumbnail?id=19xTvun6qzsNy4xAj6wKum7MQ98om515z&amp;sz=w1000</v>
      </c>
      <c r="AF487" s="90" t="s">
        <v>825</v>
      </c>
      <c r="AG487" s="90" t="str">
        <f t="shared" si="26"/>
        <v>https://drive.google.com/thumbnail?id=1zGDlAkBICsrR-ZMduYzZLDdRYy5sHjtH&amp;sz=w1000</v>
      </c>
      <c r="AH487" s="90" t="s">
        <v>841</v>
      </c>
    </row>
    <row r="488" spans="1:34" ht="22.15" customHeight="1">
      <c r="A488" s="30">
        <v>45541</v>
      </c>
      <c r="B488" s="2" t="s">
        <v>91</v>
      </c>
      <c r="C488" s="2" t="s">
        <v>94</v>
      </c>
      <c r="D488" s="16" t="str" cm="1">
        <f t="array" ref="D488">_xlfn.XLOOKUP(1, (Table1[Project Name]=Table2[[#This Row],[Project ID]])*(Table1[Plot]=Table2[[#This Row],[Plot]]), Table1[Project ID])</f>
        <v>MJ-07</v>
      </c>
      <c r="E488" s="69">
        <v>124</v>
      </c>
      <c r="F488" s="70">
        <v>486</v>
      </c>
      <c r="G488" s="69">
        <f>Table2[[#This Row],[Time Elapsed]]+Table2[[#This Row],[Time Remaining]]</f>
        <v>610</v>
      </c>
      <c r="H488" s="70" t="s">
        <v>765</v>
      </c>
      <c r="I488" s="70" t="s">
        <v>743</v>
      </c>
      <c r="J488" s="13">
        <v>6.9599999999999995E-2</v>
      </c>
      <c r="K488" s="137">
        <v>2.9899999999999999E-2</v>
      </c>
      <c r="L488" s="13">
        <f>Table2[[#This Row],[Actual %]]-Table2[[#This Row],[Plan %]]</f>
        <v>-3.9699999999999999E-2</v>
      </c>
      <c r="M488" s="144" t="s">
        <v>287</v>
      </c>
      <c r="N488" s="193">
        <v>45433</v>
      </c>
      <c r="O488" s="193">
        <v>45433</v>
      </c>
      <c r="P488" s="193"/>
      <c r="Q488" s="194">
        <v>45548</v>
      </c>
      <c r="R488" s="136" t="s">
        <v>747</v>
      </c>
      <c r="S488" s="136" t="s">
        <v>288</v>
      </c>
      <c r="T488" s="143" t="s">
        <v>746</v>
      </c>
      <c r="U488" s="199">
        <v>97238576.530000001</v>
      </c>
      <c r="V488" s="152">
        <v>0</v>
      </c>
      <c r="W488" s="36">
        <f>Table2[[#This Row],[Construction Contract Amount]]+Table2[[#This Row],[Cumulative Variations]]</f>
        <v>97238576.530000001</v>
      </c>
      <c r="X488" s="152">
        <v>3344531.65</v>
      </c>
      <c r="Y488" s="152">
        <v>0</v>
      </c>
      <c r="Z488" s="36">
        <f>Table2[[#This Row],[Final Contract Value]]+Table2[[#This Row],[Supervision Contract amount]]+Table2[[#This Row],[Authority Cost]]</f>
        <v>100583108.18000001</v>
      </c>
      <c r="AA488" s="152">
        <v>1208000</v>
      </c>
      <c r="AB488" s="36"/>
      <c r="AC488" s="102" t="str">
        <f t="shared" si="24"/>
        <v>https://drive.google.com/thumbnail?id=1dRnOElIobWmdZEkO8BRVE7TU1yvuxQXW&amp;sz=w1000</v>
      </c>
      <c r="AD488" s="90" t="s">
        <v>809</v>
      </c>
      <c r="AE488" s="103" t="str">
        <f t="shared" si="25"/>
        <v>https://drive.google.com/thumbnail?id=19xTvun6qzsNy4xAj6wKum7MQ98om515z&amp;sz=w1000</v>
      </c>
      <c r="AF488" s="90" t="s">
        <v>825</v>
      </c>
      <c r="AG488" s="90" t="str">
        <f t="shared" si="26"/>
        <v>https://drive.google.com/thumbnail?id=1zGDlAkBICsrR-ZMduYzZLDdRYy5sHjtH&amp;sz=w1000</v>
      </c>
      <c r="AH488" s="90" t="s">
        <v>841</v>
      </c>
    </row>
    <row r="489" spans="1:34" ht="22.15" customHeight="1">
      <c r="A489" s="30">
        <v>45541</v>
      </c>
      <c r="B489" s="2" t="s">
        <v>91</v>
      </c>
      <c r="C489" s="2" t="s">
        <v>94</v>
      </c>
      <c r="D489" s="16" t="str" cm="1">
        <f t="array" ref="D489">_xlfn.XLOOKUP(1, (Table1[Project Name]=Table2[[#This Row],[Project ID]])*(Table1[Plot]=Table2[[#This Row],[Plot]]), Table1[Project ID])</f>
        <v>MJ-07</v>
      </c>
      <c r="E489" s="69">
        <v>124</v>
      </c>
      <c r="F489" s="70">
        <v>486</v>
      </c>
      <c r="G489" s="69">
        <f>Table2[[#This Row],[Time Elapsed]]+Table2[[#This Row],[Time Remaining]]</f>
        <v>610</v>
      </c>
      <c r="H489" s="70" t="s">
        <v>765</v>
      </c>
      <c r="I489" s="70" t="s">
        <v>743</v>
      </c>
      <c r="J489" s="13">
        <v>6.9599999999999995E-2</v>
      </c>
      <c r="K489" s="137">
        <v>2.9899999999999999E-2</v>
      </c>
      <c r="L489" s="13">
        <f>Table2[[#This Row],[Actual %]]-Table2[[#This Row],[Plan %]]</f>
        <v>-3.9699999999999999E-2</v>
      </c>
      <c r="M489" s="144" t="s">
        <v>51</v>
      </c>
      <c r="N489" s="193">
        <v>45493</v>
      </c>
      <c r="O489" s="193"/>
      <c r="P489" s="193">
        <v>45554</v>
      </c>
      <c r="Q489" s="194">
        <v>45548</v>
      </c>
      <c r="R489" s="136" t="s">
        <v>747</v>
      </c>
      <c r="S489" s="136" t="s">
        <v>288</v>
      </c>
      <c r="T489" s="143" t="s">
        <v>746</v>
      </c>
      <c r="U489" s="199">
        <v>97238576.530000001</v>
      </c>
      <c r="V489" s="152">
        <v>0</v>
      </c>
      <c r="W489" s="36">
        <f>Table2[[#This Row],[Construction Contract Amount]]+Table2[[#This Row],[Cumulative Variations]]</f>
        <v>97238576.530000001</v>
      </c>
      <c r="X489" s="152">
        <v>3344531.65</v>
      </c>
      <c r="Y489" s="152">
        <v>0</v>
      </c>
      <c r="Z489" s="36">
        <f>Table2[[#This Row],[Final Contract Value]]+Table2[[#This Row],[Supervision Contract amount]]+Table2[[#This Row],[Authority Cost]]</f>
        <v>100583108.18000001</v>
      </c>
      <c r="AA489" s="152">
        <v>1208000</v>
      </c>
      <c r="AB489" s="36"/>
      <c r="AC489" s="102" t="str">
        <f t="shared" si="24"/>
        <v>https://drive.google.com/thumbnail?id=1dRnOElIobWmdZEkO8BRVE7TU1yvuxQXW&amp;sz=w1000</v>
      </c>
      <c r="AD489" s="90" t="s">
        <v>809</v>
      </c>
      <c r="AE489" s="103" t="str">
        <f t="shared" si="25"/>
        <v>https://drive.google.com/thumbnail?id=19xTvun6qzsNy4xAj6wKum7MQ98om515z&amp;sz=w1000</v>
      </c>
      <c r="AF489" s="90" t="s">
        <v>825</v>
      </c>
      <c r="AG489" s="90" t="str">
        <f t="shared" si="26"/>
        <v>https://drive.google.com/thumbnail?id=1zGDlAkBICsrR-ZMduYzZLDdRYy5sHjtH&amp;sz=w1000</v>
      </c>
      <c r="AH489" s="90" t="s">
        <v>841</v>
      </c>
    </row>
    <row r="490" spans="1:34" ht="22.15" customHeight="1">
      <c r="A490" s="30">
        <v>45541</v>
      </c>
      <c r="B490" s="2" t="s">
        <v>91</v>
      </c>
      <c r="C490" s="2" t="s">
        <v>94</v>
      </c>
      <c r="D490" s="16" t="str" cm="1">
        <f t="array" ref="D490">_xlfn.XLOOKUP(1, (Table1[Project Name]=Table2[[#This Row],[Project ID]])*(Table1[Plot]=Table2[[#This Row],[Plot]]), Table1[Project ID])</f>
        <v>MJ-07</v>
      </c>
      <c r="E490" s="69">
        <v>124</v>
      </c>
      <c r="F490" s="70">
        <v>486</v>
      </c>
      <c r="G490" s="69">
        <f>Table2[[#This Row],[Time Elapsed]]+Table2[[#This Row],[Time Remaining]]</f>
        <v>610</v>
      </c>
      <c r="H490" s="70" t="s">
        <v>765</v>
      </c>
      <c r="I490" s="70" t="s">
        <v>743</v>
      </c>
      <c r="J490" s="13">
        <v>6.9599999999999995E-2</v>
      </c>
      <c r="K490" s="137">
        <v>2.9899999999999999E-2</v>
      </c>
      <c r="L490" s="13">
        <f>Table2[[#This Row],[Actual %]]-Table2[[#This Row],[Plan %]]</f>
        <v>-3.9699999999999999E-2</v>
      </c>
      <c r="M490" s="144" t="s">
        <v>744</v>
      </c>
      <c r="N490" s="193">
        <v>45603</v>
      </c>
      <c r="O490" s="193"/>
      <c r="P490" s="193">
        <v>45603</v>
      </c>
      <c r="Q490" s="194">
        <v>45548</v>
      </c>
      <c r="R490" s="136" t="s">
        <v>747</v>
      </c>
      <c r="S490" s="136" t="s">
        <v>288</v>
      </c>
      <c r="T490" s="143" t="s">
        <v>746</v>
      </c>
      <c r="U490" s="199">
        <v>97238576.530000001</v>
      </c>
      <c r="V490" s="152">
        <v>0</v>
      </c>
      <c r="W490" s="36">
        <f>Table2[[#This Row],[Construction Contract Amount]]+Table2[[#This Row],[Cumulative Variations]]</f>
        <v>97238576.530000001</v>
      </c>
      <c r="X490" s="152">
        <v>3344531.65</v>
      </c>
      <c r="Y490" s="152">
        <v>0</v>
      </c>
      <c r="Z490" s="36">
        <f>Table2[[#This Row],[Final Contract Value]]+Table2[[#This Row],[Supervision Contract amount]]+Table2[[#This Row],[Authority Cost]]</f>
        <v>100583108.18000001</v>
      </c>
      <c r="AA490" s="152">
        <v>1208000</v>
      </c>
      <c r="AB490" s="36"/>
      <c r="AC490" s="102" t="str">
        <f t="shared" si="24"/>
        <v>https://drive.google.com/thumbnail?id=1dRnOElIobWmdZEkO8BRVE7TU1yvuxQXW&amp;sz=w1000</v>
      </c>
      <c r="AD490" s="90" t="s">
        <v>809</v>
      </c>
      <c r="AE490" s="103" t="str">
        <f t="shared" si="25"/>
        <v>https://drive.google.com/thumbnail?id=19xTvun6qzsNy4xAj6wKum7MQ98om515z&amp;sz=w1000</v>
      </c>
      <c r="AF490" s="90" t="s">
        <v>825</v>
      </c>
      <c r="AG490" s="90" t="str">
        <f t="shared" si="26"/>
        <v>https://drive.google.com/thumbnail?id=1zGDlAkBICsrR-ZMduYzZLDdRYy5sHjtH&amp;sz=w1000</v>
      </c>
      <c r="AH490" s="90" t="s">
        <v>841</v>
      </c>
    </row>
    <row r="491" spans="1:34" ht="22.15" customHeight="1">
      <c r="A491" s="30">
        <v>45541</v>
      </c>
      <c r="B491" s="2" t="s">
        <v>91</v>
      </c>
      <c r="C491" s="2" t="s">
        <v>94</v>
      </c>
      <c r="D491" s="16" t="str" cm="1">
        <f t="array" ref="D491">_xlfn.XLOOKUP(1, (Table1[Project Name]=Table2[[#This Row],[Project ID]])*(Table1[Plot]=Table2[[#This Row],[Plot]]), Table1[Project ID])</f>
        <v>MJ-07</v>
      </c>
      <c r="E491" s="69">
        <v>124</v>
      </c>
      <c r="F491" s="70">
        <v>486</v>
      </c>
      <c r="G491" s="69">
        <f>Table2[[#This Row],[Time Elapsed]]+Table2[[#This Row],[Time Remaining]]</f>
        <v>610</v>
      </c>
      <c r="H491" s="70" t="s">
        <v>765</v>
      </c>
      <c r="I491" s="70" t="s">
        <v>743</v>
      </c>
      <c r="J491" s="13">
        <v>6.9599999999999995E-2</v>
      </c>
      <c r="K491" s="137">
        <v>2.9899999999999999E-2</v>
      </c>
      <c r="L491" s="13">
        <f>Table2[[#This Row],[Actual %]]-Table2[[#This Row],[Plan %]]</f>
        <v>-3.9699999999999999E-2</v>
      </c>
      <c r="M491" s="144" t="s">
        <v>278</v>
      </c>
      <c r="N491" s="193">
        <v>45644</v>
      </c>
      <c r="O491" s="193"/>
      <c r="P491" s="193">
        <v>45644</v>
      </c>
      <c r="Q491" s="194">
        <v>45548</v>
      </c>
      <c r="R491" s="136" t="s">
        <v>747</v>
      </c>
      <c r="S491" s="136" t="s">
        <v>288</v>
      </c>
      <c r="T491" s="143" t="s">
        <v>746</v>
      </c>
      <c r="U491" s="199">
        <v>97238576.530000001</v>
      </c>
      <c r="V491" s="152">
        <v>0</v>
      </c>
      <c r="W491" s="36">
        <f>Table2[[#This Row],[Construction Contract Amount]]+Table2[[#This Row],[Cumulative Variations]]</f>
        <v>97238576.530000001</v>
      </c>
      <c r="X491" s="152">
        <v>3344531.65</v>
      </c>
      <c r="Y491" s="152">
        <v>0</v>
      </c>
      <c r="Z491" s="36">
        <f>Table2[[#This Row],[Final Contract Value]]+Table2[[#This Row],[Supervision Contract amount]]+Table2[[#This Row],[Authority Cost]]</f>
        <v>100583108.18000001</v>
      </c>
      <c r="AA491" s="152">
        <v>1208000</v>
      </c>
      <c r="AB491" s="36"/>
      <c r="AC491" s="102" t="str">
        <f t="shared" si="24"/>
        <v>https://drive.google.com/thumbnail?id=1dRnOElIobWmdZEkO8BRVE7TU1yvuxQXW&amp;sz=w1000</v>
      </c>
      <c r="AD491" s="90" t="s">
        <v>809</v>
      </c>
      <c r="AE491" s="103" t="str">
        <f t="shared" si="25"/>
        <v>https://drive.google.com/thumbnail?id=19xTvun6qzsNy4xAj6wKum7MQ98om515z&amp;sz=w1000</v>
      </c>
      <c r="AF491" s="90" t="s">
        <v>825</v>
      </c>
      <c r="AG491" s="90" t="str">
        <f t="shared" si="26"/>
        <v>https://drive.google.com/thumbnail?id=1zGDlAkBICsrR-ZMduYzZLDdRYy5sHjtH&amp;sz=w1000</v>
      </c>
      <c r="AH491" s="90" t="s">
        <v>841</v>
      </c>
    </row>
    <row r="492" spans="1:34" ht="22.15" customHeight="1">
      <c r="A492" s="30">
        <v>45541</v>
      </c>
      <c r="B492" s="2" t="s">
        <v>91</v>
      </c>
      <c r="C492" s="2" t="s">
        <v>94</v>
      </c>
      <c r="D492" s="16" t="str" cm="1">
        <f t="array" ref="D492">_xlfn.XLOOKUP(1, (Table1[Project Name]=Table2[[#This Row],[Project ID]])*(Table1[Plot]=Table2[[#This Row],[Plot]]), Table1[Project ID])</f>
        <v>MJ-07</v>
      </c>
      <c r="E492" s="69">
        <v>124</v>
      </c>
      <c r="F492" s="70">
        <v>486</v>
      </c>
      <c r="G492" s="69">
        <f>Table2[[#This Row],[Time Elapsed]]+Table2[[#This Row],[Time Remaining]]</f>
        <v>610</v>
      </c>
      <c r="H492" s="70" t="s">
        <v>765</v>
      </c>
      <c r="I492" s="70" t="s">
        <v>743</v>
      </c>
      <c r="J492" s="13">
        <v>6.9599999999999995E-2</v>
      </c>
      <c r="K492" s="137">
        <v>2.9899999999999999E-2</v>
      </c>
      <c r="L492" s="13">
        <f>Table2[[#This Row],[Actual %]]-Table2[[#This Row],[Plan %]]</f>
        <v>-3.9699999999999999E-2</v>
      </c>
      <c r="M492" s="144" t="s">
        <v>279</v>
      </c>
      <c r="N492" s="193">
        <v>45897</v>
      </c>
      <c r="O492" s="193"/>
      <c r="P492" s="193"/>
      <c r="Q492" s="194">
        <v>45548</v>
      </c>
      <c r="R492" s="136" t="s">
        <v>747</v>
      </c>
      <c r="S492" s="136" t="s">
        <v>288</v>
      </c>
      <c r="T492" s="143" t="s">
        <v>746</v>
      </c>
      <c r="U492" s="199">
        <v>97238576.530000001</v>
      </c>
      <c r="V492" s="152">
        <v>0</v>
      </c>
      <c r="W492" s="36">
        <f>Table2[[#This Row],[Construction Contract Amount]]+Table2[[#This Row],[Cumulative Variations]]</f>
        <v>97238576.530000001</v>
      </c>
      <c r="X492" s="152">
        <v>3344531.65</v>
      </c>
      <c r="Y492" s="152">
        <v>0</v>
      </c>
      <c r="Z492" s="36">
        <f>Table2[[#This Row],[Final Contract Value]]+Table2[[#This Row],[Supervision Contract amount]]+Table2[[#This Row],[Authority Cost]]</f>
        <v>100583108.18000001</v>
      </c>
      <c r="AA492" s="152">
        <v>1208000</v>
      </c>
      <c r="AB492" s="36"/>
      <c r="AC492" s="102" t="str">
        <f t="shared" si="24"/>
        <v>https://drive.google.com/thumbnail?id=1dRnOElIobWmdZEkO8BRVE7TU1yvuxQXW&amp;sz=w1000</v>
      </c>
      <c r="AD492" s="90" t="s">
        <v>809</v>
      </c>
      <c r="AE492" s="103" t="str">
        <f t="shared" si="25"/>
        <v>https://drive.google.com/thumbnail?id=19xTvun6qzsNy4xAj6wKum7MQ98om515z&amp;sz=w1000</v>
      </c>
      <c r="AF492" s="90" t="s">
        <v>825</v>
      </c>
      <c r="AG492" s="90" t="str">
        <f t="shared" si="26"/>
        <v>https://drive.google.com/thumbnail?id=1zGDlAkBICsrR-ZMduYzZLDdRYy5sHjtH&amp;sz=w1000</v>
      </c>
      <c r="AH492" s="90" t="s">
        <v>841</v>
      </c>
    </row>
    <row r="493" spans="1:34" ht="22.15" customHeight="1">
      <c r="A493" s="30">
        <v>45541</v>
      </c>
      <c r="B493" s="2" t="s">
        <v>91</v>
      </c>
      <c r="C493" s="2" t="s">
        <v>94</v>
      </c>
      <c r="D493" s="16" t="str" cm="1">
        <f t="array" ref="D493">_xlfn.XLOOKUP(1, (Table1[Project Name]=Table2[[#This Row],[Project ID]])*(Table1[Plot]=Table2[[#This Row],[Plot]]), Table1[Project ID])</f>
        <v>MJ-07</v>
      </c>
      <c r="E493" s="69">
        <v>124</v>
      </c>
      <c r="F493" s="70">
        <v>486</v>
      </c>
      <c r="G493" s="69">
        <f>Table2[[#This Row],[Time Elapsed]]+Table2[[#This Row],[Time Remaining]]</f>
        <v>610</v>
      </c>
      <c r="H493" s="70" t="s">
        <v>765</v>
      </c>
      <c r="I493" s="70" t="s">
        <v>743</v>
      </c>
      <c r="J493" s="13">
        <v>6.9599999999999995E-2</v>
      </c>
      <c r="K493" s="137">
        <v>2.9899999999999999E-2</v>
      </c>
      <c r="L493" s="13">
        <f>Table2[[#This Row],[Actual %]]-Table2[[#This Row],[Plan %]]</f>
        <v>-3.9699999999999999E-2</v>
      </c>
      <c r="M493" s="144" t="s">
        <v>289</v>
      </c>
      <c r="N493" s="193">
        <v>45965</v>
      </c>
      <c r="O493" s="193"/>
      <c r="P493" s="193">
        <v>45965</v>
      </c>
      <c r="Q493" s="194">
        <v>45548</v>
      </c>
      <c r="R493" s="136" t="s">
        <v>747</v>
      </c>
      <c r="S493" s="136" t="s">
        <v>288</v>
      </c>
      <c r="T493" s="143" t="s">
        <v>746</v>
      </c>
      <c r="U493" s="199">
        <v>97238576.530000001</v>
      </c>
      <c r="V493" s="152">
        <v>0</v>
      </c>
      <c r="W493" s="36">
        <f>Table2[[#This Row],[Construction Contract Amount]]+Table2[[#This Row],[Cumulative Variations]]</f>
        <v>97238576.530000001</v>
      </c>
      <c r="X493" s="152">
        <v>3344531.65</v>
      </c>
      <c r="Y493" s="152">
        <v>0</v>
      </c>
      <c r="Z493" s="36">
        <f>Table2[[#This Row],[Final Contract Value]]+Table2[[#This Row],[Supervision Contract amount]]+Table2[[#This Row],[Authority Cost]]</f>
        <v>100583108.18000001</v>
      </c>
      <c r="AA493" s="152">
        <v>1208000</v>
      </c>
      <c r="AB493" s="36"/>
      <c r="AC493" s="102" t="str">
        <f t="shared" si="24"/>
        <v>https://drive.google.com/thumbnail?id=1dRnOElIobWmdZEkO8BRVE7TU1yvuxQXW&amp;sz=w1000</v>
      </c>
      <c r="AD493" s="90" t="s">
        <v>809</v>
      </c>
      <c r="AE493" s="103" t="str">
        <f t="shared" si="25"/>
        <v>https://drive.google.com/thumbnail?id=19xTvun6qzsNy4xAj6wKum7MQ98om515z&amp;sz=w1000</v>
      </c>
      <c r="AF493" s="90" t="s">
        <v>825</v>
      </c>
      <c r="AG493" s="90" t="str">
        <f t="shared" si="26"/>
        <v>https://drive.google.com/thumbnail?id=1zGDlAkBICsrR-ZMduYzZLDdRYy5sHjtH&amp;sz=w1000</v>
      </c>
      <c r="AH493" s="90" t="s">
        <v>841</v>
      </c>
    </row>
    <row r="494" spans="1:34" ht="22.15" customHeight="1">
      <c r="A494" s="30">
        <v>45541</v>
      </c>
      <c r="B494" s="2" t="s">
        <v>91</v>
      </c>
      <c r="C494" s="2" t="s">
        <v>94</v>
      </c>
      <c r="D494" s="16" t="str" cm="1">
        <f t="array" ref="D494">_xlfn.XLOOKUP(1, (Table1[Project Name]=Table2[[#This Row],[Project ID]])*(Table1[Plot]=Table2[[#This Row],[Plot]]), Table1[Project ID])</f>
        <v>MJ-07</v>
      </c>
      <c r="E494" s="69">
        <v>124</v>
      </c>
      <c r="F494" s="70">
        <v>486</v>
      </c>
      <c r="G494" s="69">
        <f>Table2[[#This Row],[Time Elapsed]]+Table2[[#This Row],[Time Remaining]]</f>
        <v>610</v>
      </c>
      <c r="H494" s="70" t="s">
        <v>765</v>
      </c>
      <c r="I494" s="70" t="s">
        <v>743</v>
      </c>
      <c r="J494" s="13">
        <v>6.9599999999999995E-2</v>
      </c>
      <c r="K494" s="137">
        <v>2.9899999999999999E-2</v>
      </c>
      <c r="L494" s="13">
        <f>Table2[[#This Row],[Actual %]]-Table2[[#This Row],[Plan %]]</f>
        <v>-3.9699999999999999E-2</v>
      </c>
      <c r="M494" s="144" t="s">
        <v>290</v>
      </c>
      <c r="N494" s="193">
        <v>45983</v>
      </c>
      <c r="O494" s="193"/>
      <c r="P494" s="193">
        <v>45983</v>
      </c>
      <c r="Q494" s="194">
        <v>45548</v>
      </c>
      <c r="R494" s="136" t="s">
        <v>747</v>
      </c>
      <c r="S494" s="136" t="s">
        <v>288</v>
      </c>
      <c r="T494" s="143" t="s">
        <v>746</v>
      </c>
      <c r="U494" s="199">
        <v>97238576.530000001</v>
      </c>
      <c r="V494" s="152">
        <v>0</v>
      </c>
      <c r="W494" s="36">
        <f>Table2[[#This Row],[Construction Contract Amount]]+Table2[[#This Row],[Cumulative Variations]]</f>
        <v>97238576.530000001</v>
      </c>
      <c r="X494" s="152">
        <v>3344531.65</v>
      </c>
      <c r="Y494" s="152">
        <v>0</v>
      </c>
      <c r="Z494" s="36">
        <f>Table2[[#This Row],[Final Contract Value]]+Table2[[#This Row],[Supervision Contract amount]]+Table2[[#This Row],[Authority Cost]]</f>
        <v>100583108.18000001</v>
      </c>
      <c r="AA494" s="152">
        <v>1208000</v>
      </c>
      <c r="AB494" s="36"/>
      <c r="AC494" s="102" t="str">
        <f t="shared" si="24"/>
        <v>https://drive.google.com/thumbnail?id=1dRnOElIobWmdZEkO8BRVE7TU1yvuxQXW&amp;sz=w1000</v>
      </c>
      <c r="AD494" s="90" t="s">
        <v>809</v>
      </c>
      <c r="AE494" s="103" t="str">
        <f t="shared" si="25"/>
        <v>https://drive.google.com/thumbnail?id=19xTvun6qzsNy4xAj6wKum7MQ98om515z&amp;sz=w1000</v>
      </c>
      <c r="AF494" s="90" t="s">
        <v>825</v>
      </c>
      <c r="AG494" s="90" t="str">
        <f t="shared" si="26"/>
        <v>https://drive.google.com/thumbnail?id=1zGDlAkBICsrR-ZMduYzZLDdRYy5sHjtH&amp;sz=w1000</v>
      </c>
      <c r="AH494" s="90" t="s">
        <v>841</v>
      </c>
    </row>
    <row r="495" spans="1:34" ht="22.15" customHeight="1">
      <c r="A495" s="30">
        <v>45541</v>
      </c>
      <c r="B495" s="2" t="s">
        <v>91</v>
      </c>
      <c r="C495" s="2" t="s">
        <v>94</v>
      </c>
      <c r="D495" s="16" t="str" cm="1">
        <f t="array" ref="D495">_xlfn.XLOOKUP(1, (Table1[Project Name]=Table2[[#This Row],[Project ID]])*(Table1[Plot]=Table2[[#This Row],[Plot]]), Table1[Project ID])</f>
        <v>MJ-07</v>
      </c>
      <c r="E495" s="69">
        <v>124</v>
      </c>
      <c r="F495" s="70">
        <v>486</v>
      </c>
      <c r="G495" s="69">
        <f>Table2[[#This Row],[Time Elapsed]]+Table2[[#This Row],[Time Remaining]]</f>
        <v>610</v>
      </c>
      <c r="H495" s="70" t="s">
        <v>765</v>
      </c>
      <c r="I495" s="70" t="s">
        <v>743</v>
      </c>
      <c r="J495" s="13">
        <v>6.9599999999999995E-2</v>
      </c>
      <c r="K495" s="137">
        <v>2.9899999999999999E-2</v>
      </c>
      <c r="L495" s="13">
        <f>Table2[[#This Row],[Actual %]]-Table2[[#This Row],[Plan %]]</f>
        <v>-3.9699999999999999E-2</v>
      </c>
      <c r="M495" s="144" t="s">
        <v>291</v>
      </c>
      <c r="N495" s="193">
        <v>45983</v>
      </c>
      <c r="O495" s="193"/>
      <c r="P495" s="193">
        <v>45983</v>
      </c>
      <c r="Q495" s="194">
        <v>45548</v>
      </c>
      <c r="R495" s="136" t="s">
        <v>747</v>
      </c>
      <c r="S495" s="136" t="s">
        <v>288</v>
      </c>
      <c r="T495" s="143" t="s">
        <v>746</v>
      </c>
      <c r="U495" s="199">
        <v>97238576.530000001</v>
      </c>
      <c r="V495" s="152">
        <v>0</v>
      </c>
      <c r="W495" s="36">
        <f>Table2[[#This Row],[Construction Contract Amount]]+Table2[[#This Row],[Cumulative Variations]]</f>
        <v>97238576.530000001</v>
      </c>
      <c r="X495" s="152">
        <v>3344531.65</v>
      </c>
      <c r="Y495" s="152">
        <v>0</v>
      </c>
      <c r="Z495" s="36">
        <f>Table2[[#This Row],[Final Contract Value]]+Table2[[#This Row],[Supervision Contract amount]]+Table2[[#This Row],[Authority Cost]]</f>
        <v>100583108.18000001</v>
      </c>
      <c r="AA495" s="152">
        <v>1208000</v>
      </c>
      <c r="AB495" s="36"/>
      <c r="AC495" s="102" t="str">
        <f t="shared" si="24"/>
        <v>https://drive.google.com/thumbnail?id=1dRnOElIobWmdZEkO8BRVE7TU1yvuxQXW&amp;sz=w1000</v>
      </c>
      <c r="AD495" s="90" t="s">
        <v>809</v>
      </c>
      <c r="AE495" s="103" t="str">
        <f t="shared" si="25"/>
        <v>https://drive.google.com/thumbnail?id=19xTvun6qzsNy4xAj6wKum7MQ98om515z&amp;sz=w1000</v>
      </c>
      <c r="AF495" s="90" t="s">
        <v>825</v>
      </c>
      <c r="AG495" s="90" t="str">
        <f t="shared" si="26"/>
        <v>https://drive.google.com/thumbnail?id=1zGDlAkBICsrR-ZMduYzZLDdRYy5sHjtH&amp;sz=w1000</v>
      </c>
      <c r="AH495" s="90" t="s">
        <v>841</v>
      </c>
    </row>
    <row r="496" spans="1:34" ht="22.15" customHeight="1">
      <c r="A496" s="30">
        <v>45541</v>
      </c>
      <c r="B496" s="2" t="s">
        <v>91</v>
      </c>
      <c r="C496" s="2" t="s">
        <v>94</v>
      </c>
      <c r="D496" s="16" t="str" cm="1">
        <f t="array" ref="D496">_xlfn.XLOOKUP(1, (Table1[Project Name]=Table2[[#This Row],[Project ID]])*(Table1[Plot]=Table2[[#This Row],[Plot]]), Table1[Project ID])</f>
        <v>MJ-07</v>
      </c>
      <c r="E496" s="69">
        <v>124</v>
      </c>
      <c r="F496" s="70">
        <v>486</v>
      </c>
      <c r="G496" s="69">
        <f>Table2[[#This Row],[Time Elapsed]]+Table2[[#This Row],[Time Remaining]]</f>
        <v>610</v>
      </c>
      <c r="H496" s="70" t="s">
        <v>765</v>
      </c>
      <c r="I496" s="70" t="s">
        <v>743</v>
      </c>
      <c r="J496" s="13">
        <v>6.9599999999999995E-2</v>
      </c>
      <c r="K496" s="137">
        <v>2.9899999999999999E-2</v>
      </c>
      <c r="L496" s="13">
        <f>Table2[[#This Row],[Actual %]]-Table2[[#This Row],[Plan %]]</f>
        <v>-3.9699999999999999E-2</v>
      </c>
      <c r="M496" s="144" t="s">
        <v>284</v>
      </c>
      <c r="N496" s="193">
        <v>46006</v>
      </c>
      <c r="O496" s="193"/>
      <c r="P496" s="193">
        <v>46006</v>
      </c>
      <c r="Q496" s="194">
        <v>45548</v>
      </c>
      <c r="R496" s="136" t="s">
        <v>747</v>
      </c>
      <c r="S496" s="136" t="s">
        <v>288</v>
      </c>
      <c r="T496" s="143" t="s">
        <v>746</v>
      </c>
      <c r="U496" s="199">
        <v>97238576.530000001</v>
      </c>
      <c r="V496" s="152">
        <v>0</v>
      </c>
      <c r="W496" s="36">
        <f>Table2[[#This Row],[Construction Contract Amount]]+Table2[[#This Row],[Cumulative Variations]]</f>
        <v>97238576.530000001</v>
      </c>
      <c r="X496" s="152">
        <v>3344531.65</v>
      </c>
      <c r="Y496" s="152">
        <v>0</v>
      </c>
      <c r="Z496" s="36">
        <f>Table2[[#This Row],[Final Contract Value]]+Table2[[#This Row],[Supervision Contract amount]]+Table2[[#This Row],[Authority Cost]]</f>
        <v>100583108.18000001</v>
      </c>
      <c r="AA496" s="152">
        <v>1208000</v>
      </c>
      <c r="AB496" s="36"/>
      <c r="AC496" s="102" t="str">
        <f t="shared" si="24"/>
        <v>https://drive.google.com/thumbnail?id=1dRnOElIobWmdZEkO8BRVE7TU1yvuxQXW&amp;sz=w1000</v>
      </c>
      <c r="AD496" s="90" t="s">
        <v>809</v>
      </c>
      <c r="AE496" s="103" t="str">
        <f t="shared" si="25"/>
        <v>https://drive.google.com/thumbnail?id=19xTvun6qzsNy4xAj6wKum7MQ98om515z&amp;sz=w1000</v>
      </c>
      <c r="AF496" s="90" t="s">
        <v>825</v>
      </c>
      <c r="AG496" s="90" t="str">
        <f t="shared" si="26"/>
        <v>https://drive.google.com/thumbnail?id=1zGDlAkBICsrR-ZMduYzZLDdRYy5sHjtH&amp;sz=w1000</v>
      </c>
      <c r="AH496" s="90" t="s">
        <v>841</v>
      </c>
    </row>
    <row r="497" spans="1:34" ht="22.15" customHeight="1">
      <c r="A497" s="30">
        <v>45541</v>
      </c>
      <c r="B497" s="17" t="s">
        <v>111</v>
      </c>
      <c r="C497" s="2" t="s">
        <v>11</v>
      </c>
      <c r="D497" s="16" t="str" cm="1">
        <f t="array" ref="D497">_xlfn.XLOOKUP(1, (Table1[Project Name]=Table2[[#This Row],[Project ID]])*(Table1[Plot]=Table2[[#This Row],[Plot]]), Table1[Project ID])</f>
        <v>MJ-12</v>
      </c>
      <c r="E497" s="69">
        <v>60</v>
      </c>
      <c r="F497" s="70">
        <v>548</v>
      </c>
      <c r="G497" s="69">
        <f>Table2[[#This Row],[Time Elapsed]]+Table2[[#This Row],[Time Remaining]]</f>
        <v>608</v>
      </c>
      <c r="H497" s="70" t="s">
        <v>679</v>
      </c>
      <c r="I497" s="70"/>
      <c r="J497" s="13">
        <v>1.5599999999999999E-2</v>
      </c>
      <c r="K497" s="137">
        <v>1.38E-2</v>
      </c>
      <c r="L497" s="13">
        <f>Table2[[#This Row],[Actual %]]-Table2[[#This Row],[Plan %]]</f>
        <v>-1.7999999999999995E-3</v>
      </c>
      <c r="M497" s="144" t="s">
        <v>28</v>
      </c>
      <c r="N497" s="193">
        <v>45489</v>
      </c>
      <c r="O497" s="193"/>
      <c r="P497" s="193"/>
      <c r="Q497" s="194">
        <v>45548</v>
      </c>
      <c r="R497" s="146" t="s">
        <v>791</v>
      </c>
      <c r="S497" s="146" t="s">
        <v>792</v>
      </c>
      <c r="T497" s="196" t="s">
        <v>793</v>
      </c>
      <c r="U497" s="156">
        <v>116841278.45383713</v>
      </c>
      <c r="V497" s="154">
        <v>0</v>
      </c>
      <c r="W497" s="36">
        <f>Table2[[#This Row],[Construction Contract Amount]]+Table2[[#This Row],[Cumulative Variations]]</f>
        <v>116841278.45383713</v>
      </c>
      <c r="X497" s="158">
        <v>3229333.33</v>
      </c>
      <c r="Y497" s="201"/>
      <c r="Z497" s="36">
        <f>Table2[[#This Row],[Final Contract Value]]+Table2[[#This Row],[Supervision Contract amount]]+Table2[[#This Row],[Authority Cost]]</f>
        <v>120070611.78383712</v>
      </c>
      <c r="AA497" s="36"/>
      <c r="AB497" s="154">
        <v>56109.376666666598</v>
      </c>
      <c r="AC497" s="102" t="str">
        <f t="shared" si="24"/>
        <v>https://drive.google.com/thumbnail?id=1hU_NG6jWFnAFsctWfxIixSLdfdg-2vbM&amp;sz=w1000</v>
      </c>
      <c r="AD497" s="90" t="s">
        <v>810</v>
      </c>
      <c r="AE497" s="103" t="str">
        <f t="shared" si="25"/>
        <v>https://drive.google.com/thumbnail?id=1AjudEJfSeA5pObV4i_-2eZywBMH4FjUH&amp;sz=w1000</v>
      </c>
      <c r="AF497" s="90" t="s">
        <v>826</v>
      </c>
      <c r="AG497" s="90" t="str">
        <f t="shared" si="26"/>
        <v>https://drive.google.com/thumbnail?id=1PBCEYtD7A6r3bmKeU8hWJH7w8BXVVzH1&amp;sz=w1000</v>
      </c>
      <c r="AH497" s="90" t="s">
        <v>842</v>
      </c>
    </row>
    <row r="498" spans="1:34" ht="22.15" customHeight="1">
      <c r="A498" s="30">
        <v>45541</v>
      </c>
      <c r="B498" s="17" t="s">
        <v>111</v>
      </c>
      <c r="C498" s="2" t="s">
        <v>11</v>
      </c>
      <c r="D498" s="16" t="str" cm="1">
        <f t="array" ref="D498">_xlfn.XLOOKUP(1, (Table1[Project Name]=Table2[[#This Row],[Project ID]])*(Table1[Plot]=Table2[[#This Row],[Plot]]), Table1[Project ID])</f>
        <v>MJ-12</v>
      </c>
      <c r="E498" s="69">
        <v>60</v>
      </c>
      <c r="F498" s="70">
        <v>548</v>
      </c>
      <c r="G498" s="69">
        <f>Table2[[#This Row],[Time Elapsed]]+Table2[[#This Row],[Time Remaining]]</f>
        <v>608</v>
      </c>
      <c r="H498" s="70" t="s">
        <v>679</v>
      </c>
      <c r="I498" s="70"/>
      <c r="J498" s="13">
        <v>1.5599999999999999E-2</v>
      </c>
      <c r="K498" s="137">
        <v>1.38E-2</v>
      </c>
      <c r="L498" s="13">
        <f>Table2[[#This Row],[Actual %]]-Table2[[#This Row],[Plan %]]</f>
        <v>-1.7999999999999995E-3</v>
      </c>
      <c r="M498" s="144" t="s">
        <v>50</v>
      </c>
      <c r="N498" s="193"/>
      <c r="O498" s="193"/>
      <c r="P498" s="193"/>
      <c r="Q498" s="194">
        <v>45548</v>
      </c>
      <c r="R498" s="146" t="s">
        <v>791</v>
      </c>
      <c r="S498" s="146" t="s">
        <v>792</v>
      </c>
      <c r="T498" s="196" t="s">
        <v>793</v>
      </c>
      <c r="U498" s="156">
        <v>116841278.45383713</v>
      </c>
      <c r="V498" s="154">
        <v>0</v>
      </c>
      <c r="W498" s="36">
        <f>Table2[[#This Row],[Construction Contract Amount]]+Table2[[#This Row],[Cumulative Variations]]</f>
        <v>116841278.45383713</v>
      </c>
      <c r="X498" s="158">
        <v>3229333.33</v>
      </c>
      <c r="Y498" s="201"/>
      <c r="Z498" s="36">
        <f>Table2[[#This Row],[Final Contract Value]]+Table2[[#This Row],[Supervision Contract amount]]+Table2[[#This Row],[Authority Cost]]</f>
        <v>120070611.78383712</v>
      </c>
      <c r="AA498" s="36"/>
      <c r="AB498" s="154">
        <v>56109.376666666598</v>
      </c>
      <c r="AC498" s="102" t="str">
        <f t="shared" si="24"/>
        <v>https://drive.google.com/thumbnail?id=1hU_NG6jWFnAFsctWfxIixSLdfdg-2vbM&amp;sz=w1000</v>
      </c>
      <c r="AD498" s="90" t="s">
        <v>810</v>
      </c>
      <c r="AE498" s="103" t="str">
        <f t="shared" si="25"/>
        <v>https://drive.google.com/thumbnail?id=1AjudEJfSeA5pObV4i_-2eZywBMH4FjUH&amp;sz=w1000</v>
      </c>
      <c r="AF498" s="90" t="s">
        <v>826</v>
      </c>
      <c r="AG498" s="90" t="str">
        <f t="shared" si="26"/>
        <v>https://drive.google.com/thumbnail?id=1PBCEYtD7A6r3bmKeU8hWJH7w8BXVVzH1&amp;sz=w1000</v>
      </c>
      <c r="AH498" s="90" t="s">
        <v>842</v>
      </c>
    </row>
    <row r="499" spans="1:34" ht="22.15" customHeight="1">
      <c r="A499" s="30">
        <v>45541</v>
      </c>
      <c r="B499" s="17" t="s">
        <v>111</v>
      </c>
      <c r="C499" s="2" t="s">
        <v>11</v>
      </c>
      <c r="D499" s="16" t="str" cm="1">
        <f t="array" ref="D499">_xlfn.XLOOKUP(1, (Table1[Project Name]=Table2[[#This Row],[Project ID]])*(Table1[Plot]=Table2[[#This Row],[Plot]]), Table1[Project ID])</f>
        <v>MJ-12</v>
      </c>
      <c r="E499" s="69">
        <v>60</v>
      </c>
      <c r="F499" s="70">
        <v>548</v>
      </c>
      <c r="G499" s="69">
        <f>Table2[[#This Row],[Time Elapsed]]+Table2[[#This Row],[Time Remaining]]</f>
        <v>608</v>
      </c>
      <c r="H499" s="70" t="s">
        <v>679</v>
      </c>
      <c r="I499" s="70"/>
      <c r="J499" s="13">
        <v>1.5599999999999999E-2</v>
      </c>
      <c r="K499" s="137">
        <v>1.38E-2</v>
      </c>
      <c r="L499" s="13">
        <f>Table2[[#This Row],[Actual %]]-Table2[[#This Row],[Plan %]]</f>
        <v>-1.7999999999999995E-3</v>
      </c>
      <c r="M499" s="144" t="s">
        <v>51</v>
      </c>
      <c r="N499" s="193"/>
      <c r="O499" s="193"/>
      <c r="P499" s="193"/>
      <c r="Q499" s="194">
        <v>45548</v>
      </c>
      <c r="R499" s="146" t="s">
        <v>791</v>
      </c>
      <c r="S499" s="146" t="s">
        <v>792</v>
      </c>
      <c r="T499" s="196" t="s">
        <v>793</v>
      </c>
      <c r="U499" s="156">
        <v>116841278.45383713</v>
      </c>
      <c r="V499" s="154">
        <v>0</v>
      </c>
      <c r="W499" s="36">
        <f>Table2[[#This Row],[Construction Contract Amount]]+Table2[[#This Row],[Cumulative Variations]]</f>
        <v>116841278.45383713</v>
      </c>
      <c r="X499" s="158">
        <v>3229333.33</v>
      </c>
      <c r="Y499" s="201"/>
      <c r="Z499" s="36">
        <f>Table2[[#This Row],[Final Contract Value]]+Table2[[#This Row],[Supervision Contract amount]]+Table2[[#This Row],[Authority Cost]]</f>
        <v>120070611.78383712</v>
      </c>
      <c r="AA499" s="36"/>
      <c r="AB499" s="154">
        <v>56109.376666666598</v>
      </c>
      <c r="AC499" s="102" t="str">
        <f t="shared" si="24"/>
        <v>https://drive.google.com/thumbnail?id=1hU_NG6jWFnAFsctWfxIixSLdfdg-2vbM&amp;sz=w1000</v>
      </c>
      <c r="AD499" s="90" t="s">
        <v>810</v>
      </c>
      <c r="AE499" s="103" t="str">
        <f t="shared" si="25"/>
        <v>https://drive.google.com/thumbnail?id=1AjudEJfSeA5pObV4i_-2eZywBMH4FjUH&amp;sz=w1000</v>
      </c>
      <c r="AF499" s="90" t="s">
        <v>826</v>
      </c>
      <c r="AG499" s="90" t="str">
        <f t="shared" si="26"/>
        <v>https://drive.google.com/thumbnail?id=1PBCEYtD7A6r3bmKeU8hWJH7w8BXVVzH1&amp;sz=w1000</v>
      </c>
      <c r="AH499" s="90" t="s">
        <v>842</v>
      </c>
    </row>
    <row r="500" spans="1:34" ht="22.15" customHeight="1">
      <c r="A500" s="30">
        <v>45541</v>
      </c>
      <c r="B500" s="17" t="s">
        <v>111</v>
      </c>
      <c r="C500" s="2" t="s">
        <v>11</v>
      </c>
      <c r="D500" s="16" t="str" cm="1">
        <f t="array" ref="D500">_xlfn.XLOOKUP(1, (Table1[Project Name]=Table2[[#This Row],[Project ID]])*(Table1[Plot]=Table2[[#This Row],[Plot]]), Table1[Project ID])</f>
        <v>MJ-12</v>
      </c>
      <c r="E500" s="69">
        <v>60</v>
      </c>
      <c r="F500" s="70">
        <v>548</v>
      </c>
      <c r="G500" s="69">
        <f>Table2[[#This Row],[Time Elapsed]]+Table2[[#This Row],[Time Remaining]]</f>
        <v>608</v>
      </c>
      <c r="H500" s="70" t="s">
        <v>679</v>
      </c>
      <c r="I500" s="70"/>
      <c r="J500" s="13">
        <v>1.5599999999999999E-2</v>
      </c>
      <c r="K500" s="137">
        <v>1.38E-2</v>
      </c>
      <c r="L500" s="13">
        <f>Table2[[#This Row],[Actual %]]-Table2[[#This Row],[Plan %]]</f>
        <v>-1.7999999999999995E-3</v>
      </c>
      <c r="M500" s="144" t="s">
        <v>275</v>
      </c>
      <c r="N500" s="193"/>
      <c r="O500" s="193"/>
      <c r="P500" s="193"/>
      <c r="Q500" s="194">
        <v>45548</v>
      </c>
      <c r="R500" s="146" t="s">
        <v>791</v>
      </c>
      <c r="S500" s="146" t="s">
        <v>792</v>
      </c>
      <c r="T500" s="196" t="s">
        <v>793</v>
      </c>
      <c r="U500" s="156">
        <v>116841278.45383713</v>
      </c>
      <c r="V500" s="154">
        <v>0</v>
      </c>
      <c r="W500" s="36">
        <f>Table2[[#This Row],[Construction Contract Amount]]+Table2[[#This Row],[Cumulative Variations]]</f>
        <v>116841278.45383713</v>
      </c>
      <c r="X500" s="158">
        <v>3229333.33</v>
      </c>
      <c r="Y500" s="201"/>
      <c r="Z500" s="36">
        <f>Table2[[#This Row],[Final Contract Value]]+Table2[[#This Row],[Supervision Contract amount]]+Table2[[#This Row],[Authority Cost]]</f>
        <v>120070611.78383712</v>
      </c>
      <c r="AA500" s="36"/>
      <c r="AB500" s="154">
        <v>56109.376666666598</v>
      </c>
      <c r="AC500" s="102" t="str">
        <f t="shared" si="24"/>
        <v>https://drive.google.com/thumbnail?id=1hU_NG6jWFnAFsctWfxIixSLdfdg-2vbM&amp;sz=w1000</v>
      </c>
      <c r="AD500" s="90" t="s">
        <v>810</v>
      </c>
      <c r="AE500" s="103" t="str">
        <f t="shared" si="25"/>
        <v>https://drive.google.com/thumbnail?id=1AjudEJfSeA5pObV4i_-2eZywBMH4FjUH&amp;sz=w1000</v>
      </c>
      <c r="AF500" s="90" t="s">
        <v>826</v>
      </c>
      <c r="AG500" s="90" t="str">
        <f t="shared" si="26"/>
        <v>https://drive.google.com/thumbnail?id=1PBCEYtD7A6r3bmKeU8hWJH7w8BXVVzH1&amp;sz=w1000</v>
      </c>
      <c r="AH500" s="90" t="s">
        <v>842</v>
      </c>
    </row>
    <row r="501" spans="1:34" ht="22.15" customHeight="1">
      <c r="A501" s="30">
        <v>45541</v>
      </c>
      <c r="B501" s="17" t="s">
        <v>111</v>
      </c>
      <c r="C501" s="2" t="s">
        <v>11</v>
      </c>
      <c r="D501" s="16" t="str" cm="1">
        <f t="array" ref="D501">_xlfn.XLOOKUP(1, (Table1[Project Name]=Table2[[#This Row],[Project ID]])*(Table1[Plot]=Table2[[#This Row],[Plot]]), Table1[Project ID])</f>
        <v>MJ-12</v>
      </c>
      <c r="E501" s="69">
        <v>60</v>
      </c>
      <c r="F501" s="70">
        <v>548</v>
      </c>
      <c r="G501" s="69">
        <f>Table2[[#This Row],[Time Elapsed]]+Table2[[#This Row],[Time Remaining]]</f>
        <v>608</v>
      </c>
      <c r="H501" s="70" t="s">
        <v>679</v>
      </c>
      <c r="I501" s="70"/>
      <c r="J501" s="13">
        <v>1.5599999999999999E-2</v>
      </c>
      <c r="K501" s="137">
        <v>1.38E-2</v>
      </c>
      <c r="L501" s="13">
        <f>Table2[[#This Row],[Actual %]]-Table2[[#This Row],[Plan %]]</f>
        <v>-1.7999999999999995E-3</v>
      </c>
      <c r="M501" s="144" t="s">
        <v>276</v>
      </c>
      <c r="N501" s="193"/>
      <c r="O501" s="193"/>
      <c r="P501" s="193"/>
      <c r="Q501" s="194">
        <v>45548</v>
      </c>
      <c r="R501" s="146" t="s">
        <v>791</v>
      </c>
      <c r="S501" s="146" t="s">
        <v>792</v>
      </c>
      <c r="T501" s="196" t="s">
        <v>793</v>
      </c>
      <c r="U501" s="156">
        <v>116841278.45383713</v>
      </c>
      <c r="V501" s="154">
        <v>0</v>
      </c>
      <c r="W501" s="36">
        <f>Table2[[#This Row],[Construction Contract Amount]]+Table2[[#This Row],[Cumulative Variations]]</f>
        <v>116841278.45383713</v>
      </c>
      <c r="X501" s="158">
        <v>3229333.33</v>
      </c>
      <c r="Y501" s="201"/>
      <c r="Z501" s="36">
        <f>Table2[[#This Row],[Final Contract Value]]+Table2[[#This Row],[Supervision Contract amount]]+Table2[[#This Row],[Authority Cost]]</f>
        <v>120070611.78383712</v>
      </c>
      <c r="AA501" s="36"/>
      <c r="AB501" s="154">
        <v>56109.376666666598</v>
      </c>
      <c r="AC501" s="102" t="str">
        <f t="shared" si="24"/>
        <v>https://drive.google.com/thumbnail?id=1hU_NG6jWFnAFsctWfxIixSLdfdg-2vbM&amp;sz=w1000</v>
      </c>
      <c r="AD501" s="90" t="s">
        <v>810</v>
      </c>
      <c r="AE501" s="103" t="str">
        <f t="shared" si="25"/>
        <v>https://drive.google.com/thumbnail?id=1AjudEJfSeA5pObV4i_-2eZywBMH4FjUH&amp;sz=w1000</v>
      </c>
      <c r="AF501" s="90" t="s">
        <v>826</v>
      </c>
      <c r="AG501" s="90" t="str">
        <f t="shared" si="26"/>
        <v>https://drive.google.com/thumbnail?id=1PBCEYtD7A6r3bmKeU8hWJH7w8BXVVzH1&amp;sz=w1000</v>
      </c>
      <c r="AH501" s="90" t="s">
        <v>842</v>
      </c>
    </row>
    <row r="502" spans="1:34" ht="22.15" customHeight="1">
      <c r="A502" s="30">
        <v>45541</v>
      </c>
      <c r="B502" s="17" t="s">
        <v>111</v>
      </c>
      <c r="C502" s="2" t="s">
        <v>11</v>
      </c>
      <c r="D502" s="16" t="str" cm="1">
        <f t="array" ref="D502">_xlfn.XLOOKUP(1, (Table1[Project Name]=Table2[[#This Row],[Project ID]])*(Table1[Plot]=Table2[[#This Row],[Plot]]), Table1[Project ID])</f>
        <v>MJ-12</v>
      </c>
      <c r="E502" s="69">
        <v>60</v>
      </c>
      <c r="F502" s="70">
        <v>548</v>
      </c>
      <c r="G502" s="69">
        <f>Table2[[#This Row],[Time Elapsed]]+Table2[[#This Row],[Time Remaining]]</f>
        <v>608</v>
      </c>
      <c r="H502" s="70" t="s">
        <v>679</v>
      </c>
      <c r="I502" s="70"/>
      <c r="J502" s="13">
        <v>1.5599999999999999E-2</v>
      </c>
      <c r="K502" s="137">
        <v>1.38E-2</v>
      </c>
      <c r="L502" s="13">
        <f>Table2[[#This Row],[Actual %]]-Table2[[#This Row],[Plan %]]</f>
        <v>-1.7999999999999995E-3</v>
      </c>
      <c r="M502" s="144" t="s">
        <v>277</v>
      </c>
      <c r="N502" s="193"/>
      <c r="O502" s="193"/>
      <c r="P502" s="193"/>
      <c r="Q502" s="194">
        <v>45548</v>
      </c>
      <c r="R502" s="146" t="s">
        <v>791</v>
      </c>
      <c r="S502" s="146" t="s">
        <v>792</v>
      </c>
      <c r="T502" s="196" t="s">
        <v>793</v>
      </c>
      <c r="U502" s="156">
        <v>116841278.45383713</v>
      </c>
      <c r="V502" s="154">
        <v>0</v>
      </c>
      <c r="W502" s="36">
        <f>Table2[[#This Row],[Construction Contract Amount]]+Table2[[#This Row],[Cumulative Variations]]</f>
        <v>116841278.45383713</v>
      </c>
      <c r="X502" s="158">
        <v>3229333.33</v>
      </c>
      <c r="Y502" s="201"/>
      <c r="Z502" s="36">
        <f>Table2[[#This Row],[Final Contract Value]]+Table2[[#This Row],[Supervision Contract amount]]+Table2[[#This Row],[Authority Cost]]</f>
        <v>120070611.78383712</v>
      </c>
      <c r="AA502" s="36"/>
      <c r="AB502" s="154">
        <v>56109.376666666598</v>
      </c>
      <c r="AC502" s="102" t="str">
        <f t="shared" si="24"/>
        <v>https://drive.google.com/thumbnail?id=1hU_NG6jWFnAFsctWfxIixSLdfdg-2vbM&amp;sz=w1000</v>
      </c>
      <c r="AD502" s="90" t="s">
        <v>810</v>
      </c>
      <c r="AE502" s="103" t="str">
        <f t="shared" si="25"/>
        <v>https://drive.google.com/thumbnail?id=1AjudEJfSeA5pObV4i_-2eZywBMH4FjUH&amp;sz=w1000</v>
      </c>
      <c r="AF502" s="90" t="s">
        <v>826</v>
      </c>
      <c r="AG502" s="90" t="str">
        <f t="shared" si="26"/>
        <v>https://drive.google.com/thumbnail?id=1PBCEYtD7A6r3bmKeU8hWJH7w8BXVVzH1&amp;sz=w1000</v>
      </c>
      <c r="AH502" s="90" t="s">
        <v>842</v>
      </c>
    </row>
    <row r="503" spans="1:34" ht="22.15" customHeight="1">
      <c r="A503" s="30">
        <v>45541</v>
      </c>
      <c r="B503" s="17" t="s">
        <v>111</v>
      </c>
      <c r="C503" s="2" t="s">
        <v>11</v>
      </c>
      <c r="D503" s="16" t="str" cm="1">
        <f t="array" ref="D503">_xlfn.XLOOKUP(1, (Table1[Project Name]=Table2[[#This Row],[Project ID]])*(Table1[Plot]=Table2[[#This Row],[Plot]]), Table1[Project ID])</f>
        <v>MJ-12</v>
      </c>
      <c r="E503" s="69">
        <v>60</v>
      </c>
      <c r="F503" s="70">
        <v>548</v>
      </c>
      <c r="G503" s="69">
        <f>Table2[[#This Row],[Time Elapsed]]+Table2[[#This Row],[Time Remaining]]</f>
        <v>608</v>
      </c>
      <c r="H503" s="70" t="s">
        <v>679</v>
      </c>
      <c r="I503" s="70"/>
      <c r="J503" s="13">
        <v>1.5599999999999999E-2</v>
      </c>
      <c r="K503" s="137">
        <v>1.38E-2</v>
      </c>
      <c r="L503" s="13">
        <f>Table2[[#This Row],[Actual %]]-Table2[[#This Row],[Plan %]]</f>
        <v>-1.7999999999999995E-3</v>
      </c>
      <c r="M503" s="144" t="s">
        <v>278</v>
      </c>
      <c r="N503" s="193"/>
      <c r="O503" s="193"/>
      <c r="P503" s="193"/>
      <c r="Q503" s="194">
        <v>45548</v>
      </c>
      <c r="R503" s="146" t="s">
        <v>791</v>
      </c>
      <c r="S503" s="146" t="s">
        <v>792</v>
      </c>
      <c r="T503" s="196" t="s">
        <v>793</v>
      </c>
      <c r="U503" s="156">
        <v>116841278.45383713</v>
      </c>
      <c r="V503" s="154">
        <v>0</v>
      </c>
      <c r="W503" s="36">
        <f>Table2[[#This Row],[Construction Contract Amount]]+Table2[[#This Row],[Cumulative Variations]]</f>
        <v>116841278.45383713</v>
      </c>
      <c r="X503" s="158">
        <v>3229333.33</v>
      </c>
      <c r="Y503" s="201"/>
      <c r="Z503" s="36">
        <f>Table2[[#This Row],[Final Contract Value]]+Table2[[#This Row],[Supervision Contract amount]]+Table2[[#This Row],[Authority Cost]]</f>
        <v>120070611.78383712</v>
      </c>
      <c r="AA503" s="36"/>
      <c r="AB503" s="154">
        <v>56109.376666666598</v>
      </c>
      <c r="AC503" s="102" t="str">
        <f t="shared" si="24"/>
        <v>https://drive.google.com/thumbnail?id=1hU_NG6jWFnAFsctWfxIixSLdfdg-2vbM&amp;sz=w1000</v>
      </c>
      <c r="AD503" s="90" t="s">
        <v>810</v>
      </c>
      <c r="AE503" s="103" t="str">
        <f t="shared" si="25"/>
        <v>https://drive.google.com/thumbnail?id=1AjudEJfSeA5pObV4i_-2eZywBMH4FjUH&amp;sz=w1000</v>
      </c>
      <c r="AF503" s="90" t="s">
        <v>826</v>
      </c>
      <c r="AG503" s="90" t="str">
        <f t="shared" si="26"/>
        <v>https://drive.google.com/thumbnail?id=1PBCEYtD7A6r3bmKeU8hWJH7w8BXVVzH1&amp;sz=w1000</v>
      </c>
      <c r="AH503" s="90" t="s">
        <v>842</v>
      </c>
    </row>
    <row r="504" spans="1:34" ht="22.15" customHeight="1">
      <c r="A504" s="30">
        <v>45541</v>
      </c>
      <c r="B504" s="17" t="s">
        <v>111</v>
      </c>
      <c r="C504" s="2" t="s">
        <v>11</v>
      </c>
      <c r="D504" s="16" t="str" cm="1">
        <f t="array" ref="D504">_xlfn.XLOOKUP(1, (Table1[Project Name]=Table2[[#This Row],[Project ID]])*(Table1[Plot]=Table2[[#This Row],[Plot]]), Table1[Project ID])</f>
        <v>MJ-12</v>
      </c>
      <c r="E504" s="69">
        <v>60</v>
      </c>
      <c r="F504" s="70">
        <v>548</v>
      </c>
      <c r="G504" s="69">
        <f>Table2[[#This Row],[Time Elapsed]]+Table2[[#This Row],[Time Remaining]]</f>
        <v>608</v>
      </c>
      <c r="H504" s="70" t="s">
        <v>679</v>
      </c>
      <c r="I504" s="70"/>
      <c r="J504" s="13">
        <v>1.5599999999999999E-2</v>
      </c>
      <c r="K504" s="137">
        <v>1.38E-2</v>
      </c>
      <c r="L504" s="13">
        <f>Table2[[#This Row],[Actual %]]-Table2[[#This Row],[Plan %]]</f>
        <v>-1.7999999999999995E-3</v>
      </c>
      <c r="M504" s="144" t="s">
        <v>279</v>
      </c>
      <c r="N504" s="193"/>
      <c r="O504" s="193"/>
      <c r="P504" s="193"/>
      <c r="Q504" s="194">
        <v>45548</v>
      </c>
      <c r="R504" s="146" t="s">
        <v>791</v>
      </c>
      <c r="S504" s="146" t="s">
        <v>792</v>
      </c>
      <c r="T504" s="196" t="s">
        <v>793</v>
      </c>
      <c r="U504" s="156">
        <v>116841278.45383713</v>
      </c>
      <c r="V504" s="154">
        <v>0</v>
      </c>
      <c r="W504" s="36">
        <f>Table2[[#This Row],[Construction Contract Amount]]+Table2[[#This Row],[Cumulative Variations]]</f>
        <v>116841278.45383713</v>
      </c>
      <c r="X504" s="158">
        <v>3229333.33</v>
      </c>
      <c r="Y504" s="201"/>
      <c r="Z504" s="36">
        <f>Table2[[#This Row],[Final Contract Value]]+Table2[[#This Row],[Supervision Contract amount]]+Table2[[#This Row],[Authority Cost]]</f>
        <v>120070611.78383712</v>
      </c>
      <c r="AA504" s="36"/>
      <c r="AB504" s="154">
        <v>56109.376666666598</v>
      </c>
      <c r="AC504" s="102" t="str">
        <f t="shared" si="24"/>
        <v>https://drive.google.com/thumbnail?id=1hU_NG6jWFnAFsctWfxIixSLdfdg-2vbM&amp;sz=w1000</v>
      </c>
      <c r="AD504" s="90" t="s">
        <v>810</v>
      </c>
      <c r="AE504" s="103" t="str">
        <f t="shared" si="25"/>
        <v>https://drive.google.com/thumbnail?id=1AjudEJfSeA5pObV4i_-2eZywBMH4FjUH&amp;sz=w1000</v>
      </c>
      <c r="AF504" s="90" t="s">
        <v>826</v>
      </c>
      <c r="AG504" s="90" t="str">
        <f t="shared" si="26"/>
        <v>https://drive.google.com/thumbnail?id=1PBCEYtD7A6r3bmKeU8hWJH7w8BXVVzH1&amp;sz=w1000</v>
      </c>
      <c r="AH504" s="90" t="s">
        <v>842</v>
      </c>
    </row>
    <row r="505" spans="1:34" ht="22.15" customHeight="1">
      <c r="A505" s="30">
        <v>45541</v>
      </c>
      <c r="B505" s="17" t="s">
        <v>111</v>
      </c>
      <c r="C505" s="2" t="s">
        <v>11</v>
      </c>
      <c r="D505" s="16" t="str" cm="1">
        <f t="array" ref="D505">_xlfn.XLOOKUP(1, (Table1[Project Name]=Table2[[#This Row],[Project ID]])*(Table1[Plot]=Table2[[#This Row],[Plot]]), Table1[Project ID])</f>
        <v>MJ-12</v>
      </c>
      <c r="E505" s="69">
        <v>60</v>
      </c>
      <c r="F505" s="70">
        <v>548</v>
      </c>
      <c r="G505" s="69">
        <f>Table2[[#This Row],[Time Elapsed]]+Table2[[#This Row],[Time Remaining]]</f>
        <v>608</v>
      </c>
      <c r="H505" s="70" t="s">
        <v>679</v>
      </c>
      <c r="I505" s="70"/>
      <c r="J505" s="13">
        <v>1.5599999999999999E-2</v>
      </c>
      <c r="K505" s="137">
        <v>1.38E-2</v>
      </c>
      <c r="L505" s="13">
        <f>Table2[[#This Row],[Actual %]]-Table2[[#This Row],[Plan %]]</f>
        <v>-1.7999999999999995E-3</v>
      </c>
      <c r="M505" s="144" t="s">
        <v>280</v>
      </c>
      <c r="N505" s="193"/>
      <c r="O505" s="193"/>
      <c r="P505" s="193"/>
      <c r="Q505" s="194">
        <v>45548</v>
      </c>
      <c r="R505" s="146" t="s">
        <v>791</v>
      </c>
      <c r="S505" s="146" t="s">
        <v>792</v>
      </c>
      <c r="T505" s="196" t="s">
        <v>793</v>
      </c>
      <c r="U505" s="156">
        <v>116841278.45383713</v>
      </c>
      <c r="V505" s="154">
        <v>0</v>
      </c>
      <c r="W505" s="36">
        <f>Table2[[#This Row],[Construction Contract Amount]]+Table2[[#This Row],[Cumulative Variations]]</f>
        <v>116841278.45383713</v>
      </c>
      <c r="X505" s="158">
        <v>3229333.33</v>
      </c>
      <c r="Y505" s="201"/>
      <c r="Z505" s="36">
        <f>Table2[[#This Row],[Final Contract Value]]+Table2[[#This Row],[Supervision Contract amount]]+Table2[[#This Row],[Authority Cost]]</f>
        <v>120070611.78383712</v>
      </c>
      <c r="AA505" s="36"/>
      <c r="AB505" s="154">
        <v>56109.376666666598</v>
      </c>
      <c r="AC505" s="102" t="str">
        <f t="shared" si="24"/>
        <v>https://drive.google.com/thumbnail?id=1hU_NG6jWFnAFsctWfxIixSLdfdg-2vbM&amp;sz=w1000</v>
      </c>
      <c r="AD505" s="90" t="s">
        <v>810</v>
      </c>
      <c r="AE505" s="103" t="str">
        <f t="shared" si="25"/>
        <v>https://drive.google.com/thumbnail?id=1AjudEJfSeA5pObV4i_-2eZywBMH4FjUH&amp;sz=w1000</v>
      </c>
      <c r="AF505" s="90" t="s">
        <v>826</v>
      </c>
      <c r="AG505" s="90" t="str">
        <f t="shared" si="26"/>
        <v>https://drive.google.com/thumbnail?id=1PBCEYtD7A6r3bmKeU8hWJH7w8BXVVzH1&amp;sz=w1000</v>
      </c>
      <c r="AH505" s="90" t="s">
        <v>842</v>
      </c>
    </row>
    <row r="506" spans="1:34" ht="22.15" customHeight="1">
      <c r="A506" s="30">
        <v>45541</v>
      </c>
      <c r="B506" s="17" t="s">
        <v>111</v>
      </c>
      <c r="C506" s="2" t="s">
        <v>11</v>
      </c>
      <c r="D506" s="16" t="str" cm="1">
        <f t="array" ref="D506">_xlfn.XLOOKUP(1, (Table1[Project Name]=Table2[[#This Row],[Project ID]])*(Table1[Plot]=Table2[[#This Row],[Plot]]), Table1[Project ID])</f>
        <v>MJ-12</v>
      </c>
      <c r="E506" s="69">
        <v>60</v>
      </c>
      <c r="F506" s="70">
        <v>548</v>
      </c>
      <c r="G506" s="69">
        <f>Table2[[#This Row],[Time Elapsed]]+Table2[[#This Row],[Time Remaining]]</f>
        <v>608</v>
      </c>
      <c r="H506" s="70" t="s">
        <v>679</v>
      </c>
      <c r="I506" s="70"/>
      <c r="J506" s="13">
        <v>1.5599999999999999E-2</v>
      </c>
      <c r="K506" s="137">
        <v>1.38E-2</v>
      </c>
      <c r="L506" s="13">
        <f>Table2[[#This Row],[Actual %]]-Table2[[#This Row],[Plan %]]</f>
        <v>-1.7999999999999995E-3</v>
      </c>
      <c r="M506" s="144" t="s">
        <v>281</v>
      </c>
      <c r="N506" s="193"/>
      <c r="O506" s="193"/>
      <c r="P506" s="193"/>
      <c r="Q506" s="194">
        <v>45548</v>
      </c>
      <c r="R506" s="146" t="s">
        <v>791</v>
      </c>
      <c r="S506" s="146" t="s">
        <v>792</v>
      </c>
      <c r="T506" s="196" t="s">
        <v>793</v>
      </c>
      <c r="U506" s="156">
        <v>116841278.45383713</v>
      </c>
      <c r="V506" s="154">
        <v>0</v>
      </c>
      <c r="W506" s="36">
        <f>Table2[[#This Row],[Construction Contract Amount]]+Table2[[#This Row],[Cumulative Variations]]</f>
        <v>116841278.45383713</v>
      </c>
      <c r="X506" s="158">
        <v>3229333.33</v>
      </c>
      <c r="Y506" s="201"/>
      <c r="Z506" s="36">
        <f>Table2[[#This Row],[Final Contract Value]]+Table2[[#This Row],[Supervision Contract amount]]+Table2[[#This Row],[Authority Cost]]</f>
        <v>120070611.78383712</v>
      </c>
      <c r="AA506" s="36"/>
      <c r="AB506" s="154">
        <v>56109.376666666598</v>
      </c>
      <c r="AC506" s="102" t="str">
        <f t="shared" si="24"/>
        <v>https://drive.google.com/thumbnail?id=1hU_NG6jWFnAFsctWfxIixSLdfdg-2vbM&amp;sz=w1000</v>
      </c>
      <c r="AD506" s="90" t="s">
        <v>810</v>
      </c>
      <c r="AE506" s="103" t="str">
        <f t="shared" si="25"/>
        <v>https://drive.google.com/thumbnail?id=1AjudEJfSeA5pObV4i_-2eZywBMH4FjUH&amp;sz=w1000</v>
      </c>
      <c r="AF506" s="90" t="s">
        <v>826</v>
      </c>
      <c r="AG506" s="90" t="str">
        <f t="shared" si="26"/>
        <v>https://drive.google.com/thumbnail?id=1PBCEYtD7A6r3bmKeU8hWJH7w8BXVVzH1&amp;sz=w1000</v>
      </c>
      <c r="AH506" s="90" t="s">
        <v>842</v>
      </c>
    </row>
    <row r="507" spans="1:34" ht="22.15" customHeight="1">
      <c r="A507" s="30">
        <v>45541</v>
      </c>
      <c r="B507" s="17" t="s">
        <v>111</v>
      </c>
      <c r="C507" s="2" t="s">
        <v>11</v>
      </c>
      <c r="D507" s="16" t="str" cm="1">
        <f t="array" ref="D507">_xlfn.XLOOKUP(1, (Table1[Project Name]=Table2[[#This Row],[Project ID]])*(Table1[Plot]=Table2[[#This Row],[Plot]]), Table1[Project ID])</f>
        <v>MJ-12</v>
      </c>
      <c r="E507" s="69">
        <v>60</v>
      </c>
      <c r="F507" s="70">
        <v>548</v>
      </c>
      <c r="G507" s="69">
        <f>Table2[[#This Row],[Time Elapsed]]+Table2[[#This Row],[Time Remaining]]</f>
        <v>608</v>
      </c>
      <c r="H507" s="70" t="s">
        <v>679</v>
      </c>
      <c r="I507" s="70"/>
      <c r="J507" s="13">
        <v>1.5599999999999999E-2</v>
      </c>
      <c r="K507" s="137">
        <v>1.38E-2</v>
      </c>
      <c r="L507" s="13">
        <f>Table2[[#This Row],[Actual %]]-Table2[[#This Row],[Plan %]]</f>
        <v>-1.7999999999999995E-3</v>
      </c>
      <c r="M507" s="144" t="s">
        <v>282</v>
      </c>
      <c r="N507" s="193"/>
      <c r="O507" s="193"/>
      <c r="P507" s="193"/>
      <c r="Q507" s="194">
        <v>45548</v>
      </c>
      <c r="R507" s="146" t="s">
        <v>791</v>
      </c>
      <c r="S507" s="146" t="s">
        <v>792</v>
      </c>
      <c r="T507" s="196" t="s">
        <v>793</v>
      </c>
      <c r="U507" s="156">
        <v>116841278.45383713</v>
      </c>
      <c r="V507" s="154">
        <v>0</v>
      </c>
      <c r="W507" s="36">
        <f>Table2[[#This Row],[Construction Contract Amount]]+Table2[[#This Row],[Cumulative Variations]]</f>
        <v>116841278.45383713</v>
      </c>
      <c r="X507" s="158">
        <v>3229333.33</v>
      </c>
      <c r="Y507" s="201"/>
      <c r="Z507" s="36">
        <f>Table2[[#This Row],[Final Contract Value]]+Table2[[#This Row],[Supervision Contract amount]]+Table2[[#This Row],[Authority Cost]]</f>
        <v>120070611.78383712</v>
      </c>
      <c r="AA507" s="36"/>
      <c r="AB507" s="154">
        <v>56109.376666666598</v>
      </c>
      <c r="AC507" s="102" t="str">
        <f t="shared" si="24"/>
        <v>https://drive.google.com/thumbnail?id=1hU_NG6jWFnAFsctWfxIixSLdfdg-2vbM&amp;sz=w1000</v>
      </c>
      <c r="AD507" s="90" t="s">
        <v>810</v>
      </c>
      <c r="AE507" s="103" t="str">
        <f t="shared" si="25"/>
        <v>https://drive.google.com/thumbnail?id=1AjudEJfSeA5pObV4i_-2eZywBMH4FjUH&amp;sz=w1000</v>
      </c>
      <c r="AF507" s="90" t="s">
        <v>826</v>
      </c>
      <c r="AG507" s="90" t="str">
        <f t="shared" si="26"/>
        <v>https://drive.google.com/thumbnail?id=1PBCEYtD7A6r3bmKeU8hWJH7w8BXVVzH1&amp;sz=w1000</v>
      </c>
      <c r="AH507" s="90" t="s">
        <v>842</v>
      </c>
    </row>
    <row r="508" spans="1:34" ht="22.15" customHeight="1">
      <c r="A508" s="30">
        <v>45541</v>
      </c>
      <c r="B508" s="17" t="s">
        <v>111</v>
      </c>
      <c r="C508" s="2" t="s">
        <v>11</v>
      </c>
      <c r="D508" s="16" t="str" cm="1">
        <f t="array" ref="D508">_xlfn.XLOOKUP(1, (Table1[Project Name]=Table2[[#This Row],[Project ID]])*(Table1[Plot]=Table2[[#This Row],[Plot]]), Table1[Project ID])</f>
        <v>MJ-12</v>
      </c>
      <c r="E508" s="69">
        <v>60</v>
      </c>
      <c r="F508" s="70">
        <v>548</v>
      </c>
      <c r="G508" s="69">
        <f>Table2[[#This Row],[Time Elapsed]]+Table2[[#This Row],[Time Remaining]]</f>
        <v>608</v>
      </c>
      <c r="H508" s="70" t="s">
        <v>679</v>
      </c>
      <c r="I508" s="70"/>
      <c r="J508" s="13">
        <v>1.5599999999999999E-2</v>
      </c>
      <c r="K508" s="137">
        <v>1.38E-2</v>
      </c>
      <c r="L508" s="13">
        <f>Table2[[#This Row],[Actual %]]-Table2[[#This Row],[Plan %]]</f>
        <v>-1.7999999999999995E-3</v>
      </c>
      <c r="M508" s="144" t="s">
        <v>283</v>
      </c>
      <c r="N508" s="193"/>
      <c r="O508" s="193"/>
      <c r="P508" s="193"/>
      <c r="Q508" s="194">
        <v>45548</v>
      </c>
      <c r="R508" s="146" t="s">
        <v>791</v>
      </c>
      <c r="S508" s="146" t="s">
        <v>792</v>
      </c>
      <c r="T508" s="196" t="s">
        <v>793</v>
      </c>
      <c r="U508" s="156">
        <v>116841278.45383713</v>
      </c>
      <c r="V508" s="154">
        <v>0</v>
      </c>
      <c r="W508" s="36">
        <f>Table2[[#This Row],[Construction Contract Amount]]+Table2[[#This Row],[Cumulative Variations]]</f>
        <v>116841278.45383713</v>
      </c>
      <c r="X508" s="158">
        <v>3229333.33</v>
      </c>
      <c r="Y508" s="201"/>
      <c r="Z508" s="36">
        <f>Table2[[#This Row],[Final Contract Value]]+Table2[[#This Row],[Supervision Contract amount]]+Table2[[#This Row],[Authority Cost]]</f>
        <v>120070611.78383712</v>
      </c>
      <c r="AA508" s="36"/>
      <c r="AB508" s="154">
        <v>56109.376666666598</v>
      </c>
      <c r="AC508" s="102" t="str">
        <f t="shared" si="24"/>
        <v>https://drive.google.com/thumbnail?id=1hU_NG6jWFnAFsctWfxIixSLdfdg-2vbM&amp;sz=w1000</v>
      </c>
      <c r="AD508" s="90" t="s">
        <v>810</v>
      </c>
      <c r="AE508" s="103" t="str">
        <f t="shared" si="25"/>
        <v>https://drive.google.com/thumbnail?id=1AjudEJfSeA5pObV4i_-2eZywBMH4FjUH&amp;sz=w1000</v>
      </c>
      <c r="AF508" s="90" t="s">
        <v>826</v>
      </c>
      <c r="AG508" s="90" t="str">
        <f t="shared" si="26"/>
        <v>https://drive.google.com/thumbnail?id=1PBCEYtD7A6r3bmKeU8hWJH7w8BXVVzH1&amp;sz=w1000</v>
      </c>
      <c r="AH508" s="90" t="s">
        <v>842</v>
      </c>
    </row>
    <row r="509" spans="1:34" ht="22.15" customHeight="1">
      <c r="A509" s="30">
        <v>45541</v>
      </c>
      <c r="B509" s="17" t="s">
        <v>111</v>
      </c>
      <c r="C509" s="2" t="s">
        <v>11</v>
      </c>
      <c r="D509" s="16" t="str" cm="1">
        <f t="array" ref="D509">_xlfn.XLOOKUP(1, (Table1[Project Name]=Table2[[#This Row],[Project ID]])*(Table1[Plot]=Table2[[#This Row],[Plot]]), Table1[Project ID])</f>
        <v>MJ-12</v>
      </c>
      <c r="E509" s="69">
        <v>60</v>
      </c>
      <c r="F509" s="70">
        <v>548</v>
      </c>
      <c r="G509" s="69">
        <f>Table2[[#This Row],[Time Elapsed]]+Table2[[#This Row],[Time Remaining]]</f>
        <v>608</v>
      </c>
      <c r="H509" s="70" t="s">
        <v>679</v>
      </c>
      <c r="I509" s="70"/>
      <c r="J509" s="13">
        <v>1.5599999999999999E-2</v>
      </c>
      <c r="K509" s="137">
        <v>1.38E-2</v>
      </c>
      <c r="L509" s="13">
        <f>Table2[[#This Row],[Actual %]]-Table2[[#This Row],[Plan %]]</f>
        <v>-1.7999999999999995E-3</v>
      </c>
      <c r="M509" s="144" t="s">
        <v>284</v>
      </c>
      <c r="N509" s="193"/>
      <c r="O509" s="193"/>
      <c r="P509" s="193"/>
      <c r="Q509" s="194">
        <v>45548</v>
      </c>
      <c r="R509" s="146" t="s">
        <v>791</v>
      </c>
      <c r="S509" s="146" t="s">
        <v>792</v>
      </c>
      <c r="T509" s="196" t="s">
        <v>793</v>
      </c>
      <c r="U509" s="156">
        <v>116841278.45383713</v>
      </c>
      <c r="V509" s="154">
        <v>0</v>
      </c>
      <c r="W509" s="36">
        <f>Table2[[#This Row],[Construction Contract Amount]]+Table2[[#This Row],[Cumulative Variations]]</f>
        <v>116841278.45383713</v>
      </c>
      <c r="X509" s="158">
        <v>3229333.33</v>
      </c>
      <c r="Y509" s="201"/>
      <c r="Z509" s="36">
        <f>Table2[[#This Row],[Final Contract Value]]+Table2[[#This Row],[Supervision Contract amount]]+Table2[[#This Row],[Authority Cost]]</f>
        <v>120070611.78383712</v>
      </c>
      <c r="AA509" s="36"/>
      <c r="AB509" s="154">
        <v>56109.376666666598</v>
      </c>
      <c r="AC509" s="102" t="str">
        <f t="shared" si="24"/>
        <v>https://drive.google.com/thumbnail?id=1hU_NG6jWFnAFsctWfxIixSLdfdg-2vbM&amp;sz=w1000</v>
      </c>
      <c r="AD509" s="90" t="s">
        <v>810</v>
      </c>
      <c r="AE509" s="103" t="str">
        <f t="shared" si="25"/>
        <v>https://drive.google.com/thumbnail?id=1AjudEJfSeA5pObV4i_-2eZywBMH4FjUH&amp;sz=w1000</v>
      </c>
      <c r="AF509" s="90" t="s">
        <v>826</v>
      </c>
      <c r="AG509" s="90" t="str">
        <f t="shared" si="26"/>
        <v>https://drive.google.com/thumbnail?id=1PBCEYtD7A6r3bmKeU8hWJH7w8BXVVzH1&amp;sz=w1000</v>
      </c>
      <c r="AH509" s="90" t="s">
        <v>842</v>
      </c>
    </row>
    <row r="510" spans="1:34" ht="22.15" customHeight="1">
      <c r="A510" s="30">
        <v>45541</v>
      </c>
      <c r="B510" s="17" t="s">
        <v>114</v>
      </c>
      <c r="C510" s="2" t="s">
        <v>116</v>
      </c>
      <c r="D510" s="16" t="str" cm="1">
        <f t="array" ref="D510">_xlfn.XLOOKUP(1, (Table1[Project Name]=Table2[[#This Row],[Project ID]])*(Table1[Plot]=Table2[[#This Row],[Plot]]), Table1[Project ID])</f>
        <v>MJ-13</v>
      </c>
      <c r="E510" s="69">
        <v>60</v>
      </c>
      <c r="F510" s="70">
        <v>548</v>
      </c>
      <c r="G510" s="69">
        <f>Table2[[#This Row],[Time Elapsed]]+Table2[[#This Row],[Time Remaining]]</f>
        <v>608</v>
      </c>
      <c r="H510" s="70" t="s">
        <v>679</v>
      </c>
      <c r="I510" s="70"/>
      <c r="J510" s="13">
        <v>1.5599999999999999E-2</v>
      </c>
      <c r="K510" s="137">
        <v>1.41E-2</v>
      </c>
      <c r="L510" s="13">
        <f>Table2[[#This Row],[Actual %]]-Table2[[#This Row],[Plan %]]</f>
        <v>-1.4999999999999996E-3</v>
      </c>
      <c r="M510" s="144" t="s">
        <v>28</v>
      </c>
      <c r="N510" s="193">
        <v>45489</v>
      </c>
      <c r="O510" s="193"/>
      <c r="P510" s="193"/>
      <c r="Q510" s="194">
        <v>45548</v>
      </c>
      <c r="R510" s="146" t="s">
        <v>791</v>
      </c>
      <c r="S510" s="146" t="s">
        <v>792</v>
      </c>
      <c r="T510" s="196" t="s">
        <v>793</v>
      </c>
      <c r="U510" s="155">
        <v>98073241.524302095</v>
      </c>
      <c r="V510" s="152">
        <v>0</v>
      </c>
      <c r="W510" s="36">
        <f>Table2[[#This Row],[Construction Contract Amount]]+Table2[[#This Row],[Cumulative Variations]]</f>
        <v>98073241.524302095</v>
      </c>
      <c r="X510" s="152">
        <v>3229333.33</v>
      </c>
      <c r="Y510" s="201"/>
      <c r="Z510" s="36">
        <f>Table2[[#This Row],[Final Contract Value]]+Table2[[#This Row],[Supervision Contract amount]]+Table2[[#This Row],[Authority Cost]]</f>
        <v>101302574.85430209</v>
      </c>
      <c r="AA510" s="36"/>
      <c r="AB510" s="154">
        <v>56109.376666666598</v>
      </c>
      <c r="AC510" s="102" t="str">
        <f t="shared" si="24"/>
        <v>https://drive.google.com/thumbnail?id=1jjzR1RyL3evEhn3RbMY2vgThzWgq-fJN&amp;sz=w1000</v>
      </c>
      <c r="AD510" s="90" t="s">
        <v>811</v>
      </c>
      <c r="AE510" s="103" t="str">
        <f t="shared" si="25"/>
        <v>https://drive.google.com/thumbnail?id=10RRCP9PqW1a0aXZkHVOxVr_hGOY01_Ce&amp;sz=w1000</v>
      </c>
      <c r="AF510" s="90" t="s">
        <v>827</v>
      </c>
      <c r="AG510" s="90" t="str">
        <f t="shared" si="26"/>
        <v>https://drive.google.com/thumbnail?id=1MQhooDZfb_a8dh1XjYQap8rFcmtl5opU&amp;sz=w1000</v>
      </c>
      <c r="AH510" s="90" t="s">
        <v>843</v>
      </c>
    </row>
    <row r="511" spans="1:34" ht="22.15" customHeight="1">
      <c r="A511" s="30">
        <v>45541</v>
      </c>
      <c r="B511" s="17" t="s">
        <v>114</v>
      </c>
      <c r="C511" s="2" t="s">
        <v>116</v>
      </c>
      <c r="D511" s="16" t="str" cm="1">
        <f t="array" ref="D511">_xlfn.XLOOKUP(1, (Table1[Project Name]=Table2[[#This Row],[Project ID]])*(Table1[Plot]=Table2[[#This Row],[Plot]]), Table1[Project ID])</f>
        <v>MJ-13</v>
      </c>
      <c r="E511" s="69">
        <v>60</v>
      </c>
      <c r="F511" s="70">
        <v>548</v>
      </c>
      <c r="G511" s="69">
        <f>Table2[[#This Row],[Time Elapsed]]+Table2[[#This Row],[Time Remaining]]</f>
        <v>608</v>
      </c>
      <c r="H511" s="70" t="s">
        <v>679</v>
      </c>
      <c r="I511" s="70"/>
      <c r="J511" s="13">
        <v>1.5599999999999999E-2</v>
      </c>
      <c r="K511" s="137">
        <v>1.41E-2</v>
      </c>
      <c r="L511" s="13">
        <f>Table2[[#This Row],[Actual %]]-Table2[[#This Row],[Plan %]]</f>
        <v>-1.4999999999999996E-3</v>
      </c>
      <c r="M511" s="144" t="s">
        <v>50</v>
      </c>
      <c r="N511" s="193"/>
      <c r="O511" s="193"/>
      <c r="P511" s="193"/>
      <c r="Q511" s="194">
        <v>45548</v>
      </c>
      <c r="R511" s="136" t="s">
        <v>791</v>
      </c>
      <c r="S511" s="136" t="s">
        <v>792</v>
      </c>
      <c r="T511" s="149" t="s">
        <v>793</v>
      </c>
      <c r="U511" s="155">
        <v>98073241.524302095</v>
      </c>
      <c r="V511" s="152">
        <v>0</v>
      </c>
      <c r="W511" s="36">
        <f>Table2[[#This Row],[Construction Contract Amount]]+Table2[[#This Row],[Cumulative Variations]]</f>
        <v>98073241.524302095</v>
      </c>
      <c r="X511" s="152">
        <v>3229333.33</v>
      </c>
      <c r="Y511" s="201"/>
      <c r="Z511" s="36">
        <f>Table2[[#This Row],[Final Contract Value]]+Table2[[#This Row],[Supervision Contract amount]]+Table2[[#This Row],[Authority Cost]]</f>
        <v>101302574.85430209</v>
      </c>
      <c r="AA511" s="36"/>
      <c r="AB511" s="152">
        <v>56109.376666666598</v>
      </c>
      <c r="AC511" s="102" t="str">
        <f t="shared" si="24"/>
        <v>https://drive.google.com/thumbnail?id=1jjzR1RyL3evEhn3RbMY2vgThzWgq-fJN&amp;sz=w1000</v>
      </c>
      <c r="AD511" s="90" t="s">
        <v>811</v>
      </c>
      <c r="AE511" s="103" t="str">
        <f t="shared" si="25"/>
        <v>https://drive.google.com/thumbnail?id=10RRCP9PqW1a0aXZkHVOxVr_hGOY01_Ce&amp;sz=w1000</v>
      </c>
      <c r="AF511" s="90" t="s">
        <v>827</v>
      </c>
      <c r="AG511" s="90" t="str">
        <f t="shared" si="26"/>
        <v>https://drive.google.com/thumbnail?id=1MQhooDZfb_a8dh1XjYQap8rFcmtl5opU&amp;sz=w1000</v>
      </c>
      <c r="AH511" s="90" t="s">
        <v>843</v>
      </c>
    </row>
    <row r="512" spans="1:34" ht="22.15" customHeight="1">
      <c r="A512" s="30">
        <v>45541</v>
      </c>
      <c r="B512" s="17" t="s">
        <v>114</v>
      </c>
      <c r="C512" s="2" t="s">
        <v>116</v>
      </c>
      <c r="D512" s="16" t="str" cm="1">
        <f t="array" ref="D512">_xlfn.XLOOKUP(1, (Table1[Project Name]=Table2[[#This Row],[Project ID]])*(Table1[Plot]=Table2[[#This Row],[Plot]]), Table1[Project ID])</f>
        <v>MJ-13</v>
      </c>
      <c r="E512" s="69">
        <v>60</v>
      </c>
      <c r="F512" s="70">
        <v>548</v>
      </c>
      <c r="G512" s="69">
        <f>Table2[[#This Row],[Time Elapsed]]+Table2[[#This Row],[Time Remaining]]</f>
        <v>608</v>
      </c>
      <c r="H512" s="70" t="s">
        <v>679</v>
      </c>
      <c r="I512" s="70"/>
      <c r="J512" s="13">
        <v>1.5599999999999999E-2</v>
      </c>
      <c r="K512" s="137">
        <v>1.41E-2</v>
      </c>
      <c r="L512" s="13">
        <f>Table2[[#This Row],[Actual %]]-Table2[[#This Row],[Plan %]]</f>
        <v>-1.4999999999999996E-3</v>
      </c>
      <c r="M512" s="144" t="s">
        <v>51</v>
      </c>
      <c r="N512" s="193"/>
      <c r="O512" s="193"/>
      <c r="P512" s="193"/>
      <c r="Q512" s="194">
        <v>45548</v>
      </c>
      <c r="R512" s="136" t="s">
        <v>791</v>
      </c>
      <c r="S512" s="136" t="s">
        <v>792</v>
      </c>
      <c r="T512" s="143" t="s">
        <v>793</v>
      </c>
      <c r="U512" s="155">
        <v>98073241.524302095</v>
      </c>
      <c r="V512" s="152">
        <v>0</v>
      </c>
      <c r="W512" s="36">
        <f>Table2[[#This Row],[Construction Contract Amount]]+Table2[[#This Row],[Cumulative Variations]]</f>
        <v>98073241.524302095</v>
      </c>
      <c r="X512" s="152">
        <v>3229333.33</v>
      </c>
      <c r="Y512" s="201"/>
      <c r="Z512" s="36">
        <f>Table2[[#This Row],[Final Contract Value]]+Table2[[#This Row],[Supervision Contract amount]]+Table2[[#This Row],[Authority Cost]]</f>
        <v>101302574.85430209</v>
      </c>
      <c r="AA512" s="36"/>
      <c r="AB512" s="152">
        <v>56109.376666666598</v>
      </c>
      <c r="AC512" s="102" t="str">
        <f t="shared" si="24"/>
        <v>https://drive.google.com/thumbnail?id=1jjzR1RyL3evEhn3RbMY2vgThzWgq-fJN&amp;sz=w1000</v>
      </c>
      <c r="AD512" s="90" t="s">
        <v>811</v>
      </c>
      <c r="AE512" s="103" t="str">
        <f t="shared" si="25"/>
        <v>https://drive.google.com/thumbnail?id=10RRCP9PqW1a0aXZkHVOxVr_hGOY01_Ce&amp;sz=w1000</v>
      </c>
      <c r="AF512" s="90" t="s">
        <v>827</v>
      </c>
      <c r="AG512" s="90" t="str">
        <f t="shared" si="26"/>
        <v>https://drive.google.com/thumbnail?id=1MQhooDZfb_a8dh1XjYQap8rFcmtl5opU&amp;sz=w1000</v>
      </c>
      <c r="AH512" s="90" t="s">
        <v>843</v>
      </c>
    </row>
    <row r="513" spans="1:34" ht="22.15" customHeight="1">
      <c r="A513" s="30">
        <v>45541</v>
      </c>
      <c r="B513" s="17" t="s">
        <v>114</v>
      </c>
      <c r="C513" s="2" t="s">
        <v>116</v>
      </c>
      <c r="D513" s="16" t="str" cm="1">
        <f t="array" ref="D513">_xlfn.XLOOKUP(1, (Table1[Project Name]=Table2[[#This Row],[Project ID]])*(Table1[Plot]=Table2[[#This Row],[Plot]]), Table1[Project ID])</f>
        <v>MJ-13</v>
      </c>
      <c r="E513" s="69">
        <v>60</v>
      </c>
      <c r="F513" s="70">
        <v>548</v>
      </c>
      <c r="G513" s="69">
        <f>Table2[[#This Row],[Time Elapsed]]+Table2[[#This Row],[Time Remaining]]</f>
        <v>608</v>
      </c>
      <c r="H513" s="70" t="s">
        <v>679</v>
      </c>
      <c r="I513" s="70"/>
      <c r="J513" s="13">
        <v>1.5599999999999999E-2</v>
      </c>
      <c r="K513" s="137">
        <v>1.41E-2</v>
      </c>
      <c r="L513" s="13">
        <f>Table2[[#This Row],[Actual %]]-Table2[[#This Row],[Plan %]]</f>
        <v>-1.4999999999999996E-3</v>
      </c>
      <c r="M513" s="144" t="s">
        <v>275</v>
      </c>
      <c r="N513" s="193"/>
      <c r="O513" s="193"/>
      <c r="P513" s="193"/>
      <c r="Q513" s="194">
        <v>45548</v>
      </c>
      <c r="R513" s="136" t="s">
        <v>791</v>
      </c>
      <c r="S513" s="136" t="s">
        <v>792</v>
      </c>
      <c r="T513" s="143" t="s">
        <v>793</v>
      </c>
      <c r="U513" s="155">
        <v>98073241.524302095</v>
      </c>
      <c r="V513" s="152">
        <v>0</v>
      </c>
      <c r="W513" s="36">
        <f>Table2[[#This Row],[Construction Contract Amount]]+Table2[[#This Row],[Cumulative Variations]]</f>
        <v>98073241.524302095</v>
      </c>
      <c r="X513" s="152">
        <v>3229333.33</v>
      </c>
      <c r="Y513" s="201"/>
      <c r="Z513" s="36">
        <f>Table2[[#This Row],[Final Contract Value]]+Table2[[#This Row],[Supervision Contract amount]]+Table2[[#This Row],[Authority Cost]]</f>
        <v>101302574.85430209</v>
      </c>
      <c r="AA513" s="36"/>
      <c r="AB513" s="152">
        <v>56109.376666666598</v>
      </c>
      <c r="AC513" s="102" t="str">
        <f t="shared" si="24"/>
        <v>https://drive.google.com/thumbnail?id=1jjzR1RyL3evEhn3RbMY2vgThzWgq-fJN&amp;sz=w1000</v>
      </c>
      <c r="AD513" s="90" t="s">
        <v>811</v>
      </c>
      <c r="AE513" s="103" t="str">
        <f t="shared" si="25"/>
        <v>https://drive.google.com/thumbnail?id=10RRCP9PqW1a0aXZkHVOxVr_hGOY01_Ce&amp;sz=w1000</v>
      </c>
      <c r="AF513" s="90" t="s">
        <v>827</v>
      </c>
      <c r="AG513" s="90" t="str">
        <f t="shared" si="26"/>
        <v>https://drive.google.com/thumbnail?id=1MQhooDZfb_a8dh1XjYQap8rFcmtl5opU&amp;sz=w1000</v>
      </c>
      <c r="AH513" s="90" t="s">
        <v>843</v>
      </c>
    </row>
    <row r="514" spans="1:34" ht="22.15" customHeight="1">
      <c r="A514" s="30">
        <v>45541</v>
      </c>
      <c r="B514" s="17" t="s">
        <v>114</v>
      </c>
      <c r="C514" s="2" t="s">
        <v>116</v>
      </c>
      <c r="D514" s="16" t="str" cm="1">
        <f t="array" ref="D514">_xlfn.XLOOKUP(1, (Table1[Project Name]=Table2[[#This Row],[Project ID]])*(Table1[Plot]=Table2[[#This Row],[Plot]]), Table1[Project ID])</f>
        <v>MJ-13</v>
      </c>
      <c r="E514" s="69">
        <v>60</v>
      </c>
      <c r="F514" s="70">
        <v>548</v>
      </c>
      <c r="G514" s="69">
        <f>Table2[[#This Row],[Time Elapsed]]+Table2[[#This Row],[Time Remaining]]</f>
        <v>608</v>
      </c>
      <c r="H514" s="70" t="s">
        <v>679</v>
      </c>
      <c r="I514" s="70"/>
      <c r="J514" s="13">
        <v>1.5599999999999999E-2</v>
      </c>
      <c r="K514" s="137">
        <v>1.41E-2</v>
      </c>
      <c r="L514" s="13">
        <f>Table2[[#This Row],[Actual %]]-Table2[[#This Row],[Plan %]]</f>
        <v>-1.4999999999999996E-3</v>
      </c>
      <c r="M514" s="144" t="s">
        <v>276</v>
      </c>
      <c r="N514" s="193"/>
      <c r="O514" s="193"/>
      <c r="P514" s="193"/>
      <c r="Q514" s="194">
        <v>45548</v>
      </c>
      <c r="R514" s="136" t="s">
        <v>791</v>
      </c>
      <c r="S514" s="136" t="s">
        <v>792</v>
      </c>
      <c r="T514" s="143" t="s">
        <v>793</v>
      </c>
      <c r="U514" s="155">
        <v>98073241.524302095</v>
      </c>
      <c r="V514" s="152">
        <v>0</v>
      </c>
      <c r="W514" s="36">
        <f>Table2[[#This Row],[Construction Contract Amount]]+Table2[[#This Row],[Cumulative Variations]]</f>
        <v>98073241.524302095</v>
      </c>
      <c r="X514" s="152">
        <v>3229333.33</v>
      </c>
      <c r="Y514" s="201"/>
      <c r="Z514" s="36">
        <f>Table2[[#This Row],[Final Contract Value]]+Table2[[#This Row],[Supervision Contract amount]]+Table2[[#This Row],[Authority Cost]]</f>
        <v>101302574.85430209</v>
      </c>
      <c r="AA514" s="36"/>
      <c r="AB514" s="152">
        <v>56109.376666666598</v>
      </c>
      <c r="AC514" s="102" t="str">
        <f t="shared" ref="AC514:AC577" si="27">CONCATENATE("https://drive.google.com/thumbnail?id=", MID(AD514, FIND("/d/", AD514) + 3, FIND("/view", AD514) - FIND("/d/", AD514) - 3), "&amp;sz=w1000")</f>
        <v>https://drive.google.com/thumbnail?id=1jjzR1RyL3evEhn3RbMY2vgThzWgq-fJN&amp;sz=w1000</v>
      </c>
      <c r="AD514" s="90" t="s">
        <v>811</v>
      </c>
      <c r="AE514" s="103" t="str">
        <f t="shared" ref="AE514:AE577" si="28">CONCATENATE("https://drive.google.com/thumbnail?id=", MID(AF514, FIND("/d/", AF514) + 3, FIND("/view", AF514) - FIND("/d/", AF514) - 3), "&amp;sz=w1000")</f>
        <v>https://drive.google.com/thumbnail?id=10RRCP9PqW1a0aXZkHVOxVr_hGOY01_Ce&amp;sz=w1000</v>
      </c>
      <c r="AF514" s="90" t="s">
        <v>827</v>
      </c>
      <c r="AG514" s="90" t="str">
        <f t="shared" ref="AG514:AG577" si="29">CONCATENATE("https://drive.google.com/thumbnail?id=", MID(AH514, FIND("/d/", AH514) + 3, FIND("/view", AH514) - FIND("/d/", AH514) - 3), "&amp;sz=w1000")</f>
        <v>https://drive.google.com/thumbnail?id=1MQhooDZfb_a8dh1XjYQap8rFcmtl5opU&amp;sz=w1000</v>
      </c>
      <c r="AH514" s="90" t="s">
        <v>843</v>
      </c>
    </row>
    <row r="515" spans="1:34" ht="22.15" customHeight="1">
      <c r="A515" s="30">
        <v>45541</v>
      </c>
      <c r="B515" s="17" t="s">
        <v>114</v>
      </c>
      <c r="C515" s="2" t="s">
        <v>116</v>
      </c>
      <c r="D515" s="16" t="str" cm="1">
        <f t="array" ref="D515">_xlfn.XLOOKUP(1, (Table1[Project Name]=Table2[[#This Row],[Project ID]])*(Table1[Plot]=Table2[[#This Row],[Plot]]), Table1[Project ID])</f>
        <v>MJ-13</v>
      </c>
      <c r="E515" s="69">
        <v>60</v>
      </c>
      <c r="F515" s="70">
        <v>548</v>
      </c>
      <c r="G515" s="69">
        <f>Table2[[#This Row],[Time Elapsed]]+Table2[[#This Row],[Time Remaining]]</f>
        <v>608</v>
      </c>
      <c r="H515" s="70" t="s">
        <v>679</v>
      </c>
      <c r="I515" s="70"/>
      <c r="J515" s="13">
        <v>1.5599999999999999E-2</v>
      </c>
      <c r="K515" s="137">
        <v>1.41E-2</v>
      </c>
      <c r="L515" s="13">
        <f>Table2[[#This Row],[Actual %]]-Table2[[#This Row],[Plan %]]</f>
        <v>-1.4999999999999996E-3</v>
      </c>
      <c r="M515" s="147" t="s">
        <v>277</v>
      </c>
      <c r="N515" s="193"/>
      <c r="O515" s="193"/>
      <c r="P515" s="193"/>
      <c r="Q515" s="194">
        <v>45548</v>
      </c>
      <c r="R515" s="136" t="s">
        <v>791</v>
      </c>
      <c r="S515" s="136" t="s">
        <v>792</v>
      </c>
      <c r="T515" s="143" t="s">
        <v>793</v>
      </c>
      <c r="U515" s="155">
        <v>98073241.524302095</v>
      </c>
      <c r="V515" s="152">
        <v>0</v>
      </c>
      <c r="W515" s="36">
        <f>Table2[[#This Row],[Construction Contract Amount]]+Table2[[#This Row],[Cumulative Variations]]</f>
        <v>98073241.524302095</v>
      </c>
      <c r="X515" s="152">
        <v>3229333.33</v>
      </c>
      <c r="Y515" s="201"/>
      <c r="Z515" s="36">
        <f>Table2[[#This Row],[Final Contract Value]]+Table2[[#This Row],[Supervision Contract amount]]+Table2[[#This Row],[Authority Cost]]</f>
        <v>101302574.85430209</v>
      </c>
      <c r="AA515" s="36"/>
      <c r="AB515" s="152">
        <v>56109.376666666598</v>
      </c>
      <c r="AC515" s="102" t="str">
        <f t="shared" si="27"/>
        <v>https://drive.google.com/thumbnail?id=1jjzR1RyL3evEhn3RbMY2vgThzWgq-fJN&amp;sz=w1000</v>
      </c>
      <c r="AD515" s="90" t="s">
        <v>811</v>
      </c>
      <c r="AE515" s="103" t="str">
        <f t="shared" si="28"/>
        <v>https://drive.google.com/thumbnail?id=10RRCP9PqW1a0aXZkHVOxVr_hGOY01_Ce&amp;sz=w1000</v>
      </c>
      <c r="AF515" s="90" t="s">
        <v>827</v>
      </c>
      <c r="AG515" s="90" t="str">
        <f t="shared" si="29"/>
        <v>https://drive.google.com/thumbnail?id=1MQhooDZfb_a8dh1XjYQap8rFcmtl5opU&amp;sz=w1000</v>
      </c>
      <c r="AH515" s="90" t="s">
        <v>843</v>
      </c>
    </row>
    <row r="516" spans="1:34" ht="22.15" customHeight="1">
      <c r="A516" s="30">
        <v>45541</v>
      </c>
      <c r="B516" s="17" t="s">
        <v>114</v>
      </c>
      <c r="C516" s="2" t="s">
        <v>116</v>
      </c>
      <c r="D516" s="16" t="str" cm="1">
        <f t="array" ref="D516">_xlfn.XLOOKUP(1, (Table1[Project Name]=Table2[[#This Row],[Project ID]])*(Table1[Plot]=Table2[[#This Row],[Plot]]), Table1[Project ID])</f>
        <v>MJ-13</v>
      </c>
      <c r="E516" s="69">
        <v>60</v>
      </c>
      <c r="F516" s="70">
        <v>548</v>
      </c>
      <c r="G516" s="69">
        <f>Table2[[#This Row],[Time Elapsed]]+Table2[[#This Row],[Time Remaining]]</f>
        <v>608</v>
      </c>
      <c r="H516" s="70" t="s">
        <v>679</v>
      </c>
      <c r="I516" s="70"/>
      <c r="J516" s="13">
        <v>1.5599999999999999E-2</v>
      </c>
      <c r="K516" s="137">
        <v>1.41E-2</v>
      </c>
      <c r="L516" s="13">
        <f>Table2[[#This Row],[Actual %]]-Table2[[#This Row],[Plan %]]</f>
        <v>-1.4999999999999996E-3</v>
      </c>
      <c r="M516" s="144" t="s">
        <v>278</v>
      </c>
      <c r="N516" s="193"/>
      <c r="O516" s="193"/>
      <c r="P516" s="193"/>
      <c r="Q516" s="194">
        <v>45548</v>
      </c>
      <c r="R516" s="136" t="s">
        <v>791</v>
      </c>
      <c r="S516" s="136" t="s">
        <v>792</v>
      </c>
      <c r="T516" s="143" t="s">
        <v>793</v>
      </c>
      <c r="U516" s="155">
        <v>98073241.524302095</v>
      </c>
      <c r="V516" s="152">
        <v>0</v>
      </c>
      <c r="W516" s="36">
        <f>Table2[[#This Row],[Construction Contract Amount]]+Table2[[#This Row],[Cumulative Variations]]</f>
        <v>98073241.524302095</v>
      </c>
      <c r="X516" s="152">
        <v>3229333.33</v>
      </c>
      <c r="Y516" s="201"/>
      <c r="Z516" s="36">
        <f>Table2[[#This Row],[Final Contract Value]]+Table2[[#This Row],[Supervision Contract amount]]+Table2[[#This Row],[Authority Cost]]</f>
        <v>101302574.85430209</v>
      </c>
      <c r="AA516" s="36"/>
      <c r="AB516" s="152">
        <v>56109.376666666598</v>
      </c>
      <c r="AC516" s="102" t="str">
        <f t="shared" si="27"/>
        <v>https://drive.google.com/thumbnail?id=1jjzR1RyL3evEhn3RbMY2vgThzWgq-fJN&amp;sz=w1000</v>
      </c>
      <c r="AD516" s="90" t="s">
        <v>811</v>
      </c>
      <c r="AE516" s="103" t="str">
        <f t="shared" si="28"/>
        <v>https://drive.google.com/thumbnail?id=10RRCP9PqW1a0aXZkHVOxVr_hGOY01_Ce&amp;sz=w1000</v>
      </c>
      <c r="AF516" s="90" t="s">
        <v>827</v>
      </c>
      <c r="AG516" s="90" t="str">
        <f t="shared" si="29"/>
        <v>https://drive.google.com/thumbnail?id=1MQhooDZfb_a8dh1XjYQap8rFcmtl5opU&amp;sz=w1000</v>
      </c>
      <c r="AH516" s="90" t="s">
        <v>843</v>
      </c>
    </row>
    <row r="517" spans="1:34" ht="22.15" customHeight="1">
      <c r="A517" s="30">
        <v>45541</v>
      </c>
      <c r="B517" s="17" t="s">
        <v>114</v>
      </c>
      <c r="C517" s="2" t="s">
        <v>116</v>
      </c>
      <c r="D517" s="16" t="str" cm="1">
        <f t="array" ref="D517">_xlfn.XLOOKUP(1, (Table1[Project Name]=Table2[[#This Row],[Project ID]])*(Table1[Plot]=Table2[[#This Row],[Plot]]), Table1[Project ID])</f>
        <v>MJ-13</v>
      </c>
      <c r="E517" s="69">
        <v>60</v>
      </c>
      <c r="F517" s="70">
        <v>548</v>
      </c>
      <c r="G517" s="69">
        <f>Table2[[#This Row],[Time Elapsed]]+Table2[[#This Row],[Time Remaining]]</f>
        <v>608</v>
      </c>
      <c r="H517" s="70" t="s">
        <v>679</v>
      </c>
      <c r="I517" s="70"/>
      <c r="J517" s="13">
        <v>1.5599999999999999E-2</v>
      </c>
      <c r="K517" s="137">
        <v>1.41E-2</v>
      </c>
      <c r="L517" s="13">
        <f>Table2[[#This Row],[Actual %]]-Table2[[#This Row],[Plan %]]</f>
        <v>-1.4999999999999996E-3</v>
      </c>
      <c r="M517" s="144" t="s">
        <v>279</v>
      </c>
      <c r="N517" s="193"/>
      <c r="O517" s="193"/>
      <c r="P517" s="193"/>
      <c r="Q517" s="194">
        <v>45548</v>
      </c>
      <c r="R517" s="136" t="s">
        <v>791</v>
      </c>
      <c r="S517" s="136" t="s">
        <v>792</v>
      </c>
      <c r="T517" s="143" t="s">
        <v>793</v>
      </c>
      <c r="U517" s="155">
        <v>98073241.524302095</v>
      </c>
      <c r="V517" s="152">
        <v>0</v>
      </c>
      <c r="W517" s="36">
        <f>Table2[[#This Row],[Construction Contract Amount]]+Table2[[#This Row],[Cumulative Variations]]</f>
        <v>98073241.524302095</v>
      </c>
      <c r="X517" s="152">
        <v>3229333.33</v>
      </c>
      <c r="Y517" s="201"/>
      <c r="Z517" s="36">
        <f>Table2[[#This Row],[Final Contract Value]]+Table2[[#This Row],[Supervision Contract amount]]+Table2[[#This Row],[Authority Cost]]</f>
        <v>101302574.85430209</v>
      </c>
      <c r="AA517" s="36"/>
      <c r="AB517" s="152">
        <v>56109.376666666598</v>
      </c>
      <c r="AC517" s="102" t="str">
        <f t="shared" si="27"/>
        <v>https://drive.google.com/thumbnail?id=1jjzR1RyL3evEhn3RbMY2vgThzWgq-fJN&amp;sz=w1000</v>
      </c>
      <c r="AD517" s="90" t="s">
        <v>811</v>
      </c>
      <c r="AE517" s="103" t="str">
        <f t="shared" si="28"/>
        <v>https://drive.google.com/thumbnail?id=10RRCP9PqW1a0aXZkHVOxVr_hGOY01_Ce&amp;sz=w1000</v>
      </c>
      <c r="AF517" s="90" t="s">
        <v>827</v>
      </c>
      <c r="AG517" s="90" t="str">
        <f t="shared" si="29"/>
        <v>https://drive.google.com/thumbnail?id=1MQhooDZfb_a8dh1XjYQap8rFcmtl5opU&amp;sz=w1000</v>
      </c>
      <c r="AH517" s="90" t="s">
        <v>843</v>
      </c>
    </row>
    <row r="518" spans="1:34" ht="22.15" customHeight="1">
      <c r="A518" s="30">
        <v>45541</v>
      </c>
      <c r="B518" s="17" t="s">
        <v>114</v>
      </c>
      <c r="C518" s="2" t="s">
        <v>116</v>
      </c>
      <c r="D518" s="16" t="str" cm="1">
        <f t="array" ref="D518">_xlfn.XLOOKUP(1, (Table1[Project Name]=Table2[[#This Row],[Project ID]])*(Table1[Plot]=Table2[[#This Row],[Plot]]), Table1[Project ID])</f>
        <v>MJ-13</v>
      </c>
      <c r="E518" s="69">
        <v>60</v>
      </c>
      <c r="F518" s="70">
        <v>548</v>
      </c>
      <c r="G518" s="69">
        <f>Table2[[#This Row],[Time Elapsed]]+Table2[[#This Row],[Time Remaining]]</f>
        <v>608</v>
      </c>
      <c r="H518" s="70" t="s">
        <v>679</v>
      </c>
      <c r="I518" s="70"/>
      <c r="J518" s="13">
        <v>1.5599999999999999E-2</v>
      </c>
      <c r="K518" s="137">
        <v>1.41E-2</v>
      </c>
      <c r="L518" s="13">
        <f>Table2[[#This Row],[Actual %]]-Table2[[#This Row],[Plan %]]</f>
        <v>-1.4999999999999996E-3</v>
      </c>
      <c r="M518" s="144" t="s">
        <v>280</v>
      </c>
      <c r="N518" s="193"/>
      <c r="O518" s="193"/>
      <c r="P518" s="193"/>
      <c r="Q518" s="194">
        <v>45548</v>
      </c>
      <c r="R518" s="136" t="s">
        <v>791</v>
      </c>
      <c r="S518" s="136" t="s">
        <v>792</v>
      </c>
      <c r="T518" s="143" t="s">
        <v>793</v>
      </c>
      <c r="U518" s="155">
        <v>98073241.524302095</v>
      </c>
      <c r="V518" s="152">
        <v>0</v>
      </c>
      <c r="W518" s="36">
        <f>Table2[[#This Row],[Construction Contract Amount]]+Table2[[#This Row],[Cumulative Variations]]</f>
        <v>98073241.524302095</v>
      </c>
      <c r="X518" s="152">
        <v>3229333.33</v>
      </c>
      <c r="Y518" s="201"/>
      <c r="Z518" s="36">
        <f>Table2[[#This Row],[Final Contract Value]]+Table2[[#This Row],[Supervision Contract amount]]+Table2[[#This Row],[Authority Cost]]</f>
        <v>101302574.85430209</v>
      </c>
      <c r="AA518" s="36"/>
      <c r="AB518" s="152">
        <v>56109.376666666598</v>
      </c>
      <c r="AC518" s="102" t="str">
        <f t="shared" si="27"/>
        <v>https://drive.google.com/thumbnail?id=1jjzR1RyL3evEhn3RbMY2vgThzWgq-fJN&amp;sz=w1000</v>
      </c>
      <c r="AD518" s="90" t="s">
        <v>811</v>
      </c>
      <c r="AE518" s="103" t="str">
        <f t="shared" si="28"/>
        <v>https://drive.google.com/thumbnail?id=10RRCP9PqW1a0aXZkHVOxVr_hGOY01_Ce&amp;sz=w1000</v>
      </c>
      <c r="AF518" s="90" t="s">
        <v>827</v>
      </c>
      <c r="AG518" s="90" t="str">
        <f t="shared" si="29"/>
        <v>https://drive.google.com/thumbnail?id=1MQhooDZfb_a8dh1XjYQap8rFcmtl5opU&amp;sz=w1000</v>
      </c>
      <c r="AH518" s="90" t="s">
        <v>843</v>
      </c>
    </row>
    <row r="519" spans="1:34" ht="22.15" customHeight="1">
      <c r="A519" s="30">
        <v>45541</v>
      </c>
      <c r="B519" s="17" t="s">
        <v>114</v>
      </c>
      <c r="C519" s="2" t="s">
        <v>116</v>
      </c>
      <c r="D519" s="16" t="str" cm="1">
        <f t="array" ref="D519">_xlfn.XLOOKUP(1, (Table1[Project Name]=Table2[[#This Row],[Project ID]])*(Table1[Plot]=Table2[[#This Row],[Plot]]), Table1[Project ID])</f>
        <v>MJ-13</v>
      </c>
      <c r="E519" s="69">
        <v>60</v>
      </c>
      <c r="F519" s="70">
        <v>548</v>
      </c>
      <c r="G519" s="69">
        <f>Table2[[#This Row],[Time Elapsed]]+Table2[[#This Row],[Time Remaining]]</f>
        <v>608</v>
      </c>
      <c r="H519" s="70" t="s">
        <v>679</v>
      </c>
      <c r="I519" s="70"/>
      <c r="J519" s="13">
        <v>1.5599999999999999E-2</v>
      </c>
      <c r="K519" s="137">
        <v>1.41E-2</v>
      </c>
      <c r="L519" s="13">
        <f>Table2[[#This Row],[Actual %]]-Table2[[#This Row],[Plan %]]</f>
        <v>-1.4999999999999996E-3</v>
      </c>
      <c r="M519" s="144" t="s">
        <v>281</v>
      </c>
      <c r="N519" s="193"/>
      <c r="O519" s="193"/>
      <c r="P519" s="193"/>
      <c r="Q519" s="194">
        <v>45548</v>
      </c>
      <c r="R519" s="136" t="s">
        <v>791</v>
      </c>
      <c r="S519" s="136" t="s">
        <v>792</v>
      </c>
      <c r="T519" s="143" t="s">
        <v>793</v>
      </c>
      <c r="U519" s="155">
        <v>98073241.524302095</v>
      </c>
      <c r="V519" s="152">
        <v>0</v>
      </c>
      <c r="W519" s="36">
        <f>Table2[[#This Row],[Construction Contract Amount]]+Table2[[#This Row],[Cumulative Variations]]</f>
        <v>98073241.524302095</v>
      </c>
      <c r="X519" s="152">
        <v>3229333.33</v>
      </c>
      <c r="Y519" s="201"/>
      <c r="Z519" s="36">
        <f>Table2[[#This Row],[Final Contract Value]]+Table2[[#This Row],[Supervision Contract amount]]+Table2[[#This Row],[Authority Cost]]</f>
        <v>101302574.85430209</v>
      </c>
      <c r="AA519" s="36"/>
      <c r="AB519" s="152">
        <v>56109.376666666598</v>
      </c>
      <c r="AC519" s="102" t="str">
        <f t="shared" si="27"/>
        <v>https://drive.google.com/thumbnail?id=1jjzR1RyL3evEhn3RbMY2vgThzWgq-fJN&amp;sz=w1000</v>
      </c>
      <c r="AD519" s="90" t="s">
        <v>811</v>
      </c>
      <c r="AE519" s="103" t="str">
        <f t="shared" si="28"/>
        <v>https://drive.google.com/thumbnail?id=10RRCP9PqW1a0aXZkHVOxVr_hGOY01_Ce&amp;sz=w1000</v>
      </c>
      <c r="AF519" s="90" t="s">
        <v>827</v>
      </c>
      <c r="AG519" s="90" t="str">
        <f t="shared" si="29"/>
        <v>https://drive.google.com/thumbnail?id=1MQhooDZfb_a8dh1XjYQap8rFcmtl5opU&amp;sz=w1000</v>
      </c>
      <c r="AH519" s="90" t="s">
        <v>843</v>
      </c>
    </row>
    <row r="520" spans="1:34" ht="22.15" customHeight="1">
      <c r="A520" s="30">
        <v>45541</v>
      </c>
      <c r="B520" s="17" t="s">
        <v>114</v>
      </c>
      <c r="C520" s="2" t="s">
        <v>116</v>
      </c>
      <c r="D520" s="16" t="str" cm="1">
        <f t="array" ref="D520">_xlfn.XLOOKUP(1, (Table1[Project Name]=Table2[[#This Row],[Project ID]])*(Table1[Plot]=Table2[[#This Row],[Plot]]), Table1[Project ID])</f>
        <v>MJ-13</v>
      </c>
      <c r="E520" s="69">
        <v>60</v>
      </c>
      <c r="F520" s="70">
        <v>548</v>
      </c>
      <c r="G520" s="69">
        <f>Table2[[#This Row],[Time Elapsed]]+Table2[[#This Row],[Time Remaining]]</f>
        <v>608</v>
      </c>
      <c r="H520" s="70" t="s">
        <v>679</v>
      </c>
      <c r="I520" s="70"/>
      <c r="J520" s="13">
        <v>1.5599999999999999E-2</v>
      </c>
      <c r="K520" s="137">
        <v>1.41E-2</v>
      </c>
      <c r="L520" s="13">
        <f>Table2[[#This Row],[Actual %]]-Table2[[#This Row],[Plan %]]</f>
        <v>-1.4999999999999996E-3</v>
      </c>
      <c r="M520" s="144" t="s">
        <v>282</v>
      </c>
      <c r="N520" s="193"/>
      <c r="O520" s="193"/>
      <c r="P520" s="193"/>
      <c r="Q520" s="194">
        <v>45548</v>
      </c>
      <c r="R520" s="136" t="s">
        <v>791</v>
      </c>
      <c r="S520" s="136" t="s">
        <v>792</v>
      </c>
      <c r="T520" s="143" t="s">
        <v>793</v>
      </c>
      <c r="U520" s="155">
        <v>98073241.524302095</v>
      </c>
      <c r="V520" s="152">
        <v>0</v>
      </c>
      <c r="W520" s="36">
        <f>Table2[[#This Row],[Construction Contract Amount]]+Table2[[#This Row],[Cumulative Variations]]</f>
        <v>98073241.524302095</v>
      </c>
      <c r="X520" s="152">
        <v>3229333.33</v>
      </c>
      <c r="Y520" s="201"/>
      <c r="Z520" s="36">
        <f>Table2[[#This Row],[Final Contract Value]]+Table2[[#This Row],[Supervision Contract amount]]+Table2[[#This Row],[Authority Cost]]</f>
        <v>101302574.85430209</v>
      </c>
      <c r="AA520" s="36"/>
      <c r="AB520" s="152">
        <v>56109.376666666598</v>
      </c>
      <c r="AC520" s="102" t="str">
        <f t="shared" si="27"/>
        <v>https://drive.google.com/thumbnail?id=1jjzR1RyL3evEhn3RbMY2vgThzWgq-fJN&amp;sz=w1000</v>
      </c>
      <c r="AD520" s="90" t="s">
        <v>811</v>
      </c>
      <c r="AE520" s="103" t="str">
        <f t="shared" si="28"/>
        <v>https://drive.google.com/thumbnail?id=10RRCP9PqW1a0aXZkHVOxVr_hGOY01_Ce&amp;sz=w1000</v>
      </c>
      <c r="AF520" s="90" t="s">
        <v>827</v>
      </c>
      <c r="AG520" s="90" t="str">
        <f t="shared" si="29"/>
        <v>https://drive.google.com/thumbnail?id=1MQhooDZfb_a8dh1XjYQap8rFcmtl5opU&amp;sz=w1000</v>
      </c>
      <c r="AH520" s="90" t="s">
        <v>843</v>
      </c>
    </row>
    <row r="521" spans="1:34" ht="22.15" customHeight="1">
      <c r="A521" s="30">
        <v>45541</v>
      </c>
      <c r="B521" s="17" t="s">
        <v>114</v>
      </c>
      <c r="C521" s="2" t="s">
        <v>116</v>
      </c>
      <c r="D521" s="16" t="str" cm="1">
        <f t="array" ref="D521">_xlfn.XLOOKUP(1, (Table1[Project Name]=Table2[[#This Row],[Project ID]])*(Table1[Plot]=Table2[[#This Row],[Plot]]), Table1[Project ID])</f>
        <v>MJ-13</v>
      </c>
      <c r="E521" s="69">
        <v>60</v>
      </c>
      <c r="F521" s="70">
        <v>548</v>
      </c>
      <c r="G521" s="69">
        <f>Table2[[#This Row],[Time Elapsed]]+Table2[[#This Row],[Time Remaining]]</f>
        <v>608</v>
      </c>
      <c r="H521" s="70" t="s">
        <v>679</v>
      </c>
      <c r="I521" s="70"/>
      <c r="J521" s="13">
        <v>1.5599999999999999E-2</v>
      </c>
      <c r="K521" s="137">
        <v>1.41E-2</v>
      </c>
      <c r="L521" s="13">
        <f>Table2[[#This Row],[Actual %]]-Table2[[#This Row],[Plan %]]</f>
        <v>-1.4999999999999996E-3</v>
      </c>
      <c r="M521" s="144" t="s">
        <v>283</v>
      </c>
      <c r="N521" s="193"/>
      <c r="O521" s="193"/>
      <c r="P521" s="193"/>
      <c r="Q521" s="194">
        <v>45548</v>
      </c>
      <c r="R521" s="136" t="s">
        <v>791</v>
      </c>
      <c r="S521" s="136" t="s">
        <v>792</v>
      </c>
      <c r="T521" s="143" t="s">
        <v>793</v>
      </c>
      <c r="U521" s="155">
        <v>98073241.524302095</v>
      </c>
      <c r="V521" s="152">
        <v>0</v>
      </c>
      <c r="W521" s="36">
        <f>Table2[[#This Row],[Construction Contract Amount]]+Table2[[#This Row],[Cumulative Variations]]</f>
        <v>98073241.524302095</v>
      </c>
      <c r="X521" s="152">
        <v>3229333.33</v>
      </c>
      <c r="Y521" s="201"/>
      <c r="Z521" s="36">
        <f>Table2[[#This Row],[Final Contract Value]]+Table2[[#This Row],[Supervision Contract amount]]+Table2[[#This Row],[Authority Cost]]</f>
        <v>101302574.85430209</v>
      </c>
      <c r="AA521" s="36"/>
      <c r="AB521" s="152">
        <v>56109.376666666598</v>
      </c>
      <c r="AC521" s="102" t="str">
        <f t="shared" si="27"/>
        <v>https://drive.google.com/thumbnail?id=1jjzR1RyL3evEhn3RbMY2vgThzWgq-fJN&amp;sz=w1000</v>
      </c>
      <c r="AD521" s="90" t="s">
        <v>811</v>
      </c>
      <c r="AE521" s="103" t="str">
        <f t="shared" si="28"/>
        <v>https://drive.google.com/thumbnail?id=10RRCP9PqW1a0aXZkHVOxVr_hGOY01_Ce&amp;sz=w1000</v>
      </c>
      <c r="AF521" s="90" t="s">
        <v>827</v>
      </c>
      <c r="AG521" s="90" t="str">
        <f t="shared" si="29"/>
        <v>https://drive.google.com/thumbnail?id=1MQhooDZfb_a8dh1XjYQap8rFcmtl5opU&amp;sz=w1000</v>
      </c>
      <c r="AH521" s="90" t="s">
        <v>843</v>
      </c>
    </row>
    <row r="522" spans="1:34" ht="22.15" customHeight="1">
      <c r="A522" s="30">
        <v>45541</v>
      </c>
      <c r="B522" s="17" t="s">
        <v>114</v>
      </c>
      <c r="C522" s="2" t="s">
        <v>116</v>
      </c>
      <c r="D522" s="16" t="str" cm="1">
        <f t="array" ref="D522">_xlfn.XLOOKUP(1, (Table1[Project Name]=Table2[[#This Row],[Project ID]])*(Table1[Plot]=Table2[[#This Row],[Plot]]), Table1[Project ID])</f>
        <v>MJ-13</v>
      </c>
      <c r="E522" s="69">
        <v>60</v>
      </c>
      <c r="F522" s="70">
        <v>548</v>
      </c>
      <c r="G522" s="69">
        <f>Table2[[#This Row],[Time Elapsed]]+Table2[[#This Row],[Time Remaining]]</f>
        <v>608</v>
      </c>
      <c r="H522" s="70" t="s">
        <v>679</v>
      </c>
      <c r="I522" s="70"/>
      <c r="J522" s="13">
        <v>1.5599999999999999E-2</v>
      </c>
      <c r="K522" s="137">
        <v>1.41E-2</v>
      </c>
      <c r="L522" s="13">
        <f>Table2[[#This Row],[Actual %]]-Table2[[#This Row],[Plan %]]</f>
        <v>-1.4999999999999996E-3</v>
      </c>
      <c r="M522" s="144" t="s">
        <v>284</v>
      </c>
      <c r="N522" s="193"/>
      <c r="O522" s="193"/>
      <c r="P522" s="193"/>
      <c r="Q522" s="194">
        <v>45548</v>
      </c>
      <c r="R522" s="136" t="s">
        <v>791</v>
      </c>
      <c r="S522" s="136" t="s">
        <v>792</v>
      </c>
      <c r="T522" s="143" t="s">
        <v>793</v>
      </c>
      <c r="U522" s="155">
        <v>98073241.524302095</v>
      </c>
      <c r="V522" s="152">
        <v>0</v>
      </c>
      <c r="W522" s="36">
        <f>Table2[[#This Row],[Construction Contract Amount]]+Table2[[#This Row],[Cumulative Variations]]</f>
        <v>98073241.524302095</v>
      </c>
      <c r="X522" s="152">
        <v>3229333.33</v>
      </c>
      <c r="Y522" s="201"/>
      <c r="Z522" s="36">
        <f>Table2[[#This Row],[Final Contract Value]]+Table2[[#This Row],[Supervision Contract amount]]+Table2[[#This Row],[Authority Cost]]</f>
        <v>101302574.85430209</v>
      </c>
      <c r="AA522" s="36"/>
      <c r="AB522" s="152">
        <v>56109.376666666598</v>
      </c>
      <c r="AC522" s="102" t="str">
        <f t="shared" si="27"/>
        <v>https://drive.google.com/thumbnail?id=1jjzR1RyL3evEhn3RbMY2vgThzWgq-fJN&amp;sz=w1000</v>
      </c>
      <c r="AD522" s="90" t="s">
        <v>811</v>
      </c>
      <c r="AE522" s="103" t="str">
        <f t="shared" si="28"/>
        <v>https://drive.google.com/thumbnail?id=10RRCP9PqW1a0aXZkHVOxVr_hGOY01_Ce&amp;sz=w1000</v>
      </c>
      <c r="AF522" s="90" t="s">
        <v>827</v>
      </c>
      <c r="AG522" s="90" t="str">
        <f t="shared" si="29"/>
        <v>https://drive.google.com/thumbnail?id=1MQhooDZfb_a8dh1XjYQap8rFcmtl5opU&amp;sz=w1000</v>
      </c>
      <c r="AH522" s="90" t="s">
        <v>843</v>
      </c>
    </row>
    <row r="523" spans="1:34" ht="22.15" customHeight="1">
      <c r="A523" s="30">
        <v>45541</v>
      </c>
      <c r="B523" s="17" t="s">
        <v>118</v>
      </c>
      <c r="C523" s="2" t="s">
        <v>121</v>
      </c>
      <c r="D523" s="16" t="str" cm="1">
        <f t="array" ref="D523">_xlfn.XLOOKUP(1, (Table1[Project Name]=Table2[[#This Row],[Project ID]])*(Table1[Plot]=Table2[[#This Row],[Plot]]), Table1[Project ID])</f>
        <v>MJ-14</v>
      </c>
      <c r="E523" s="69">
        <v>60</v>
      </c>
      <c r="F523" s="70">
        <v>548</v>
      </c>
      <c r="G523" s="69">
        <f>Table2[[#This Row],[Time Elapsed]]+Table2[[#This Row],[Time Remaining]]</f>
        <v>608</v>
      </c>
      <c r="H523" s="70" t="s">
        <v>766</v>
      </c>
      <c r="I523" s="70"/>
      <c r="J523" s="13">
        <v>1.5599999999999999E-2</v>
      </c>
      <c r="K523" s="137">
        <v>1.38E-2</v>
      </c>
      <c r="L523" s="13">
        <f>Table2[[#This Row],[Actual %]]-Table2[[#This Row],[Plan %]]</f>
        <v>-1.7999999999999995E-3</v>
      </c>
      <c r="M523" s="144" t="s">
        <v>28</v>
      </c>
      <c r="N523" s="193">
        <v>45489</v>
      </c>
      <c r="O523" s="193"/>
      <c r="P523" s="193"/>
      <c r="Q523" s="194">
        <v>45548</v>
      </c>
      <c r="R523" s="136" t="s">
        <v>794</v>
      </c>
      <c r="S523" s="136" t="s">
        <v>795</v>
      </c>
      <c r="T523" s="143" t="s">
        <v>793</v>
      </c>
      <c r="U523" s="157">
        <v>110585480.02186078</v>
      </c>
      <c r="V523" s="152">
        <v>0</v>
      </c>
      <c r="W523" s="36">
        <f>Table2[[#This Row],[Construction Contract Amount]]+Table2[[#This Row],[Cumulative Variations]]</f>
        <v>110585480.02186078</v>
      </c>
      <c r="X523" s="152">
        <v>3229333.33</v>
      </c>
      <c r="Y523" s="201"/>
      <c r="Z523" s="36">
        <f>Table2[[#This Row],[Final Contract Value]]+Table2[[#This Row],[Supervision Contract amount]]+Table2[[#This Row],[Authority Cost]]</f>
        <v>113814813.35186078</v>
      </c>
      <c r="AA523" s="36"/>
      <c r="AB523" s="152">
        <v>56109.376666666598</v>
      </c>
      <c r="AC523" s="102" t="str">
        <f t="shared" si="27"/>
        <v>https://drive.google.com/thumbnail?id=1P8dv2yDVWK28813AIv4m4F9tgxPrdqDO&amp;sz=w1000</v>
      </c>
      <c r="AD523" s="90" t="s">
        <v>812</v>
      </c>
      <c r="AE523" s="103" t="str">
        <f t="shared" si="28"/>
        <v>https://drive.google.com/thumbnail?id=11gAT3uSf6EhqY1gp7ESxBQx3ZJOIXz2O&amp;sz=w1000</v>
      </c>
      <c r="AF523" s="90" t="s">
        <v>828</v>
      </c>
      <c r="AG523" s="90" t="str">
        <f t="shared" si="29"/>
        <v>https://drive.google.com/thumbnail?id=10HQlUfuCM9rvKh755NA9pHKofaluje0o&amp;sz=w1000</v>
      </c>
      <c r="AH523" s="90" t="s">
        <v>844</v>
      </c>
    </row>
    <row r="524" spans="1:34" ht="22.15" customHeight="1">
      <c r="A524" s="30">
        <v>45541</v>
      </c>
      <c r="B524" s="17" t="s">
        <v>118</v>
      </c>
      <c r="C524" s="2" t="s">
        <v>121</v>
      </c>
      <c r="D524" s="16" t="str" cm="1">
        <f t="array" ref="D524">_xlfn.XLOOKUP(1, (Table1[Project Name]=Table2[[#This Row],[Project ID]])*(Table1[Plot]=Table2[[#This Row],[Plot]]), Table1[Project ID])</f>
        <v>MJ-14</v>
      </c>
      <c r="E524" s="69">
        <v>60</v>
      </c>
      <c r="F524" s="70">
        <v>555</v>
      </c>
      <c r="G524" s="69">
        <f>Table2[[#This Row],[Time Elapsed]]+Table2[[#This Row],[Time Remaining]]</f>
        <v>615</v>
      </c>
      <c r="H524" s="70" t="s">
        <v>766</v>
      </c>
      <c r="I524" s="70"/>
      <c r="J524" s="13">
        <v>1.5599999999999999E-2</v>
      </c>
      <c r="K524" s="137">
        <v>1.38E-2</v>
      </c>
      <c r="L524" s="13">
        <f>Table2[[#This Row],[Actual %]]-Table2[[#This Row],[Plan %]]</f>
        <v>-1.7999999999999995E-3</v>
      </c>
      <c r="M524" s="144" t="s">
        <v>50</v>
      </c>
      <c r="N524" s="193"/>
      <c r="O524" s="193"/>
      <c r="P524" s="193"/>
      <c r="Q524" s="194">
        <v>45548</v>
      </c>
      <c r="R524" s="136" t="s">
        <v>794</v>
      </c>
      <c r="S524" s="136" t="s">
        <v>795</v>
      </c>
      <c r="T524" s="143" t="s">
        <v>793</v>
      </c>
      <c r="U524" s="157">
        <v>110585480.02186078</v>
      </c>
      <c r="V524" s="152">
        <v>0</v>
      </c>
      <c r="W524" s="36">
        <f>Table2[[#This Row],[Construction Contract Amount]]+Table2[[#This Row],[Cumulative Variations]]</f>
        <v>110585480.02186078</v>
      </c>
      <c r="X524" s="152">
        <v>3229333.33</v>
      </c>
      <c r="Y524" s="201"/>
      <c r="Z524" s="36">
        <f>Table2[[#This Row],[Final Contract Value]]+Table2[[#This Row],[Supervision Contract amount]]+Table2[[#This Row],[Authority Cost]]</f>
        <v>113814813.35186078</v>
      </c>
      <c r="AA524" s="36"/>
      <c r="AB524" s="152">
        <v>56109.376666666598</v>
      </c>
      <c r="AC524" s="102" t="str">
        <f t="shared" si="27"/>
        <v>https://drive.google.com/thumbnail?id=1P8dv2yDVWK28813AIv4m4F9tgxPrdqDO&amp;sz=w1000</v>
      </c>
      <c r="AD524" s="90" t="s">
        <v>812</v>
      </c>
      <c r="AE524" s="103" t="str">
        <f t="shared" si="28"/>
        <v>https://drive.google.com/thumbnail?id=11gAT3uSf6EhqY1gp7ESxBQx3ZJOIXz2O&amp;sz=w1000</v>
      </c>
      <c r="AF524" s="90" t="s">
        <v>828</v>
      </c>
      <c r="AG524" s="90" t="str">
        <f t="shared" si="29"/>
        <v>https://drive.google.com/thumbnail?id=10HQlUfuCM9rvKh755NA9pHKofaluje0o&amp;sz=w1000</v>
      </c>
      <c r="AH524" s="90" t="s">
        <v>844</v>
      </c>
    </row>
    <row r="525" spans="1:34" ht="22.15" customHeight="1">
      <c r="A525" s="30">
        <v>45541</v>
      </c>
      <c r="B525" s="17" t="s">
        <v>118</v>
      </c>
      <c r="C525" s="2" t="s">
        <v>121</v>
      </c>
      <c r="D525" s="16" t="str" cm="1">
        <f t="array" ref="D525">_xlfn.XLOOKUP(1, (Table1[Project Name]=Table2[[#This Row],[Project ID]])*(Table1[Plot]=Table2[[#This Row],[Plot]]), Table1[Project ID])</f>
        <v>MJ-14</v>
      </c>
      <c r="E525" s="69">
        <v>60</v>
      </c>
      <c r="F525" s="70">
        <v>555</v>
      </c>
      <c r="G525" s="69">
        <f>Table2[[#This Row],[Time Elapsed]]+Table2[[#This Row],[Time Remaining]]</f>
        <v>615</v>
      </c>
      <c r="H525" s="70" t="s">
        <v>766</v>
      </c>
      <c r="I525" s="70"/>
      <c r="J525" s="13">
        <v>1.5599999999999999E-2</v>
      </c>
      <c r="K525" s="137">
        <v>1.38E-2</v>
      </c>
      <c r="L525" s="13">
        <f>Table2[[#This Row],[Actual %]]-Table2[[#This Row],[Plan %]]</f>
        <v>-1.7999999999999995E-3</v>
      </c>
      <c r="M525" s="144" t="s">
        <v>51</v>
      </c>
      <c r="N525" s="193"/>
      <c r="O525" s="193"/>
      <c r="P525" s="193"/>
      <c r="Q525" s="194">
        <v>45548</v>
      </c>
      <c r="R525" s="136" t="s">
        <v>794</v>
      </c>
      <c r="S525" s="136" t="s">
        <v>795</v>
      </c>
      <c r="T525" s="143" t="s">
        <v>793</v>
      </c>
      <c r="U525" s="157">
        <v>110585480.02186078</v>
      </c>
      <c r="V525" s="152">
        <v>0</v>
      </c>
      <c r="W525" s="36">
        <f>Table2[[#This Row],[Construction Contract Amount]]+Table2[[#This Row],[Cumulative Variations]]</f>
        <v>110585480.02186078</v>
      </c>
      <c r="X525" s="152">
        <v>3229333.33</v>
      </c>
      <c r="Y525" s="201"/>
      <c r="Z525" s="36">
        <f>Table2[[#This Row],[Final Contract Value]]+Table2[[#This Row],[Supervision Contract amount]]+Table2[[#This Row],[Authority Cost]]</f>
        <v>113814813.35186078</v>
      </c>
      <c r="AA525" s="36"/>
      <c r="AB525" s="152">
        <v>56109.376666666598</v>
      </c>
      <c r="AC525" s="102" t="str">
        <f t="shared" si="27"/>
        <v>https://drive.google.com/thumbnail?id=1P8dv2yDVWK28813AIv4m4F9tgxPrdqDO&amp;sz=w1000</v>
      </c>
      <c r="AD525" s="90" t="s">
        <v>812</v>
      </c>
      <c r="AE525" s="103" t="str">
        <f t="shared" si="28"/>
        <v>https://drive.google.com/thumbnail?id=11gAT3uSf6EhqY1gp7ESxBQx3ZJOIXz2O&amp;sz=w1000</v>
      </c>
      <c r="AF525" s="90" t="s">
        <v>828</v>
      </c>
      <c r="AG525" s="90" t="str">
        <f t="shared" si="29"/>
        <v>https://drive.google.com/thumbnail?id=10HQlUfuCM9rvKh755NA9pHKofaluje0o&amp;sz=w1000</v>
      </c>
      <c r="AH525" s="90" t="s">
        <v>844</v>
      </c>
    </row>
    <row r="526" spans="1:34" ht="22.15" customHeight="1">
      <c r="A526" s="30">
        <v>45541</v>
      </c>
      <c r="B526" s="17" t="s">
        <v>118</v>
      </c>
      <c r="C526" s="2" t="s">
        <v>121</v>
      </c>
      <c r="D526" s="16" t="str" cm="1">
        <f t="array" ref="D526">_xlfn.XLOOKUP(1, (Table1[Project Name]=Table2[[#This Row],[Project ID]])*(Table1[Plot]=Table2[[#This Row],[Plot]]), Table1[Project ID])</f>
        <v>MJ-14</v>
      </c>
      <c r="E526" s="69">
        <v>60</v>
      </c>
      <c r="F526" s="70">
        <v>555</v>
      </c>
      <c r="G526" s="69">
        <f>Table2[[#This Row],[Time Elapsed]]+Table2[[#This Row],[Time Remaining]]</f>
        <v>615</v>
      </c>
      <c r="H526" s="70" t="s">
        <v>766</v>
      </c>
      <c r="I526" s="70"/>
      <c r="J526" s="13">
        <v>1.5599999999999999E-2</v>
      </c>
      <c r="K526" s="137">
        <v>1.38E-2</v>
      </c>
      <c r="L526" s="13">
        <f>Table2[[#This Row],[Actual %]]-Table2[[#This Row],[Plan %]]</f>
        <v>-1.7999999999999995E-3</v>
      </c>
      <c r="M526" s="144" t="s">
        <v>275</v>
      </c>
      <c r="N526" s="193"/>
      <c r="O526" s="193"/>
      <c r="P526" s="193"/>
      <c r="Q526" s="194">
        <v>45548</v>
      </c>
      <c r="R526" s="136" t="s">
        <v>794</v>
      </c>
      <c r="S526" s="136" t="s">
        <v>795</v>
      </c>
      <c r="T526" s="143" t="s">
        <v>793</v>
      </c>
      <c r="U526" s="157">
        <v>110585480.02186078</v>
      </c>
      <c r="V526" s="152">
        <v>0</v>
      </c>
      <c r="W526" s="36">
        <f>Table2[[#This Row],[Construction Contract Amount]]+Table2[[#This Row],[Cumulative Variations]]</f>
        <v>110585480.02186078</v>
      </c>
      <c r="X526" s="152">
        <v>3229333.33</v>
      </c>
      <c r="Y526" s="201"/>
      <c r="Z526" s="36">
        <f>Table2[[#This Row],[Final Contract Value]]+Table2[[#This Row],[Supervision Contract amount]]+Table2[[#This Row],[Authority Cost]]</f>
        <v>113814813.35186078</v>
      </c>
      <c r="AA526" s="36"/>
      <c r="AB526" s="152">
        <v>56109.376666666598</v>
      </c>
      <c r="AC526" s="102" t="str">
        <f t="shared" si="27"/>
        <v>https://drive.google.com/thumbnail?id=1P8dv2yDVWK28813AIv4m4F9tgxPrdqDO&amp;sz=w1000</v>
      </c>
      <c r="AD526" s="90" t="s">
        <v>812</v>
      </c>
      <c r="AE526" s="103" t="str">
        <f t="shared" si="28"/>
        <v>https://drive.google.com/thumbnail?id=11gAT3uSf6EhqY1gp7ESxBQx3ZJOIXz2O&amp;sz=w1000</v>
      </c>
      <c r="AF526" s="90" t="s">
        <v>828</v>
      </c>
      <c r="AG526" s="90" t="str">
        <f t="shared" si="29"/>
        <v>https://drive.google.com/thumbnail?id=10HQlUfuCM9rvKh755NA9pHKofaluje0o&amp;sz=w1000</v>
      </c>
      <c r="AH526" s="90" t="s">
        <v>844</v>
      </c>
    </row>
    <row r="527" spans="1:34" ht="22.15" customHeight="1">
      <c r="A527" s="30">
        <v>45541</v>
      </c>
      <c r="B527" s="17" t="s">
        <v>118</v>
      </c>
      <c r="C527" s="2" t="s">
        <v>121</v>
      </c>
      <c r="D527" s="16" t="str" cm="1">
        <f t="array" ref="D527">_xlfn.XLOOKUP(1, (Table1[Project Name]=Table2[[#This Row],[Project ID]])*(Table1[Plot]=Table2[[#This Row],[Plot]]), Table1[Project ID])</f>
        <v>MJ-14</v>
      </c>
      <c r="E527" s="69">
        <v>60</v>
      </c>
      <c r="F527" s="70">
        <v>555</v>
      </c>
      <c r="G527" s="69">
        <f>Table2[[#This Row],[Time Elapsed]]+Table2[[#This Row],[Time Remaining]]</f>
        <v>615</v>
      </c>
      <c r="H527" s="70" t="s">
        <v>766</v>
      </c>
      <c r="I527" s="70"/>
      <c r="J527" s="13">
        <v>1.5599999999999999E-2</v>
      </c>
      <c r="K527" s="137">
        <v>1.38E-2</v>
      </c>
      <c r="L527" s="13">
        <f>Table2[[#This Row],[Actual %]]-Table2[[#This Row],[Plan %]]</f>
        <v>-1.7999999999999995E-3</v>
      </c>
      <c r="M527" s="144" t="s">
        <v>276</v>
      </c>
      <c r="N527" s="193"/>
      <c r="O527" s="193"/>
      <c r="P527" s="193"/>
      <c r="Q527" s="194">
        <v>45548</v>
      </c>
      <c r="R527" s="136" t="s">
        <v>794</v>
      </c>
      <c r="S527" s="136" t="s">
        <v>795</v>
      </c>
      <c r="T527" s="143" t="s">
        <v>793</v>
      </c>
      <c r="U527" s="157">
        <v>110585480.02186078</v>
      </c>
      <c r="V527" s="152">
        <v>0</v>
      </c>
      <c r="W527" s="36">
        <f>Table2[[#This Row],[Construction Contract Amount]]+Table2[[#This Row],[Cumulative Variations]]</f>
        <v>110585480.02186078</v>
      </c>
      <c r="X527" s="152">
        <v>3229333.33</v>
      </c>
      <c r="Y527" s="201"/>
      <c r="Z527" s="36">
        <f>Table2[[#This Row],[Final Contract Value]]+Table2[[#This Row],[Supervision Contract amount]]+Table2[[#This Row],[Authority Cost]]</f>
        <v>113814813.35186078</v>
      </c>
      <c r="AA527" s="36"/>
      <c r="AB527" s="152">
        <v>56109.376666666598</v>
      </c>
      <c r="AC527" s="102" t="str">
        <f t="shared" si="27"/>
        <v>https://drive.google.com/thumbnail?id=1P8dv2yDVWK28813AIv4m4F9tgxPrdqDO&amp;sz=w1000</v>
      </c>
      <c r="AD527" s="90" t="s">
        <v>812</v>
      </c>
      <c r="AE527" s="103" t="str">
        <f t="shared" si="28"/>
        <v>https://drive.google.com/thumbnail?id=11gAT3uSf6EhqY1gp7ESxBQx3ZJOIXz2O&amp;sz=w1000</v>
      </c>
      <c r="AF527" s="90" t="s">
        <v>828</v>
      </c>
      <c r="AG527" s="90" t="str">
        <f t="shared" si="29"/>
        <v>https://drive.google.com/thumbnail?id=10HQlUfuCM9rvKh755NA9pHKofaluje0o&amp;sz=w1000</v>
      </c>
      <c r="AH527" s="90" t="s">
        <v>844</v>
      </c>
    </row>
    <row r="528" spans="1:34" ht="22.15" customHeight="1">
      <c r="A528" s="30">
        <v>45541</v>
      </c>
      <c r="B528" s="17" t="s">
        <v>118</v>
      </c>
      <c r="C528" s="2" t="s">
        <v>121</v>
      </c>
      <c r="D528" s="16" t="str" cm="1">
        <f t="array" ref="D528">_xlfn.XLOOKUP(1, (Table1[Project Name]=Table2[[#This Row],[Project ID]])*(Table1[Plot]=Table2[[#This Row],[Plot]]), Table1[Project ID])</f>
        <v>MJ-14</v>
      </c>
      <c r="E528" s="69">
        <v>60</v>
      </c>
      <c r="F528" s="70">
        <v>555</v>
      </c>
      <c r="G528" s="69">
        <f>Table2[[#This Row],[Time Elapsed]]+Table2[[#This Row],[Time Remaining]]</f>
        <v>615</v>
      </c>
      <c r="H528" s="70" t="s">
        <v>766</v>
      </c>
      <c r="I528" s="70"/>
      <c r="J528" s="13">
        <v>1.5599999999999999E-2</v>
      </c>
      <c r="K528" s="137">
        <v>1.38E-2</v>
      </c>
      <c r="L528" s="13">
        <f>Table2[[#This Row],[Actual %]]-Table2[[#This Row],[Plan %]]</f>
        <v>-1.7999999999999995E-3</v>
      </c>
      <c r="M528" s="144" t="s">
        <v>277</v>
      </c>
      <c r="N528" s="193"/>
      <c r="O528" s="193"/>
      <c r="P528" s="193"/>
      <c r="Q528" s="194">
        <v>45548</v>
      </c>
      <c r="R528" s="136" t="s">
        <v>794</v>
      </c>
      <c r="S528" s="136" t="s">
        <v>795</v>
      </c>
      <c r="T528" s="143" t="s">
        <v>793</v>
      </c>
      <c r="U528" s="157">
        <v>110585480.02186078</v>
      </c>
      <c r="V528" s="152">
        <v>0</v>
      </c>
      <c r="W528" s="36">
        <f>Table2[[#This Row],[Construction Contract Amount]]+Table2[[#This Row],[Cumulative Variations]]</f>
        <v>110585480.02186078</v>
      </c>
      <c r="X528" s="152">
        <v>3229333.33</v>
      </c>
      <c r="Y528" s="201"/>
      <c r="Z528" s="36">
        <f>Table2[[#This Row],[Final Contract Value]]+Table2[[#This Row],[Supervision Contract amount]]+Table2[[#This Row],[Authority Cost]]</f>
        <v>113814813.35186078</v>
      </c>
      <c r="AA528" s="36"/>
      <c r="AB528" s="152">
        <v>56109.376666666598</v>
      </c>
      <c r="AC528" s="102" t="str">
        <f t="shared" si="27"/>
        <v>https://drive.google.com/thumbnail?id=1P8dv2yDVWK28813AIv4m4F9tgxPrdqDO&amp;sz=w1000</v>
      </c>
      <c r="AD528" s="90" t="s">
        <v>812</v>
      </c>
      <c r="AE528" s="103" t="str">
        <f t="shared" si="28"/>
        <v>https://drive.google.com/thumbnail?id=11gAT3uSf6EhqY1gp7ESxBQx3ZJOIXz2O&amp;sz=w1000</v>
      </c>
      <c r="AF528" s="90" t="s">
        <v>828</v>
      </c>
      <c r="AG528" s="90" t="str">
        <f t="shared" si="29"/>
        <v>https://drive.google.com/thumbnail?id=10HQlUfuCM9rvKh755NA9pHKofaluje0o&amp;sz=w1000</v>
      </c>
      <c r="AH528" s="90" t="s">
        <v>844</v>
      </c>
    </row>
    <row r="529" spans="1:34" ht="22.15" customHeight="1">
      <c r="A529" s="30">
        <v>45541</v>
      </c>
      <c r="B529" s="17" t="s">
        <v>118</v>
      </c>
      <c r="C529" s="2" t="s">
        <v>121</v>
      </c>
      <c r="D529" s="16" t="str" cm="1">
        <f t="array" ref="D529">_xlfn.XLOOKUP(1, (Table1[Project Name]=Table2[[#This Row],[Project ID]])*(Table1[Plot]=Table2[[#This Row],[Plot]]), Table1[Project ID])</f>
        <v>MJ-14</v>
      </c>
      <c r="E529" s="69">
        <v>60</v>
      </c>
      <c r="F529" s="70">
        <v>555</v>
      </c>
      <c r="G529" s="69">
        <f>Table2[[#This Row],[Time Elapsed]]+Table2[[#This Row],[Time Remaining]]</f>
        <v>615</v>
      </c>
      <c r="H529" s="70" t="s">
        <v>766</v>
      </c>
      <c r="I529" s="70"/>
      <c r="J529" s="13">
        <v>1.5599999999999999E-2</v>
      </c>
      <c r="K529" s="137">
        <v>1.38E-2</v>
      </c>
      <c r="L529" s="13">
        <f>Table2[[#This Row],[Actual %]]-Table2[[#This Row],[Plan %]]</f>
        <v>-1.7999999999999995E-3</v>
      </c>
      <c r="M529" s="144" t="s">
        <v>278</v>
      </c>
      <c r="N529" s="193"/>
      <c r="O529" s="193"/>
      <c r="P529" s="193"/>
      <c r="Q529" s="194">
        <v>45548</v>
      </c>
      <c r="R529" s="136" t="s">
        <v>794</v>
      </c>
      <c r="S529" s="136" t="s">
        <v>795</v>
      </c>
      <c r="T529" s="143" t="s">
        <v>793</v>
      </c>
      <c r="U529" s="157">
        <v>110585480.02186078</v>
      </c>
      <c r="V529" s="152">
        <v>0</v>
      </c>
      <c r="W529" s="36">
        <f>Table2[[#This Row],[Construction Contract Amount]]+Table2[[#This Row],[Cumulative Variations]]</f>
        <v>110585480.02186078</v>
      </c>
      <c r="X529" s="152">
        <v>3229333.33</v>
      </c>
      <c r="Y529" s="201"/>
      <c r="Z529" s="36">
        <f>Table2[[#This Row],[Final Contract Value]]+Table2[[#This Row],[Supervision Contract amount]]+Table2[[#This Row],[Authority Cost]]</f>
        <v>113814813.35186078</v>
      </c>
      <c r="AA529" s="36"/>
      <c r="AB529" s="152">
        <v>56109.376666666598</v>
      </c>
      <c r="AC529" s="102" t="str">
        <f t="shared" si="27"/>
        <v>https://drive.google.com/thumbnail?id=1P8dv2yDVWK28813AIv4m4F9tgxPrdqDO&amp;sz=w1000</v>
      </c>
      <c r="AD529" s="90" t="s">
        <v>812</v>
      </c>
      <c r="AE529" s="103" t="str">
        <f t="shared" si="28"/>
        <v>https://drive.google.com/thumbnail?id=11gAT3uSf6EhqY1gp7ESxBQx3ZJOIXz2O&amp;sz=w1000</v>
      </c>
      <c r="AF529" s="90" t="s">
        <v>828</v>
      </c>
      <c r="AG529" s="90" t="str">
        <f t="shared" si="29"/>
        <v>https://drive.google.com/thumbnail?id=10HQlUfuCM9rvKh755NA9pHKofaluje0o&amp;sz=w1000</v>
      </c>
      <c r="AH529" s="90" t="s">
        <v>844</v>
      </c>
    </row>
    <row r="530" spans="1:34" ht="22.15" customHeight="1">
      <c r="A530" s="30">
        <v>45541</v>
      </c>
      <c r="B530" s="17" t="s">
        <v>118</v>
      </c>
      <c r="C530" s="2" t="s">
        <v>121</v>
      </c>
      <c r="D530" s="16" t="str" cm="1">
        <f t="array" ref="D530">_xlfn.XLOOKUP(1, (Table1[Project Name]=Table2[[#This Row],[Project ID]])*(Table1[Plot]=Table2[[#This Row],[Plot]]), Table1[Project ID])</f>
        <v>MJ-14</v>
      </c>
      <c r="E530" s="69">
        <v>60</v>
      </c>
      <c r="F530" s="70">
        <v>555</v>
      </c>
      <c r="G530" s="69">
        <f>Table2[[#This Row],[Time Elapsed]]+Table2[[#This Row],[Time Remaining]]</f>
        <v>615</v>
      </c>
      <c r="H530" s="70" t="s">
        <v>766</v>
      </c>
      <c r="I530" s="70"/>
      <c r="J530" s="13">
        <v>1.5599999999999999E-2</v>
      </c>
      <c r="K530" s="137">
        <v>1.38E-2</v>
      </c>
      <c r="L530" s="13">
        <f>Table2[[#This Row],[Actual %]]-Table2[[#This Row],[Plan %]]</f>
        <v>-1.7999999999999995E-3</v>
      </c>
      <c r="M530" s="144" t="s">
        <v>279</v>
      </c>
      <c r="N530" s="193"/>
      <c r="O530" s="193"/>
      <c r="P530" s="193"/>
      <c r="Q530" s="194">
        <v>45548</v>
      </c>
      <c r="R530" s="136" t="s">
        <v>794</v>
      </c>
      <c r="S530" s="136" t="s">
        <v>795</v>
      </c>
      <c r="T530" s="143" t="s">
        <v>793</v>
      </c>
      <c r="U530" s="157">
        <v>110585480.02186078</v>
      </c>
      <c r="V530" s="152">
        <v>0</v>
      </c>
      <c r="W530" s="36">
        <f>Table2[[#This Row],[Construction Contract Amount]]+Table2[[#This Row],[Cumulative Variations]]</f>
        <v>110585480.02186078</v>
      </c>
      <c r="X530" s="152">
        <v>3229333.33</v>
      </c>
      <c r="Y530" s="201"/>
      <c r="Z530" s="36">
        <f>Table2[[#This Row],[Final Contract Value]]+Table2[[#This Row],[Supervision Contract amount]]+Table2[[#This Row],[Authority Cost]]</f>
        <v>113814813.35186078</v>
      </c>
      <c r="AA530" s="36"/>
      <c r="AB530" s="152">
        <v>56109.376666666598</v>
      </c>
      <c r="AC530" s="102" t="str">
        <f t="shared" si="27"/>
        <v>https://drive.google.com/thumbnail?id=1P8dv2yDVWK28813AIv4m4F9tgxPrdqDO&amp;sz=w1000</v>
      </c>
      <c r="AD530" s="90" t="s">
        <v>812</v>
      </c>
      <c r="AE530" s="103" t="str">
        <f t="shared" si="28"/>
        <v>https://drive.google.com/thumbnail?id=11gAT3uSf6EhqY1gp7ESxBQx3ZJOIXz2O&amp;sz=w1000</v>
      </c>
      <c r="AF530" s="90" t="s">
        <v>828</v>
      </c>
      <c r="AG530" s="90" t="str">
        <f t="shared" si="29"/>
        <v>https://drive.google.com/thumbnail?id=10HQlUfuCM9rvKh755NA9pHKofaluje0o&amp;sz=w1000</v>
      </c>
      <c r="AH530" s="90" t="s">
        <v>844</v>
      </c>
    </row>
    <row r="531" spans="1:34" ht="22.15" customHeight="1">
      <c r="A531" s="30">
        <v>45541</v>
      </c>
      <c r="B531" s="17" t="s">
        <v>118</v>
      </c>
      <c r="C531" s="2" t="s">
        <v>121</v>
      </c>
      <c r="D531" s="16" t="str" cm="1">
        <f t="array" ref="D531">_xlfn.XLOOKUP(1, (Table1[Project Name]=Table2[[#This Row],[Project ID]])*(Table1[Plot]=Table2[[#This Row],[Plot]]), Table1[Project ID])</f>
        <v>MJ-14</v>
      </c>
      <c r="E531" s="69">
        <v>60</v>
      </c>
      <c r="F531" s="70">
        <v>555</v>
      </c>
      <c r="G531" s="69">
        <f>Table2[[#This Row],[Time Elapsed]]+Table2[[#This Row],[Time Remaining]]</f>
        <v>615</v>
      </c>
      <c r="H531" s="70" t="s">
        <v>766</v>
      </c>
      <c r="I531" s="70"/>
      <c r="J531" s="13">
        <v>1.5599999999999999E-2</v>
      </c>
      <c r="K531" s="137">
        <v>1.38E-2</v>
      </c>
      <c r="L531" s="13">
        <f>Table2[[#This Row],[Actual %]]-Table2[[#This Row],[Plan %]]</f>
        <v>-1.7999999999999995E-3</v>
      </c>
      <c r="M531" s="144" t="s">
        <v>280</v>
      </c>
      <c r="N531" s="193"/>
      <c r="O531" s="193"/>
      <c r="P531" s="193"/>
      <c r="Q531" s="194">
        <v>45548</v>
      </c>
      <c r="R531" s="136" t="s">
        <v>794</v>
      </c>
      <c r="S531" s="136" t="s">
        <v>795</v>
      </c>
      <c r="T531" s="143" t="s">
        <v>793</v>
      </c>
      <c r="U531" s="157">
        <v>110585480.02186078</v>
      </c>
      <c r="V531" s="152">
        <v>0</v>
      </c>
      <c r="W531" s="36">
        <f>Table2[[#This Row],[Construction Contract Amount]]+Table2[[#This Row],[Cumulative Variations]]</f>
        <v>110585480.02186078</v>
      </c>
      <c r="X531" s="152">
        <v>3229333.33</v>
      </c>
      <c r="Y531" s="201"/>
      <c r="Z531" s="36">
        <f>Table2[[#This Row],[Final Contract Value]]+Table2[[#This Row],[Supervision Contract amount]]+Table2[[#This Row],[Authority Cost]]</f>
        <v>113814813.35186078</v>
      </c>
      <c r="AA531" s="36"/>
      <c r="AB531" s="152">
        <v>56109.376666666598</v>
      </c>
      <c r="AC531" s="102" t="str">
        <f t="shared" si="27"/>
        <v>https://drive.google.com/thumbnail?id=1P8dv2yDVWK28813AIv4m4F9tgxPrdqDO&amp;sz=w1000</v>
      </c>
      <c r="AD531" s="90" t="s">
        <v>812</v>
      </c>
      <c r="AE531" s="103" t="str">
        <f t="shared" si="28"/>
        <v>https://drive.google.com/thumbnail?id=11gAT3uSf6EhqY1gp7ESxBQx3ZJOIXz2O&amp;sz=w1000</v>
      </c>
      <c r="AF531" s="90" t="s">
        <v>828</v>
      </c>
      <c r="AG531" s="90" t="str">
        <f t="shared" si="29"/>
        <v>https://drive.google.com/thumbnail?id=10HQlUfuCM9rvKh755NA9pHKofaluje0o&amp;sz=w1000</v>
      </c>
      <c r="AH531" s="90" t="s">
        <v>844</v>
      </c>
    </row>
    <row r="532" spans="1:34" ht="22.15" customHeight="1">
      <c r="A532" s="30">
        <v>45541</v>
      </c>
      <c r="B532" s="17" t="s">
        <v>118</v>
      </c>
      <c r="C532" s="2" t="s">
        <v>121</v>
      </c>
      <c r="D532" s="16" t="str" cm="1">
        <f t="array" ref="D532">_xlfn.XLOOKUP(1, (Table1[Project Name]=Table2[[#This Row],[Project ID]])*(Table1[Plot]=Table2[[#This Row],[Plot]]), Table1[Project ID])</f>
        <v>MJ-14</v>
      </c>
      <c r="E532" s="69">
        <v>60</v>
      </c>
      <c r="F532" s="70">
        <v>555</v>
      </c>
      <c r="G532" s="69">
        <f>Table2[[#This Row],[Time Elapsed]]+Table2[[#This Row],[Time Remaining]]</f>
        <v>615</v>
      </c>
      <c r="H532" s="70" t="s">
        <v>766</v>
      </c>
      <c r="I532" s="70"/>
      <c r="J532" s="13">
        <v>1.5599999999999999E-2</v>
      </c>
      <c r="K532" s="137">
        <v>1.38E-2</v>
      </c>
      <c r="L532" s="13">
        <f>Table2[[#This Row],[Actual %]]-Table2[[#This Row],[Plan %]]</f>
        <v>-1.7999999999999995E-3</v>
      </c>
      <c r="M532" s="144" t="s">
        <v>281</v>
      </c>
      <c r="N532" s="193"/>
      <c r="O532" s="193"/>
      <c r="P532" s="193"/>
      <c r="Q532" s="194">
        <v>45548</v>
      </c>
      <c r="R532" s="136" t="s">
        <v>794</v>
      </c>
      <c r="S532" s="136" t="s">
        <v>795</v>
      </c>
      <c r="T532" s="143" t="s">
        <v>793</v>
      </c>
      <c r="U532" s="157">
        <v>110585480.02186078</v>
      </c>
      <c r="V532" s="152">
        <v>0</v>
      </c>
      <c r="W532" s="36">
        <f>Table2[[#This Row],[Construction Contract Amount]]+Table2[[#This Row],[Cumulative Variations]]</f>
        <v>110585480.02186078</v>
      </c>
      <c r="X532" s="152">
        <v>3229333.33</v>
      </c>
      <c r="Y532" s="201"/>
      <c r="Z532" s="36">
        <f>Table2[[#This Row],[Final Contract Value]]+Table2[[#This Row],[Supervision Contract amount]]+Table2[[#This Row],[Authority Cost]]</f>
        <v>113814813.35186078</v>
      </c>
      <c r="AA532" s="36"/>
      <c r="AB532" s="152">
        <v>56109.376666666598</v>
      </c>
      <c r="AC532" s="102" t="str">
        <f t="shared" si="27"/>
        <v>https://drive.google.com/thumbnail?id=1P8dv2yDVWK28813AIv4m4F9tgxPrdqDO&amp;sz=w1000</v>
      </c>
      <c r="AD532" s="90" t="s">
        <v>812</v>
      </c>
      <c r="AE532" s="103" t="str">
        <f t="shared" si="28"/>
        <v>https://drive.google.com/thumbnail?id=11gAT3uSf6EhqY1gp7ESxBQx3ZJOIXz2O&amp;sz=w1000</v>
      </c>
      <c r="AF532" s="90" t="s">
        <v>828</v>
      </c>
      <c r="AG532" s="90" t="str">
        <f t="shared" si="29"/>
        <v>https://drive.google.com/thumbnail?id=10HQlUfuCM9rvKh755NA9pHKofaluje0o&amp;sz=w1000</v>
      </c>
      <c r="AH532" s="90" t="s">
        <v>844</v>
      </c>
    </row>
    <row r="533" spans="1:34" ht="22.15" customHeight="1">
      <c r="A533" s="30">
        <v>45541</v>
      </c>
      <c r="B533" s="17" t="s">
        <v>118</v>
      </c>
      <c r="C533" s="2" t="s">
        <v>121</v>
      </c>
      <c r="D533" s="16" t="str" cm="1">
        <f t="array" ref="D533">_xlfn.XLOOKUP(1, (Table1[Project Name]=Table2[[#This Row],[Project ID]])*(Table1[Plot]=Table2[[#This Row],[Plot]]), Table1[Project ID])</f>
        <v>MJ-14</v>
      </c>
      <c r="E533" s="69">
        <v>60</v>
      </c>
      <c r="F533" s="70">
        <v>555</v>
      </c>
      <c r="G533" s="69">
        <f>Table2[[#This Row],[Time Elapsed]]+Table2[[#This Row],[Time Remaining]]</f>
        <v>615</v>
      </c>
      <c r="H533" s="70" t="s">
        <v>766</v>
      </c>
      <c r="I533" s="70"/>
      <c r="J533" s="13">
        <v>1.5599999999999999E-2</v>
      </c>
      <c r="K533" s="137">
        <v>1.38E-2</v>
      </c>
      <c r="L533" s="13">
        <f>Table2[[#This Row],[Actual %]]-Table2[[#This Row],[Plan %]]</f>
        <v>-1.7999999999999995E-3</v>
      </c>
      <c r="M533" s="144" t="s">
        <v>282</v>
      </c>
      <c r="N533" s="193"/>
      <c r="O533" s="193"/>
      <c r="P533" s="193"/>
      <c r="Q533" s="194">
        <v>45548</v>
      </c>
      <c r="R533" s="136" t="s">
        <v>794</v>
      </c>
      <c r="S533" s="136" t="s">
        <v>795</v>
      </c>
      <c r="T533" s="143" t="s">
        <v>793</v>
      </c>
      <c r="U533" s="157">
        <v>110585480.02186078</v>
      </c>
      <c r="V533" s="152">
        <v>0</v>
      </c>
      <c r="W533" s="36">
        <f>Table2[[#This Row],[Construction Contract Amount]]+Table2[[#This Row],[Cumulative Variations]]</f>
        <v>110585480.02186078</v>
      </c>
      <c r="X533" s="152">
        <v>3229333.33</v>
      </c>
      <c r="Y533" s="201"/>
      <c r="Z533" s="36">
        <f>Table2[[#This Row],[Final Contract Value]]+Table2[[#This Row],[Supervision Contract amount]]+Table2[[#This Row],[Authority Cost]]</f>
        <v>113814813.35186078</v>
      </c>
      <c r="AA533" s="36"/>
      <c r="AB533" s="152">
        <v>56109.376666666598</v>
      </c>
      <c r="AC533" s="102" t="str">
        <f t="shared" si="27"/>
        <v>https://drive.google.com/thumbnail?id=1P8dv2yDVWK28813AIv4m4F9tgxPrdqDO&amp;sz=w1000</v>
      </c>
      <c r="AD533" s="90" t="s">
        <v>812</v>
      </c>
      <c r="AE533" s="103" t="str">
        <f t="shared" si="28"/>
        <v>https://drive.google.com/thumbnail?id=11gAT3uSf6EhqY1gp7ESxBQx3ZJOIXz2O&amp;sz=w1000</v>
      </c>
      <c r="AF533" s="90" t="s">
        <v>828</v>
      </c>
      <c r="AG533" s="90" t="str">
        <f t="shared" si="29"/>
        <v>https://drive.google.com/thumbnail?id=10HQlUfuCM9rvKh755NA9pHKofaluje0o&amp;sz=w1000</v>
      </c>
      <c r="AH533" s="90" t="s">
        <v>844</v>
      </c>
    </row>
    <row r="534" spans="1:34" ht="22.15" customHeight="1">
      <c r="A534" s="30">
        <v>45541</v>
      </c>
      <c r="B534" s="17" t="s">
        <v>118</v>
      </c>
      <c r="C534" s="2" t="s">
        <v>121</v>
      </c>
      <c r="D534" s="16" t="str" cm="1">
        <f t="array" ref="D534">_xlfn.XLOOKUP(1, (Table1[Project Name]=Table2[[#This Row],[Project ID]])*(Table1[Plot]=Table2[[#This Row],[Plot]]), Table1[Project ID])</f>
        <v>MJ-14</v>
      </c>
      <c r="E534" s="69">
        <v>60</v>
      </c>
      <c r="F534" s="70">
        <v>555</v>
      </c>
      <c r="G534" s="69">
        <f>Table2[[#This Row],[Time Elapsed]]+Table2[[#This Row],[Time Remaining]]</f>
        <v>615</v>
      </c>
      <c r="H534" s="70" t="s">
        <v>766</v>
      </c>
      <c r="I534" s="70"/>
      <c r="J534" s="13">
        <v>1.5599999999999999E-2</v>
      </c>
      <c r="K534" s="137">
        <v>1.38E-2</v>
      </c>
      <c r="L534" s="13">
        <f>Table2[[#This Row],[Actual %]]-Table2[[#This Row],[Plan %]]</f>
        <v>-1.7999999999999995E-3</v>
      </c>
      <c r="M534" s="144" t="s">
        <v>283</v>
      </c>
      <c r="N534" s="193"/>
      <c r="O534" s="193"/>
      <c r="P534" s="193"/>
      <c r="Q534" s="194">
        <v>45548</v>
      </c>
      <c r="R534" s="136" t="s">
        <v>794</v>
      </c>
      <c r="S534" s="136" t="s">
        <v>795</v>
      </c>
      <c r="T534" s="143" t="s">
        <v>793</v>
      </c>
      <c r="U534" s="157">
        <v>110585480.02186078</v>
      </c>
      <c r="V534" s="152">
        <v>0</v>
      </c>
      <c r="W534" s="36">
        <f>Table2[[#This Row],[Construction Contract Amount]]+Table2[[#This Row],[Cumulative Variations]]</f>
        <v>110585480.02186078</v>
      </c>
      <c r="X534" s="152">
        <v>3229333.33</v>
      </c>
      <c r="Y534" s="201"/>
      <c r="Z534" s="36">
        <f>Table2[[#This Row],[Final Contract Value]]+Table2[[#This Row],[Supervision Contract amount]]+Table2[[#This Row],[Authority Cost]]</f>
        <v>113814813.35186078</v>
      </c>
      <c r="AA534" s="36"/>
      <c r="AB534" s="152">
        <v>56109.376666666598</v>
      </c>
      <c r="AC534" s="102" t="str">
        <f t="shared" si="27"/>
        <v>https://drive.google.com/thumbnail?id=1P8dv2yDVWK28813AIv4m4F9tgxPrdqDO&amp;sz=w1000</v>
      </c>
      <c r="AD534" s="90" t="s">
        <v>812</v>
      </c>
      <c r="AE534" s="103" t="str">
        <f t="shared" si="28"/>
        <v>https://drive.google.com/thumbnail?id=11gAT3uSf6EhqY1gp7ESxBQx3ZJOIXz2O&amp;sz=w1000</v>
      </c>
      <c r="AF534" s="90" t="s">
        <v>828</v>
      </c>
      <c r="AG534" s="90" t="str">
        <f t="shared" si="29"/>
        <v>https://drive.google.com/thumbnail?id=10HQlUfuCM9rvKh755NA9pHKofaluje0o&amp;sz=w1000</v>
      </c>
      <c r="AH534" s="90" t="s">
        <v>844</v>
      </c>
    </row>
    <row r="535" spans="1:34" ht="22.15" customHeight="1">
      <c r="A535" s="30">
        <v>45541</v>
      </c>
      <c r="B535" s="17" t="s">
        <v>118</v>
      </c>
      <c r="C535" s="2" t="s">
        <v>121</v>
      </c>
      <c r="D535" s="16" t="str" cm="1">
        <f t="array" ref="D535">_xlfn.XLOOKUP(1, (Table1[Project Name]=Table2[[#This Row],[Project ID]])*(Table1[Plot]=Table2[[#This Row],[Plot]]), Table1[Project ID])</f>
        <v>MJ-14</v>
      </c>
      <c r="E535" s="69">
        <v>60</v>
      </c>
      <c r="F535" s="70">
        <v>555</v>
      </c>
      <c r="G535" s="69">
        <f>Table2[[#This Row],[Time Elapsed]]+Table2[[#This Row],[Time Remaining]]</f>
        <v>615</v>
      </c>
      <c r="H535" s="70" t="s">
        <v>766</v>
      </c>
      <c r="I535" s="70"/>
      <c r="J535" s="13">
        <v>1.5599999999999999E-2</v>
      </c>
      <c r="K535" s="137">
        <v>1.38E-2</v>
      </c>
      <c r="L535" s="13">
        <f>Table2[[#This Row],[Actual %]]-Table2[[#This Row],[Plan %]]</f>
        <v>-1.7999999999999995E-3</v>
      </c>
      <c r="M535" s="144" t="s">
        <v>284</v>
      </c>
      <c r="N535" s="193"/>
      <c r="O535" s="193"/>
      <c r="P535" s="193"/>
      <c r="Q535" s="194">
        <v>45548</v>
      </c>
      <c r="R535" s="136" t="s">
        <v>794</v>
      </c>
      <c r="S535" s="136" t="s">
        <v>795</v>
      </c>
      <c r="T535" s="143" t="s">
        <v>793</v>
      </c>
      <c r="U535" s="157">
        <v>110585480.02186078</v>
      </c>
      <c r="V535" s="152">
        <v>0</v>
      </c>
      <c r="W535" s="36">
        <f>Table2[[#This Row],[Construction Contract Amount]]+Table2[[#This Row],[Cumulative Variations]]</f>
        <v>110585480.02186078</v>
      </c>
      <c r="X535" s="152">
        <v>3229333.33</v>
      </c>
      <c r="Y535" s="201"/>
      <c r="Z535" s="36">
        <f>Table2[[#This Row],[Final Contract Value]]+Table2[[#This Row],[Supervision Contract amount]]+Table2[[#This Row],[Authority Cost]]</f>
        <v>113814813.35186078</v>
      </c>
      <c r="AA535" s="36"/>
      <c r="AB535" s="152">
        <v>56109.376666666598</v>
      </c>
      <c r="AC535" s="102" t="str">
        <f t="shared" si="27"/>
        <v>https://drive.google.com/thumbnail?id=1P8dv2yDVWK28813AIv4m4F9tgxPrdqDO&amp;sz=w1000</v>
      </c>
      <c r="AD535" s="90" t="s">
        <v>812</v>
      </c>
      <c r="AE535" s="103" t="str">
        <f t="shared" si="28"/>
        <v>https://drive.google.com/thumbnail?id=11gAT3uSf6EhqY1gp7ESxBQx3ZJOIXz2O&amp;sz=w1000</v>
      </c>
      <c r="AF535" s="90" t="s">
        <v>828</v>
      </c>
      <c r="AG535" s="90" t="str">
        <f t="shared" si="29"/>
        <v>https://drive.google.com/thumbnail?id=10HQlUfuCM9rvKh755NA9pHKofaluje0o&amp;sz=w1000</v>
      </c>
      <c r="AH535" s="90" t="s">
        <v>844</v>
      </c>
    </row>
    <row r="536" spans="1:34" ht="22.15" customHeight="1">
      <c r="A536" s="187">
        <v>45541</v>
      </c>
      <c r="B536" s="17" t="s">
        <v>237</v>
      </c>
      <c r="C536" s="17" t="s">
        <v>239</v>
      </c>
      <c r="D536" s="16" t="str" cm="1">
        <f t="array" ref="D536">_xlfn.XLOOKUP(1, (Table1[Project Name]=Table2[[#This Row],[Project ID]])*(Table1[Plot]=Table2[[#This Row],[Plot]]), Table1[Project ID])</f>
        <v>SC-01</v>
      </c>
      <c r="E536" s="69">
        <v>186</v>
      </c>
      <c r="F536" s="70">
        <v>363</v>
      </c>
      <c r="G536" s="69">
        <f>Table2[[#This Row],[Time Elapsed]]+Table2[[#This Row],[Time Remaining]]</f>
        <v>549</v>
      </c>
      <c r="H536" s="70" t="s">
        <v>767</v>
      </c>
      <c r="I536" s="70" t="s">
        <v>693</v>
      </c>
      <c r="J536" s="192">
        <v>3.7499999999999999E-2</v>
      </c>
      <c r="K536" s="192">
        <v>0.15359999999999999</v>
      </c>
      <c r="L536" s="13">
        <f>Table2[[#This Row],[Actual %]]-Table2[[#This Row],[Plan %]]</f>
        <v>0.11609999999999998</v>
      </c>
      <c r="M536" s="163" t="s">
        <v>285</v>
      </c>
      <c r="N536" s="197">
        <v>45356</v>
      </c>
      <c r="O536" s="197">
        <v>45356</v>
      </c>
      <c r="P536" s="197" t="s">
        <v>796</v>
      </c>
      <c r="Q536" s="198">
        <v>45541</v>
      </c>
      <c r="R536" s="159" t="s">
        <v>700</v>
      </c>
      <c r="S536" s="159" t="s">
        <v>701</v>
      </c>
      <c r="T536" s="164" t="s">
        <v>797</v>
      </c>
      <c r="U536" s="122">
        <v>78077600</v>
      </c>
      <c r="V536" s="123">
        <v>0</v>
      </c>
      <c r="W536" s="36">
        <f>Table2[[#This Row],[Construction Contract Amount]]+Table2[[#This Row],[Cumulative Variations]]</f>
        <v>78077600</v>
      </c>
      <c r="X536" s="123">
        <v>1576709</v>
      </c>
      <c r="Y536" s="201"/>
      <c r="Z536" s="36">
        <f>Table2[[#This Row],[Final Contract Value]]+Table2[[#This Row],[Supervision Contract amount]]+Table2[[#This Row],[Authority Cost]]</f>
        <v>79654309</v>
      </c>
      <c r="AA536" s="123">
        <v>8897764.4964881185</v>
      </c>
      <c r="AB536" s="123">
        <f t="shared" ref="AB536:AB567" si="30">0.18*1000000</f>
        <v>180000</v>
      </c>
      <c r="AC536" s="102" t="str">
        <f t="shared" si="27"/>
        <v>https://drive.google.com/thumbnail?id=1dtmjjVifpdyX31hTWKtbOj-VXJHs1FLR&amp;sz=w1000</v>
      </c>
      <c r="AD536" s="90" t="s">
        <v>813</v>
      </c>
      <c r="AE536" s="103" t="str">
        <f t="shared" si="28"/>
        <v>https://drive.google.com/thumbnail?id=1JSFImQsE-aSNBi1_XGaeHY1TM31sTpH0&amp;sz=w1000</v>
      </c>
      <c r="AF536" s="90" t="s">
        <v>829</v>
      </c>
      <c r="AG536" s="90" t="str">
        <f t="shared" si="29"/>
        <v>https://drive.google.com/thumbnail?id=1OXVVqgSOAs7Kf0OYXBLzBzLajLz35A4_&amp;sz=w1000</v>
      </c>
      <c r="AH536" s="90" t="s">
        <v>845</v>
      </c>
    </row>
    <row r="537" spans="1:34" ht="22.15" customHeight="1">
      <c r="A537" s="187">
        <v>45541</v>
      </c>
      <c r="B537" s="17" t="s">
        <v>237</v>
      </c>
      <c r="C537" s="17" t="s">
        <v>239</v>
      </c>
      <c r="D537" s="16" t="str" cm="1">
        <f t="array" ref="D537">_xlfn.XLOOKUP(1, (Table1[Project Name]=Table2[[#This Row],[Project ID]])*(Table1[Plot]=Table2[[#This Row],[Plot]]), Table1[Project ID])</f>
        <v>SC-01</v>
      </c>
      <c r="E537" s="69">
        <v>186</v>
      </c>
      <c r="F537" s="70">
        <v>363</v>
      </c>
      <c r="G537" s="69">
        <f>Table2[[#This Row],[Time Elapsed]]+Table2[[#This Row],[Time Remaining]]</f>
        <v>549</v>
      </c>
      <c r="H537" s="70" t="s">
        <v>767</v>
      </c>
      <c r="I537" s="70" t="s">
        <v>693</v>
      </c>
      <c r="J537" s="192">
        <v>3.7499999999999999E-2</v>
      </c>
      <c r="K537" s="192">
        <v>0.15359999999999999</v>
      </c>
      <c r="L537" s="13">
        <f>Table2[[#This Row],[Actual %]]-Table2[[#This Row],[Plan %]]</f>
        <v>0.11609999999999998</v>
      </c>
      <c r="M537" s="165" t="s">
        <v>51</v>
      </c>
      <c r="N537" s="197">
        <v>45391</v>
      </c>
      <c r="O537" s="197">
        <v>45430</v>
      </c>
      <c r="P537" s="197" t="s">
        <v>796</v>
      </c>
      <c r="Q537" s="198">
        <v>45541</v>
      </c>
      <c r="R537" s="159" t="s">
        <v>700</v>
      </c>
      <c r="S537" s="159" t="s">
        <v>701</v>
      </c>
      <c r="T537" s="164" t="s">
        <v>797</v>
      </c>
      <c r="U537" s="122">
        <v>78077600</v>
      </c>
      <c r="V537" s="123">
        <v>0</v>
      </c>
      <c r="W537" s="36">
        <f>Table2[[#This Row],[Construction Contract Amount]]+Table2[[#This Row],[Cumulative Variations]]</f>
        <v>78077600</v>
      </c>
      <c r="X537" s="123">
        <v>1576709</v>
      </c>
      <c r="Y537" s="201"/>
      <c r="Z537" s="36">
        <f>Table2[[#This Row],[Final Contract Value]]+Table2[[#This Row],[Supervision Contract amount]]+Table2[[#This Row],[Authority Cost]]</f>
        <v>79654309</v>
      </c>
      <c r="AA537" s="123">
        <v>8897764.4964881185</v>
      </c>
      <c r="AB537" s="123">
        <f t="shared" si="30"/>
        <v>180000</v>
      </c>
      <c r="AC537" s="102" t="str">
        <f t="shared" si="27"/>
        <v>https://drive.google.com/thumbnail?id=1dtmjjVifpdyX31hTWKtbOj-VXJHs1FLR&amp;sz=w1000</v>
      </c>
      <c r="AD537" s="90" t="s">
        <v>813</v>
      </c>
      <c r="AE537" s="103" t="str">
        <f t="shared" si="28"/>
        <v>https://drive.google.com/thumbnail?id=1JSFImQsE-aSNBi1_XGaeHY1TM31sTpH0&amp;sz=w1000</v>
      </c>
      <c r="AF537" s="90" t="s">
        <v>829</v>
      </c>
      <c r="AG537" s="90" t="str">
        <f t="shared" si="29"/>
        <v>https://drive.google.com/thumbnail?id=1OXVVqgSOAs7Kf0OYXBLzBzLajLz35A4_&amp;sz=w1000</v>
      </c>
      <c r="AH537" s="90" t="s">
        <v>845</v>
      </c>
    </row>
    <row r="538" spans="1:34" ht="22.15" customHeight="1">
      <c r="A538" s="187">
        <v>45541</v>
      </c>
      <c r="B538" s="17" t="s">
        <v>237</v>
      </c>
      <c r="C538" s="17" t="s">
        <v>239</v>
      </c>
      <c r="D538" s="16" t="str" cm="1">
        <f t="array" ref="D538">_xlfn.XLOOKUP(1, (Table1[Project Name]=Table2[[#This Row],[Project ID]])*(Table1[Plot]=Table2[[#This Row],[Plot]]), Table1[Project ID])</f>
        <v>SC-01</v>
      </c>
      <c r="E538" s="69">
        <v>186</v>
      </c>
      <c r="F538" s="70">
        <v>363</v>
      </c>
      <c r="G538" s="69">
        <f>Table2[[#This Row],[Time Elapsed]]+Table2[[#This Row],[Time Remaining]]</f>
        <v>549</v>
      </c>
      <c r="H538" s="70" t="s">
        <v>767</v>
      </c>
      <c r="I538" s="70" t="s">
        <v>693</v>
      </c>
      <c r="J538" s="192">
        <v>3.7499999999999999E-2</v>
      </c>
      <c r="K538" s="192">
        <v>0.15359999999999999</v>
      </c>
      <c r="L538" s="13">
        <f>Table2[[#This Row],[Actual %]]-Table2[[#This Row],[Plan %]]</f>
        <v>0.11609999999999998</v>
      </c>
      <c r="M538" s="165" t="s">
        <v>287</v>
      </c>
      <c r="N538" s="197">
        <v>45597</v>
      </c>
      <c r="O538" s="197">
        <v>45510</v>
      </c>
      <c r="P538" s="197" t="s">
        <v>796</v>
      </c>
      <c r="Q538" s="198">
        <v>45541</v>
      </c>
      <c r="R538" s="159" t="s">
        <v>700</v>
      </c>
      <c r="S538" s="159" t="s">
        <v>701</v>
      </c>
      <c r="T538" s="164" t="s">
        <v>797</v>
      </c>
      <c r="U538" s="122">
        <v>78077600</v>
      </c>
      <c r="V538" s="123">
        <v>0</v>
      </c>
      <c r="W538" s="36">
        <f>Table2[[#This Row],[Construction Contract Amount]]+Table2[[#This Row],[Cumulative Variations]]</f>
        <v>78077600</v>
      </c>
      <c r="X538" s="123">
        <v>1576709</v>
      </c>
      <c r="Y538" s="201"/>
      <c r="Z538" s="36">
        <f>Table2[[#This Row],[Final Contract Value]]+Table2[[#This Row],[Supervision Contract amount]]+Table2[[#This Row],[Authority Cost]]</f>
        <v>79654309</v>
      </c>
      <c r="AA538" s="123">
        <v>8897764.4964881185</v>
      </c>
      <c r="AB538" s="123">
        <f t="shared" si="30"/>
        <v>180000</v>
      </c>
      <c r="AC538" s="102" t="str">
        <f t="shared" si="27"/>
        <v>https://drive.google.com/thumbnail?id=1dtmjjVifpdyX31hTWKtbOj-VXJHs1FLR&amp;sz=w1000</v>
      </c>
      <c r="AD538" s="90" t="s">
        <v>813</v>
      </c>
      <c r="AE538" s="103" t="str">
        <f t="shared" si="28"/>
        <v>https://drive.google.com/thumbnail?id=1JSFImQsE-aSNBi1_XGaeHY1TM31sTpH0&amp;sz=w1000</v>
      </c>
      <c r="AF538" s="90" t="s">
        <v>829</v>
      </c>
      <c r="AG538" s="90" t="str">
        <f t="shared" si="29"/>
        <v>https://drive.google.com/thumbnail?id=1OXVVqgSOAs7Kf0OYXBLzBzLajLz35A4_&amp;sz=w1000</v>
      </c>
      <c r="AH538" s="90" t="s">
        <v>845</v>
      </c>
    </row>
    <row r="539" spans="1:34" ht="22.15" customHeight="1">
      <c r="A539" s="187">
        <v>45541</v>
      </c>
      <c r="B539" s="17" t="s">
        <v>237</v>
      </c>
      <c r="C539" s="17" t="s">
        <v>239</v>
      </c>
      <c r="D539" s="16" t="str" cm="1">
        <f t="array" ref="D539">_xlfn.XLOOKUP(1, (Table1[Project Name]=Table2[[#This Row],[Project ID]])*(Table1[Plot]=Table2[[#This Row],[Plot]]), Table1[Project ID])</f>
        <v>SC-01</v>
      </c>
      <c r="E539" s="69">
        <v>186</v>
      </c>
      <c r="F539" s="70">
        <v>363</v>
      </c>
      <c r="G539" s="69">
        <f>Table2[[#This Row],[Time Elapsed]]+Table2[[#This Row],[Time Remaining]]</f>
        <v>549</v>
      </c>
      <c r="H539" s="70" t="s">
        <v>767</v>
      </c>
      <c r="I539" s="70" t="s">
        <v>693</v>
      </c>
      <c r="J539" s="192">
        <v>3.7499999999999999E-2</v>
      </c>
      <c r="K539" s="192">
        <v>0.15359999999999999</v>
      </c>
      <c r="L539" s="13">
        <f>Table2[[#This Row],[Actual %]]-Table2[[#This Row],[Plan %]]</f>
        <v>0.11609999999999998</v>
      </c>
      <c r="M539" s="165" t="s">
        <v>703</v>
      </c>
      <c r="N539" s="197">
        <v>45678</v>
      </c>
      <c r="O539" s="197" t="s">
        <v>796</v>
      </c>
      <c r="P539" s="197">
        <v>45555</v>
      </c>
      <c r="Q539" s="198">
        <v>45541</v>
      </c>
      <c r="R539" s="159" t="s">
        <v>700</v>
      </c>
      <c r="S539" s="159" t="s">
        <v>701</v>
      </c>
      <c r="T539" s="164" t="s">
        <v>797</v>
      </c>
      <c r="U539" s="122">
        <v>78077600</v>
      </c>
      <c r="V539" s="123">
        <v>0</v>
      </c>
      <c r="W539" s="36">
        <f>Table2[[#This Row],[Construction Contract Amount]]+Table2[[#This Row],[Cumulative Variations]]</f>
        <v>78077600</v>
      </c>
      <c r="X539" s="123">
        <v>1576709</v>
      </c>
      <c r="Y539" s="201"/>
      <c r="Z539" s="36">
        <f>Table2[[#This Row],[Final Contract Value]]+Table2[[#This Row],[Supervision Contract amount]]+Table2[[#This Row],[Authority Cost]]</f>
        <v>79654309</v>
      </c>
      <c r="AA539" s="123">
        <v>8897764.4964881185</v>
      </c>
      <c r="AB539" s="123">
        <f t="shared" si="30"/>
        <v>180000</v>
      </c>
      <c r="AC539" s="102" t="str">
        <f t="shared" si="27"/>
        <v>https://drive.google.com/thumbnail?id=1dtmjjVifpdyX31hTWKtbOj-VXJHs1FLR&amp;sz=w1000</v>
      </c>
      <c r="AD539" s="90" t="s">
        <v>813</v>
      </c>
      <c r="AE539" s="103" t="str">
        <f t="shared" si="28"/>
        <v>https://drive.google.com/thumbnail?id=1JSFImQsE-aSNBi1_XGaeHY1TM31sTpH0&amp;sz=w1000</v>
      </c>
      <c r="AF539" s="90" t="s">
        <v>829</v>
      </c>
      <c r="AG539" s="90" t="str">
        <f t="shared" si="29"/>
        <v>https://drive.google.com/thumbnail?id=1OXVVqgSOAs7Kf0OYXBLzBzLajLz35A4_&amp;sz=w1000</v>
      </c>
      <c r="AH539" s="90" t="s">
        <v>845</v>
      </c>
    </row>
    <row r="540" spans="1:34" ht="22.15" customHeight="1">
      <c r="A540" s="187">
        <v>45541</v>
      </c>
      <c r="B540" s="17" t="s">
        <v>237</v>
      </c>
      <c r="C540" s="17" t="s">
        <v>239</v>
      </c>
      <c r="D540" s="16" t="str" cm="1">
        <f t="array" ref="D540">_xlfn.XLOOKUP(1, (Table1[Project Name]=Table2[[#This Row],[Project ID]])*(Table1[Plot]=Table2[[#This Row],[Plot]]), Table1[Project ID])</f>
        <v>SC-01</v>
      </c>
      <c r="E540" s="69">
        <v>186</v>
      </c>
      <c r="F540" s="70">
        <v>377</v>
      </c>
      <c r="G540" s="69">
        <f>Table2[[#This Row],[Time Elapsed]]+Table2[[#This Row],[Time Remaining]]</f>
        <v>563</v>
      </c>
      <c r="H540" s="70" t="s">
        <v>767</v>
      </c>
      <c r="I540" s="70" t="s">
        <v>693</v>
      </c>
      <c r="J540" s="192">
        <v>3.7499999999999999E-2</v>
      </c>
      <c r="K540" s="192">
        <v>0.15359999999999999</v>
      </c>
      <c r="L540" s="13">
        <f>Table2[[#This Row],[Actual %]]-Table2[[#This Row],[Plan %]]</f>
        <v>0.11609999999999998</v>
      </c>
      <c r="M540" s="165" t="s">
        <v>704</v>
      </c>
      <c r="N540" s="197">
        <v>45775</v>
      </c>
      <c r="O540" s="197" t="s">
        <v>796</v>
      </c>
      <c r="P540" s="197">
        <v>45586</v>
      </c>
      <c r="Q540" s="198">
        <v>45541</v>
      </c>
      <c r="R540" s="159" t="s">
        <v>700</v>
      </c>
      <c r="S540" s="159" t="s">
        <v>701</v>
      </c>
      <c r="T540" s="164" t="s">
        <v>797</v>
      </c>
      <c r="U540" s="122">
        <v>78077600</v>
      </c>
      <c r="V540" s="123">
        <v>0</v>
      </c>
      <c r="W540" s="36">
        <f>Table2[[#This Row],[Construction Contract Amount]]+Table2[[#This Row],[Cumulative Variations]]</f>
        <v>78077600</v>
      </c>
      <c r="X540" s="123">
        <v>1576709</v>
      </c>
      <c r="Y540" s="201"/>
      <c r="Z540" s="36">
        <f>Table2[[#This Row],[Final Contract Value]]+Table2[[#This Row],[Supervision Contract amount]]+Table2[[#This Row],[Authority Cost]]</f>
        <v>79654309</v>
      </c>
      <c r="AA540" s="123">
        <v>8897764.4964881185</v>
      </c>
      <c r="AB540" s="123">
        <f t="shared" si="30"/>
        <v>180000</v>
      </c>
      <c r="AC540" s="102" t="str">
        <f t="shared" si="27"/>
        <v>https://drive.google.com/thumbnail?id=1dtmjjVifpdyX31hTWKtbOj-VXJHs1FLR&amp;sz=w1000</v>
      </c>
      <c r="AD540" s="90" t="s">
        <v>813</v>
      </c>
      <c r="AE540" s="103" t="str">
        <f t="shared" si="28"/>
        <v>https://drive.google.com/thumbnail?id=1JSFImQsE-aSNBi1_XGaeHY1TM31sTpH0&amp;sz=w1000</v>
      </c>
      <c r="AF540" s="90" t="s">
        <v>829</v>
      </c>
      <c r="AG540" s="90" t="str">
        <f t="shared" si="29"/>
        <v>https://drive.google.com/thumbnail?id=1OXVVqgSOAs7Kf0OYXBLzBzLajLz35A4_&amp;sz=w1000</v>
      </c>
      <c r="AH540" s="90" t="s">
        <v>845</v>
      </c>
    </row>
    <row r="541" spans="1:34" ht="22.15" customHeight="1">
      <c r="A541" s="187">
        <v>45541</v>
      </c>
      <c r="B541" s="17" t="s">
        <v>237</v>
      </c>
      <c r="C541" s="17" t="s">
        <v>239</v>
      </c>
      <c r="D541" s="16" t="str" cm="1">
        <f t="array" ref="D541">_xlfn.XLOOKUP(1, (Table1[Project Name]=Table2[[#This Row],[Project ID]])*(Table1[Plot]=Table2[[#This Row],[Plot]]), Table1[Project ID])</f>
        <v>SC-01</v>
      </c>
      <c r="E541" s="69">
        <v>186</v>
      </c>
      <c r="F541" s="70">
        <v>377</v>
      </c>
      <c r="G541" s="69">
        <f>Table2[[#This Row],[Time Elapsed]]+Table2[[#This Row],[Time Remaining]]</f>
        <v>563</v>
      </c>
      <c r="H541" s="70" t="s">
        <v>767</v>
      </c>
      <c r="I541" s="70" t="s">
        <v>693</v>
      </c>
      <c r="J541" s="192">
        <v>3.7499999999999999E-2</v>
      </c>
      <c r="K541" s="192">
        <v>0.15359999999999999</v>
      </c>
      <c r="L541" s="13">
        <f>Table2[[#This Row],[Actual %]]-Table2[[#This Row],[Plan %]]</f>
        <v>0.11609999999999998</v>
      </c>
      <c r="M541" s="165" t="s">
        <v>705</v>
      </c>
      <c r="N541" s="197">
        <v>45679</v>
      </c>
      <c r="O541" s="197">
        <v>45521</v>
      </c>
      <c r="P541" s="197" t="s">
        <v>796</v>
      </c>
      <c r="Q541" s="198">
        <v>45541</v>
      </c>
      <c r="R541" s="159" t="s">
        <v>700</v>
      </c>
      <c r="S541" s="159" t="s">
        <v>701</v>
      </c>
      <c r="T541" s="164" t="s">
        <v>797</v>
      </c>
      <c r="U541" s="122">
        <v>78077600</v>
      </c>
      <c r="V541" s="123">
        <v>0</v>
      </c>
      <c r="W541" s="36">
        <f>Table2[[#This Row],[Construction Contract Amount]]+Table2[[#This Row],[Cumulative Variations]]</f>
        <v>78077600</v>
      </c>
      <c r="X541" s="123">
        <v>1576709</v>
      </c>
      <c r="Y541" s="201"/>
      <c r="Z541" s="36">
        <f>Table2[[#This Row],[Final Contract Value]]+Table2[[#This Row],[Supervision Contract amount]]+Table2[[#This Row],[Authority Cost]]</f>
        <v>79654309</v>
      </c>
      <c r="AA541" s="123">
        <v>8897764.4964881185</v>
      </c>
      <c r="AB541" s="123">
        <f t="shared" si="30"/>
        <v>180000</v>
      </c>
      <c r="AC541" s="102" t="str">
        <f t="shared" si="27"/>
        <v>https://drive.google.com/thumbnail?id=1dtmjjVifpdyX31hTWKtbOj-VXJHs1FLR&amp;sz=w1000</v>
      </c>
      <c r="AD541" s="90" t="s">
        <v>813</v>
      </c>
      <c r="AE541" s="103" t="str">
        <f t="shared" si="28"/>
        <v>https://drive.google.com/thumbnail?id=1JSFImQsE-aSNBi1_XGaeHY1TM31sTpH0&amp;sz=w1000</v>
      </c>
      <c r="AF541" s="90" t="s">
        <v>829</v>
      </c>
      <c r="AG541" s="90" t="str">
        <f t="shared" si="29"/>
        <v>https://drive.google.com/thumbnail?id=1OXVVqgSOAs7Kf0OYXBLzBzLajLz35A4_&amp;sz=w1000</v>
      </c>
      <c r="AH541" s="90" t="s">
        <v>845</v>
      </c>
    </row>
    <row r="542" spans="1:34" ht="22.15" customHeight="1">
      <c r="A542" s="187">
        <v>45541</v>
      </c>
      <c r="B542" s="17" t="s">
        <v>237</v>
      </c>
      <c r="C542" s="17" t="s">
        <v>239</v>
      </c>
      <c r="D542" s="16" t="str" cm="1">
        <f t="array" ref="D542">_xlfn.XLOOKUP(1, (Table1[Project Name]=Table2[[#This Row],[Project ID]])*(Table1[Plot]=Table2[[#This Row],[Plot]]), Table1[Project ID])</f>
        <v>SC-01</v>
      </c>
      <c r="E542" s="69">
        <v>186</v>
      </c>
      <c r="F542" s="70">
        <v>377</v>
      </c>
      <c r="G542" s="69">
        <f>Table2[[#This Row],[Time Elapsed]]+Table2[[#This Row],[Time Remaining]]</f>
        <v>563</v>
      </c>
      <c r="H542" s="70" t="s">
        <v>767</v>
      </c>
      <c r="I542" s="70" t="s">
        <v>693</v>
      </c>
      <c r="J542" s="192">
        <v>3.7499999999999999E-2</v>
      </c>
      <c r="K542" s="192">
        <v>0.15359999999999999</v>
      </c>
      <c r="L542" s="13">
        <f>Table2[[#This Row],[Actual %]]-Table2[[#This Row],[Plan %]]</f>
        <v>0.11609999999999998</v>
      </c>
      <c r="M542" s="165" t="s">
        <v>706</v>
      </c>
      <c r="N542" s="197">
        <v>45768</v>
      </c>
      <c r="O542" s="197" t="s">
        <v>796</v>
      </c>
      <c r="P542" s="197">
        <v>45673</v>
      </c>
      <c r="Q542" s="198">
        <v>45541</v>
      </c>
      <c r="R542" s="159" t="s">
        <v>700</v>
      </c>
      <c r="S542" s="159" t="s">
        <v>701</v>
      </c>
      <c r="T542" s="164" t="s">
        <v>797</v>
      </c>
      <c r="U542" s="122">
        <v>78077600</v>
      </c>
      <c r="V542" s="123">
        <v>0</v>
      </c>
      <c r="W542" s="36">
        <f>Table2[[#This Row],[Construction Contract Amount]]+Table2[[#This Row],[Cumulative Variations]]</f>
        <v>78077600</v>
      </c>
      <c r="X542" s="123">
        <v>1576709</v>
      </c>
      <c r="Y542" s="201"/>
      <c r="Z542" s="36">
        <f>Table2[[#This Row],[Final Contract Value]]+Table2[[#This Row],[Supervision Contract amount]]+Table2[[#This Row],[Authority Cost]]</f>
        <v>79654309</v>
      </c>
      <c r="AA542" s="123">
        <v>8897764.4964881185</v>
      </c>
      <c r="AB542" s="123">
        <f t="shared" si="30"/>
        <v>180000</v>
      </c>
      <c r="AC542" s="102" t="str">
        <f t="shared" si="27"/>
        <v>https://drive.google.com/thumbnail?id=1dtmjjVifpdyX31hTWKtbOj-VXJHs1FLR&amp;sz=w1000</v>
      </c>
      <c r="AD542" s="90" t="s">
        <v>813</v>
      </c>
      <c r="AE542" s="103" t="str">
        <f t="shared" si="28"/>
        <v>https://drive.google.com/thumbnail?id=1JSFImQsE-aSNBi1_XGaeHY1TM31sTpH0&amp;sz=w1000</v>
      </c>
      <c r="AF542" s="90" t="s">
        <v>829</v>
      </c>
      <c r="AG542" s="90" t="str">
        <f t="shared" si="29"/>
        <v>https://drive.google.com/thumbnail?id=1OXVVqgSOAs7Kf0OYXBLzBzLajLz35A4_&amp;sz=w1000</v>
      </c>
      <c r="AH542" s="90" t="s">
        <v>845</v>
      </c>
    </row>
    <row r="543" spans="1:34" ht="22.15" customHeight="1">
      <c r="A543" s="187">
        <v>45541</v>
      </c>
      <c r="B543" s="17" t="s">
        <v>237</v>
      </c>
      <c r="C543" s="17" t="s">
        <v>239</v>
      </c>
      <c r="D543" s="16" t="str" cm="1">
        <f t="array" ref="D543">_xlfn.XLOOKUP(1, (Table1[Project Name]=Table2[[#This Row],[Project ID]])*(Table1[Plot]=Table2[[#This Row],[Plot]]), Table1[Project ID])</f>
        <v>SC-01</v>
      </c>
      <c r="E543" s="69">
        <v>186</v>
      </c>
      <c r="F543" s="70">
        <v>377</v>
      </c>
      <c r="G543" s="69">
        <f>Table2[[#This Row],[Time Elapsed]]+Table2[[#This Row],[Time Remaining]]</f>
        <v>563</v>
      </c>
      <c r="H543" s="70" t="s">
        <v>767</v>
      </c>
      <c r="I543" s="70" t="s">
        <v>693</v>
      </c>
      <c r="J543" s="192">
        <v>3.7499999999999999E-2</v>
      </c>
      <c r="K543" s="192">
        <v>0.15359999999999999</v>
      </c>
      <c r="L543" s="13">
        <f>Table2[[#This Row],[Actual %]]-Table2[[#This Row],[Plan %]]</f>
        <v>0.11609999999999998</v>
      </c>
      <c r="M543" s="165" t="s">
        <v>280</v>
      </c>
      <c r="N543" s="197">
        <v>45857</v>
      </c>
      <c r="O543" s="197" t="s">
        <v>796</v>
      </c>
      <c r="P543" s="197">
        <v>45819</v>
      </c>
      <c r="Q543" s="198">
        <v>45541</v>
      </c>
      <c r="R543" s="159" t="s">
        <v>700</v>
      </c>
      <c r="S543" s="159" t="s">
        <v>701</v>
      </c>
      <c r="T543" s="164" t="s">
        <v>797</v>
      </c>
      <c r="U543" s="122">
        <v>78077600</v>
      </c>
      <c r="V543" s="123">
        <v>0</v>
      </c>
      <c r="W543" s="36">
        <f>Table2[[#This Row],[Construction Contract Amount]]+Table2[[#This Row],[Cumulative Variations]]</f>
        <v>78077600</v>
      </c>
      <c r="X543" s="123">
        <v>1576709</v>
      </c>
      <c r="Y543" s="201"/>
      <c r="Z543" s="36">
        <f>Table2[[#This Row],[Final Contract Value]]+Table2[[#This Row],[Supervision Contract amount]]+Table2[[#This Row],[Authority Cost]]</f>
        <v>79654309</v>
      </c>
      <c r="AA543" s="123">
        <v>8897764.4964881185</v>
      </c>
      <c r="AB543" s="123">
        <f t="shared" si="30"/>
        <v>180000</v>
      </c>
      <c r="AC543" s="102" t="str">
        <f t="shared" si="27"/>
        <v>https://drive.google.com/thumbnail?id=1dtmjjVifpdyX31hTWKtbOj-VXJHs1FLR&amp;sz=w1000</v>
      </c>
      <c r="AD543" s="90" t="s">
        <v>813</v>
      </c>
      <c r="AE543" s="103" t="str">
        <f t="shared" si="28"/>
        <v>https://drive.google.com/thumbnail?id=1JSFImQsE-aSNBi1_XGaeHY1TM31sTpH0&amp;sz=w1000</v>
      </c>
      <c r="AF543" s="90" t="s">
        <v>829</v>
      </c>
      <c r="AG543" s="90" t="str">
        <f t="shared" si="29"/>
        <v>https://drive.google.com/thumbnail?id=1OXVVqgSOAs7Kf0OYXBLzBzLajLz35A4_&amp;sz=w1000</v>
      </c>
      <c r="AH543" s="90" t="s">
        <v>845</v>
      </c>
    </row>
    <row r="544" spans="1:34" ht="22.15" customHeight="1">
      <c r="A544" s="187">
        <v>45541</v>
      </c>
      <c r="B544" s="17" t="s">
        <v>237</v>
      </c>
      <c r="C544" s="17" t="s">
        <v>239</v>
      </c>
      <c r="D544" s="16" t="str" cm="1">
        <f t="array" ref="D544">_xlfn.XLOOKUP(1, (Table1[Project Name]=Table2[[#This Row],[Project ID]])*(Table1[Plot]=Table2[[#This Row],[Plot]]), Table1[Project ID])</f>
        <v>SC-01</v>
      </c>
      <c r="E544" s="69">
        <v>186</v>
      </c>
      <c r="F544" s="70">
        <v>377</v>
      </c>
      <c r="G544" s="69">
        <f>Table2[[#This Row],[Time Elapsed]]+Table2[[#This Row],[Time Remaining]]</f>
        <v>563</v>
      </c>
      <c r="H544" s="70" t="s">
        <v>767</v>
      </c>
      <c r="I544" s="70" t="s">
        <v>693</v>
      </c>
      <c r="J544" s="192">
        <v>3.7499999999999999E-2</v>
      </c>
      <c r="K544" s="192">
        <v>0.15359999999999999</v>
      </c>
      <c r="L544" s="13">
        <f>Table2[[#This Row],[Actual %]]-Table2[[#This Row],[Plan %]]</f>
        <v>0.11609999999999998</v>
      </c>
      <c r="M544" s="165" t="s">
        <v>343</v>
      </c>
      <c r="N544" s="197">
        <v>45874</v>
      </c>
      <c r="O544" s="197" t="s">
        <v>796</v>
      </c>
      <c r="P544" s="197">
        <v>45829</v>
      </c>
      <c r="Q544" s="198">
        <v>45541</v>
      </c>
      <c r="R544" s="159" t="s">
        <v>700</v>
      </c>
      <c r="S544" s="159" t="s">
        <v>701</v>
      </c>
      <c r="T544" s="164" t="s">
        <v>797</v>
      </c>
      <c r="U544" s="122">
        <v>78077600</v>
      </c>
      <c r="V544" s="123">
        <v>0</v>
      </c>
      <c r="W544" s="36">
        <f>Table2[[#This Row],[Construction Contract Amount]]+Table2[[#This Row],[Cumulative Variations]]</f>
        <v>78077600</v>
      </c>
      <c r="X544" s="123">
        <v>1576709</v>
      </c>
      <c r="Y544" s="201"/>
      <c r="Z544" s="36">
        <f>Table2[[#This Row],[Final Contract Value]]+Table2[[#This Row],[Supervision Contract amount]]+Table2[[#This Row],[Authority Cost]]</f>
        <v>79654309</v>
      </c>
      <c r="AA544" s="123">
        <v>8897764.4964881185</v>
      </c>
      <c r="AB544" s="123">
        <f t="shared" si="30"/>
        <v>180000</v>
      </c>
      <c r="AC544" s="102" t="str">
        <f t="shared" si="27"/>
        <v>https://drive.google.com/thumbnail?id=1dtmjjVifpdyX31hTWKtbOj-VXJHs1FLR&amp;sz=w1000</v>
      </c>
      <c r="AD544" s="90" t="s">
        <v>813</v>
      </c>
      <c r="AE544" s="103" t="str">
        <f t="shared" si="28"/>
        <v>https://drive.google.com/thumbnail?id=1JSFImQsE-aSNBi1_XGaeHY1TM31sTpH0&amp;sz=w1000</v>
      </c>
      <c r="AF544" s="90" t="s">
        <v>829</v>
      </c>
      <c r="AG544" s="90" t="str">
        <f t="shared" si="29"/>
        <v>https://drive.google.com/thumbnail?id=1OXVVqgSOAs7Kf0OYXBLzBzLajLz35A4_&amp;sz=w1000</v>
      </c>
      <c r="AH544" s="90" t="s">
        <v>845</v>
      </c>
    </row>
    <row r="545" spans="1:34" ht="22.15" customHeight="1">
      <c r="A545" s="187">
        <v>45541</v>
      </c>
      <c r="B545" s="17" t="s">
        <v>237</v>
      </c>
      <c r="C545" s="17" t="s">
        <v>239</v>
      </c>
      <c r="D545" s="16" t="str" cm="1">
        <f t="array" ref="D545">_xlfn.XLOOKUP(1, (Table1[Project Name]=Table2[[#This Row],[Project ID]])*(Table1[Plot]=Table2[[#This Row],[Plot]]), Table1[Project ID])</f>
        <v>SC-01</v>
      </c>
      <c r="E545" s="69">
        <v>186</v>
      </c>
      <c r="F545" s="70">
        <v>377</v>
      </c>
      <c r="G545" s="69">
        <f>Table2[[#This Row],[Time Elapsed]]+Table2[[#This Row],[Time Remaining]]</f>
        <v>563</v>
      </c>
      <c r="H545" s="70" t="s">
        <v>767</v>
      </c>
      <c r="I545" s="70" t="s">
        <v>693</v>
      </c>
      <c r="J545" s="192">
        <v>3.7499999999999999E-2</v>
      </c>
      <c r="K545" s="192">
        <v>0.15359999999999999</v>
      </c>
      <c r="L545" s="13">
        <f>Table2[[#This Row],[Actual %]]-Table2[[#This Row],[Plan %]]</f>
        <v>0.11609999999999998</v>
      </c>
      <c r="M545" s="165" t="s">
        <v>344</v>
      </c>
      <c r="N545" s="197">
        <v>45891</v>
      </c>
      <c r="O545" s="197" t="s">
        <v>796</v>
      </c>
      <c r="P545" s="197">
        <v>45847</v>
      </c>
      <c r="Q545" s="198">
        <v>45541</v>
      </c>
      <c r="R545" s="159" t="s">
        <v>700</v>
      </c>
      <c r="S545" s="159" t="s">
        <v>701</v>
      </c>
      <c r="T545" s="164" t="s">
        <v>797</v>
      </c>
      <c r="U545" s="122">
        <v>78077600</v>
      </c>
      <c r="V545" s="123">
        <v>0</v>
      </c>
      <c r="W545" s="36">
        <f>Table2[[#This Row],[Construction Contract Amount]]+Table2[[#This Row],[Cumulative Variations]]</f>
        <v>78077600</v>
      </c>
      <c r="X545" s="123">
        <v>1576709</v>
      </c>
      <c r="Y545" s="201"/>
      <c r="Z545" s="36">
        <f>Table2[[#This Row],[Final Contract Value]]+Table2[[#This Row],[Supervision Contract amount]]+Table2[[#This Row],[Authority Cost]]</f>
        <v>79654309</v>
      </c>
      <c r="AA545" s="123">
        <v>8897764.4964881185</v>
      </c>
      <c r="AB545" s="123">
        <f t="shared" si="30"/>
        <v>180000</v>
      </c>
      <c r="AC545" s="102" t="str">
        <f t="shared" si="27"/>
        <v>https://drive.google.com/thumbnail?id=1dtmjjVifpdyX31hTWKtbOj-VXJHs1FLR&amp;sz=w1000</v>
      </c>
      <c r="AD545" s="90" t="s">
        <v>813</v>
      </c>
      <c r="AE545" s="103" t="str">
        <f t="shared" si="28"/>
        <v>https://drive.google.com/thumbnail?id=1JSFImQsE-aSNBi1_XGaeHY1TM31sTpH0&amp;sz=w1000</v>
      </c>
      <c r="AF545" s="90" t="s">
        <v>829</v>
      </c>
      <c r="AG545" s="90" t="str">
        <f t="shared" si="29"/>
        <v>https://drive.google.com/thumbnail?id=1OXVVqgSOAs7Kf0OYXBLzBzLajLz35A4_&amp;sz=w1000</v>
      </c>
      <c r="AH545" s="90" t="s">
        <v>845</v>
      </c>
    </row>
    <row r="546" spans="1:34" ht="22.15" customHeight="1">
      <c r="A546" s="187">
        <v>45541</v>
      </c>
      <c r="B546" s="17" t="s">
        <v>237</v>
      </c>
      <c r="C546" s="17" t="s">
        <v>239</v>
      </c>
      <c r="D546" s="16" t="str" cm="1">
        <f t="array" ref="D546">_xlfn.XLOOKUP(1, (Table1[Project Name]=Table2[[#This Row],[Project ID]])*(Table1[Plot]=Table2[[#This Row],[Plot]]), Table1[Project ID])</f>
        <v>SC-01</v>
      </c>
      <c r="E546" s="69">
        <v>186</v>
      </c>
      <c r="F546" s="70">
        <v>377</v>
      </c>
      <c r="G546" s="69">
        <f>Table2[[#This Row],[Time Elapsed]]+Table2[[#This Row],[Time Remaining]]</f>
        <v>563</v>
      </c>
      <c r="H546" s="70" t="s">
        <v>767</v>
      </c>
      <c r="I546" s="70" t="s">
        <v>693</v>
      </c>
      <c r="J546" s="192">
        <v>3.7499999999999999E-2</v>
      </c>
      <c r="K546" s="192">
        <v>0.15359999999999999</v>
      </c>
      <c r="L546" s="13">
        <f>Table2[[#This Row],[Actual %]]-Table2[[#This Row],[Plan %]]</f>
        <v>0.11609999999999998</v>
      </c>
      <c r="M546" s="165" t="s">
        <v>302</v>
      </c>
      <c r="N546" s="197">
        <v>45904</v>
      </c>
      <c r="O546" s="197" t="s">
        <v>796</v>
      </c>
      <c r="P546" s="197">
        <v>45873</v>
      </c>
      <c r="Q546" s="198">
        <v>45541</v>
      </c>
      <c r="R546" s="159" t="s">
        <v>700</v>
      </c>
      <c r="S546" s="159" t="s">
        <v>701</v>
      </c>
      <c r="T546" s="164" t="s">
        <v>797</v>
      </c>
      <c r="U546" s="122">
        <v>78077600</v>
      </c>
      <c r="V546" s="123">
        <v>0</v>
      </c>
      <c r="W546" s="36">
        <f>Table2[[#This Row],[Construction Contract Amount]]+Table2[[#This Row],[Cumulative Variations]]</f>
        <v>78077600</v>
      </c>
      <c r="X546" s="123">
        <v>1576709</v>
      </c>
      <c r="Y546" s="201"/>
      <c r="Z546" s="36">
        <f>Table2[[#This Row],[Final Contract Value]]+Table2[[#This Row],[Supervision Contract amount]]+Table2[[#This Row],[Authority Cost]]</f>
        <v>79654309</v>
      </c>
      <c r="AA546" s="123">
        <v>8897764.4964881185</v>
      </c>
      <c r="AB546" s="123">
        <f t="shared" si="30"/>
        <v>180000</v>
      </c>
      <c r="AC546" s="102" t="str">
        <f t="shared" si="27"/>
        <v>https://drive.google.com/thumbnail?id=1dtmjjVifpdyX31hTWKtbOj-VXJHs1FLR&amp;sz=w1000</v>
      </c>
      <c r="AD546" s="90" t="s">
        <v>813</v>
      </c>
      <c r="AE546" s="103" t="str">
        <f t="shared" si="28"/>
        <v>https://drive.google.com/thumbnail?id=1JSFImQsE-aSNBi1_XGaeHY1TM31sTpH0&amp;sz=w1000</v>
      </c>
      <c r="AF546" s="90" t="s">
        <v>829</v>
      </c>
      <c r="AG546" s="90" t="str">
        <f t="shared" si="29"/>
        <v>https://drive.google.com/thumbnail?id=1OXVVqgSOAs7Kf0OYXBLzBzLajLz35A4_&amp;sz=w1000</v>
      </c>
      <c r="AH546" s="90" t="s">
        <v>845</v>
      </c>
    </row>
    <row r="547" spans="1:34" ht="22.15" customHeight="1">
      <c r="A547" s="187">
        <v>45541</v>
      </c>
      <c r="B547" s="17" t="s">
        <v>244</v>
      </c>
      <c r="C547" s="17" t="s">
        <v>78</v>
      </c>
      <c r="D547" s="16" t="str" cm="1">
        <f t="array" ref="D547">_xlfn.XLOOKUP(1, (Table1[Project Name]=Table2[[#This Row],[Project ID]])*(Table1[Plot]=Table2[[#This Row],[Plot]]), Table1[Project ID])</f>
        <v>SC-02</v>
      </c>
      <c r="E547" s="69">
        <v>355</v>
      </c>
      <c r="F547" s="70">
        <v>192</v>
      </c>
      <c r="G547" s="69">
        <f>Table2[[#This Row],[Time Elapsed]]+Table2[[#This Row],[Time Remaining]]</f>
        <v>547</v>
      </c>
      <c r="H547" s="70" t="s">
        <v>768</v>
      </c>
      <c r="I547" s="70" t="s">
        <v>693</v>
      </c>
      <c r="J547" s="160">
        <v>0.26900000000000002</v>
      </c>
      <c r="K547" s="161">
        <v>0.27439999999999998</v>
      </c>
      <c r="L547" s="13">
        <f>Table2[[#This Row],[Actual %]]-Table2[[#This Row],[Plan %]]</f>
        <v>5.3999999999999604E-3</v>
      </c>
      <c r="M547" s="163" t="s">
        <v>285</v>
      </c>
      <c r="N547" s="197">
        <v>45187</v>
      </c>
      <c r="O547" s="197">
        <v>45195</v>
      </c>
      <c r="P547" s="197"/>
      <c r="Q547" s="198">
        <v>45541</v>
      </c>
      <c r="R547" s="159" t="s">
        <v>700</v>
      </c>
      <c r="S547" s="159" t="s">
        <v>701</v>
      </c>
      <c r="T547" s="164" t="s">
        <v>798</v>
      </c>
      <c r="U547" s="122">
        <v>78077600</v>
      </c>
      <c r="V547" s="123">
        <v>0</v>
      </c>
      <c r="W547" s="36">
        <f>Table2[[#This Row],[Construction Contract Amount]]+Table2[[#This Row],[Cumulative Variations]]</f>
        <v>78077600</v>
      </c>
      <c r="X547" s="123">
        <v>1576709</v>
      </c>
      <c r="Y547" s="201"/>
      <c r="Z547" s="36">
        <f>Table2[[#This Row],[Final Contract Value]]+Table2[[#This Row],[Supervision Contract amount]]+Table2[[#This Row],[Authority Cost]]</f>
        <v>79654309</v>
      </c>
      <c r="AA547" s="123">
        <v>12271635.594366819</v>
      </c>
      <c r="AB547" s="123">
        <f t="shared" si="30"/>
        <v>180000</v>
      </c>
      <c r="AC547" s="102" t="str">
        <f t="shared" si="27"/>
        <v>https://drive.google.com/thumbnail?id=1rB6fHuIxGh5D4VZSJD6ZhvSpEbCfXrnN&amp;sz=w1000</v>
      </c>
      <c r="AD547" s="90" t="s">
        <v>814</v>
      </c>
      <c r="AE547" s="103" t="str">
        <f t="shared" si="28"/>
        <v>https://drive.google.com/thumbnail?id=1qRnd6QBDXGDZrXClC7fkscnVjqbMHsCo&amp;sz=w1000</v>
      </c>
      <c r="AF547" s="90" t="s">
        <v>830</v>
      </c>
      <c r="AG547" s="90" t="str">
        <f t="shared" si="29"/>
        <v>https://drive.google.com/thumbnail?id=16iCRVZ9FIxsqJnxI634PDZC4GeoM1QjJ&amp;sz=w1000</v>
      </c>
      <c r="AH547" s="90" t="s">
        <v>846</v>
      </c>
    </row>
    <row r="548" spans="1:34" ht="22.15" customHeight="1">
      <c r="A548" s="187">
        <v>45541</v>
      </c>
      <c r="B548" s="17" t="s">
        <v>244</v>
      </c>
      <c r="C548" s="17" t="s">
        <v>78</v>
      </c>
      <c r="D548" s="16" t="str" cm="1">
        <f t="array" ref="D548">_xlfn.XLOOKUP(1, (Table1[Project Name]=Table2[[#This Row],[Project ID]])*(Table1[Plot]=Table2[[#This Row],[Plot]]), Table1[Project ID])</f>
        <v>SC-02</v>
      </c>
      <c r="E548" s="69">
        <v>355</v>
      </c>
      <c r="F548" s="70">
        <v>192</v>
      </c>
      <c r="G548" s="69">
        <f>Table2[[#This Row],[Time Elapsed]]+Table2[[#This Row],[Time Remaining]]</f>
        <v>547</v>
      </c>
      <c r="H548" s="70" t="s">
        <v>768</v>
      </c>
      <c r="I548" s="70" t="s">
        <v>693</v>
      </c>
      <c r="J548" s="160">
        <v>0.26900000000000002</v>
      </c>
      <c r="K548" s="161">
        <v>0.27439999999999998</v>
      </c>
      <c r="L548" s="13">
        <f>Table2[[#This Row],[Actual %]]-Table2[[#This Row],[Plan %]]</f>
        <v>5.3999999999999604E-3</v>
      </c>
      <c r="M548" s="165" t="s">
        <v>51</v>
      </c>
      <c r="N548" s="197">
        <v>45220</v>
      </c>
      <c r="O548" s="197">
        <v>45266</v>
      </c>
      <c r="P548" s="197" t="s">
        <v>796</v>
      </c>
      <c r="Q548" s="198">
        <v>45541</v>
      </c>
      <c r="R548" s="159" t="s">
        <v>700</v>
      </c>
      <c r="S548" s="159" t="s">
        <v>701</v>
      </c>
      <c r="T548" s="164" t="s">
        <v>798</v>
      </c>
      <c r="U548" s="122">
        <v>78077600</v>
      </c>
      <c r="V548" s="123">
        <v>0</v>
      </c>
      <c r="W548" s="36">
        <f>Table2[[#This Row],[Construction Contract Amount]]+Table2[[#This Row],[Cumulative Variations]]</f>
        <v>78077600</v>
      </c>
      <c r="X548" s="123">
        <v>1576709</v>
      </c>
      <c r="Y548" s="201"/>
      <c r="Z548" s="36">
        <f>Table2[[#This Row],[Final Contract Value]]+Table2[[#This Row],[Supervision Contract amount]]+Table2[[#This Row],[Authority Cost]]</f>
        <v>79654309</v>
      </c>
      <c r="AA548" s="123">
        <v>12271635.594366819</v>
      </c>
      <c r="AB548" s="123">
        <f t="shared" si="30"/>
        <v>180000</v>
      </c>
      <c r="AC548" s="102" t="str">
        <f t="shared" si="27"/>
        <v>https://drive.google.com/thumbnail?id=1rB6fHuIxGh5D4VZSJD6ZhvSpEbCfXrnN&amp;sz=w1000</v>
      </c>
      <c r="AD548" s="90" t="s">
        <v>814</v>
      </c>
      <c r="AE548" s="103" t="str">
        <f t="shared" si="28"/>
        <v>https://drive.google.com/thumbnail?id=1qRnd6QBDXGDZrXClC7fkscnVjqbMHsCo&amp;sz=w1000</v>
      </c>
      <c r="AF548" s="90" t="s">
        <v>830</v>
      </c>
      <c r="AG548" s="90" t="str">
        <f t="shared" si="29"/>
        <v>https://drive.google.com/thumbnail?id=16iCRVZ9FIxsqJnxI634PDZC4GeoM1QjJ&amp;sz=w1000</v>
      </c>
      <c r="AH548" s="90" t="s">
        <v>846</v>
      </c>
    </row>
    <row r="549" spans="1:34" ht="22.15" customHeight="1">
      <c r="A549" s="187">
        <v>45541</v>
      </c>
      <c r="B549" s="17" t="s">
        <v>244</v>
      </c>
      <c r="C549" s="17" t="s">
        <v>78</v>
      </c>
      <c r="D549" s="16" t="str" cm="1">
        <f t="array" ref="D549">_xlfn.XLOOKUP(1, (Table1[Project Name]=Table2[[#This Row],[Project ID]])*(Table1[Plot]=Table2[[#This Row],[Plot]]), Table1[Project ID])</f>
        <v>SC-02</v>
      </c>
      <c r="E549" s="69">
        <v>355</v>
      </c>
      <c r="F549" s="70">
        <v>192</v>
      </c>
      <c r="G549" s="69">
        <f>Table2[[#This Row],[Time Elapsed]]+Table2[[#This Row],[Time Remaining]]</f>
        <v>547</v>
      </c>
      <c r="H549" s="70" t="s">
        <v>768</v>
      </c>
      <c r="I549" s="70" t="s">
        <v>693</v>
      </c>
      <c r="J549" s="160">
        <v>0.26900000000000002</v>
      </c>
      <c r="K549" s="161">
        <v>0.27439999999999998</v>
      </c>
      <c r="L549" s="13">
        <f>Table2[[#This Row],[Actual %]]-Table2[[#This Row],[Plan %]]</f>
        <v>5.3999999999999604E-3</v>
      </c>
      <c r="M549" s="165" t="s">
        <v>287</v>
      </c>
      <c r="N549" s="197">
        <v>45429</v>
      </c>
      <c r="O549" s="197">
        <v>45435</v>
      </c>
      <c r="P549" s="197" t="s">
        <v>796</v>
      </c>
      <c r="Q549" s="198">
        <v>45541</v>
      </c>
      <c r="R549" s="159" t="s">
        <v>700</v>
      </c>
      <c r="S549" s="159" t="s">
        <v>701</v>
      </c>
      <c r="T549" s="164" t="s">
        <v>798</v>
      </c>
      <c r="U549" s="122">
        <v>78077600</v>
      </c>
      <c r="V549" s="123">
        <v>0</v>
      </c>
      <c r="W549" s="36">
        <f>Table2[[#This Row],[Construction Contract Amount]]+Table2[[#This Row],[Cumulative Variations]]</f>
        <v>78077600</v>
      </c>
      <c r="X549" s="123">
        <v>1576709</v>
      </c>
      <c r="Y549" s="201"/>
      <c r="Z549" s="36">
        <f>Table2[[#This Row],[Final Contract Value]]+Table2[[#This Row],[Supervision Contract amount]]+Table2[[#This Row],[Authority Cost]]</f>
        <v>79654309</v>
      </c>
      <c r="AA549" s="123">
        <v>12271635.594366819</v>
      </c>
      <c r="AB549" s="123">
        <f t="shared" si="30"/>
        <v>180000</v>
      </c>
      <c r="AC549" s="102" t="str">
        <f t="shared" si="27"/>
        <v>https://drive.google.com/thumbnail?id=1rB6fHuIxGh5D4VZSJD6ZhvSpEbCfXrnN&amp;sz=w1000</v>
      </c>
      <c r="AD549" s="90" t="s">
        <v>814</v>
      </c>
      <c r="AE549" s="103" t="str">
        <f t="shared" si="28"/>
        <v>https://drive.google.com/thumbnail?id=1qRnd6QBDXGDZrXClC7fkscnVjqbMHsCo&amp;sz=w1000</v>
      </c>
      <c r="AF549" s="90" t="s">
        <v>830</v>
      </c>
      <c r="AG549" s="90" t="str">
        <f t="shared" si="29"/>
        <v>https://drive.google.com/thumbnail?id=16iCRVZ9FIxsqJnxI634PDZC4GeoM1QjJ&amp;sz=w1000</v>
      </c>
      <c r="AH549" s="90" t="s">
        <v>846</v>
      </c>
    </row>
    <row r="550" spans="1:34" ht="22.15" customHeight="1">
      <c r="A550" s="187">
        <v>45541</v>
      </c>
      <c r="B550" s="17" t="s">
        <v>244</v>
      </c>
      <c r="C550" s="17" t="s">
        <v>78</v>
      </c>
      <c r="D550" s="16" t="str" cm="1">
        <f t="array" ref="D550">_xlfn.XLOOKUP(1, (Table1[Project Name]=Table2[[#This Row],[Project ID]])*(Table1[Plot]=Table2[[#This Row],[Plot]]), Table1[Project ID])</f>
        <v>SC-02</v>
      </c>
      <c r="E550" s="69">
        <v>355</v>
      </c>
      <c r="F550" s="70">
        <v>192</v>
      </c>
      <c r="G550" s="69">
        <f>Table2[[#This Row],[Time Elapsed]]+Table2[[#This Row],[Time Remaining]]</f>
        <v>547</v>
      </c>
      <c r="H550" s="70" t="s">
        <v>768</v>
      </c>
      <c r="I550" s="70" t="s">
        <v>693</v>
      </c>
      <c r="J550" s="160">
        <v>0.26900000000000002</v>
      </c>
      <c r="K550" s="161">
        <v>0.27439999999999998</v>
      </c>
      <c r="L550" s="13">
        <f>Table2[[#This Row],[Actual %]]-Table2[[#This Row],[Plan %]]</f>
        <v>5.3999999999999604E-3</v>
      </c>
      <c r="M550" s="165" t="s">
        <v>703</v>
      </c>
      <c r="N550" s="197">
        <v>45510</v>
      </c>
      <c r="O550" s="197" t="s">
        <v>796</v>
      </c>
      <c r="P550" s="197">
        <v>45548</v>
      </c>
      <c r="Q550" s="198">
        <v>45541</v>
      </c>
      <c r="R550" s="159" t="s">
        <v>700</v>
      </c>
      <c r="S550" s="159" t="s">
        <v>701</v>
      </c>
      <c r="T550" s="164" t="s">
        <v>798</v>
      </c>
      <c r="U550" s="122">
        <v>78077600</v>
      </c>
      <c r="V550" s="123">
        <v>0</v>
      </c>
      <c r="W550" s="36">
        <f>Table2[[#This Row],[Construction Contract Amount]]+Table2[[#This Row],[Cumulative Variations]]</f>
        <v>78077600</v>
      </c>
      <c r="X550" s="123">
        <v>1576709</v>
      </c>
      <c r="Y550" s="201"/>
      <c r="Z550" s="36">
        <f>Table2[[#This Row],[Final Contract Value]]+Table2[[#This Row],[Supervision Contract amount]]+Table2[[#This Row],[Authority Cost]]</f>
        <v>79654309</v>
      </c>
      <c r="AA550" s="123">
        <v>12271635.594366819</v>
      </c>
      <c r="AB550" s="123">
        <f t="shared" si="30"/>
        <v>180000</v>
      </c>
      <c r="AC550" s="102" t="str">
        <f t="shared" si="27"/>
        <v>https://drive.google.com/thumbnail?id=1rB6fHuIxGh5D4VZSJD6ZhvSpEbCfXrnN&amp;sz=w1000</v>
      </c>
      <c r="AD550" s="90" t="s">
        <v>814</v>
      </c>
      <c r="AE550" s="103" t="str">
        <f t="shared" si="28"/>
        <v>https://drive.google.com/thumbnail?id=1qRnd6QBDXGDZrXClC7fkscnVjqbMHsCo&amp;sz=w1000</v>
      </c>
      <c r="AF550" s="90" t="s">
        <v>830</v>
      </c>
      <c r="AG550" s="90" t="str">
        <f t="shared" si="29"/>
        <v>https://drive.google.com/thumbnail?id=16iCRVZ9FIxsqJnxI634PDZC4GeoM1QjJ&amp;sz=w1000</v>
      </c>
      <c r="AH550" s="90" t="s">
        <v>846</v>
      </c>
    </row>
    <row r="551" spans="1:34" ht="22.15" customHeight="1">
      <c r="A551" s="187">
        <v>45541</v>
      </c>
      <c r="B551" s="17" t="s">
        <v>244</v>
      </c>
      <c r="C551" s="17" t="s">
        <v>78</v>
      </c>
      <c r="D551" s="16" t="str" cm="1">
        <f t="array" ref="D551">_xlfn.XLOOKUP(1, (Table1[Project Name]=Table2[[#This Row],[Project ID]])*(Table1[Plot]=Table2[[#This Row],[Plot]]), Table1[Project ID])</f>
        <v>SC-02</v>
      </c>
      <c r="E551" s="69">
        <v>355</v>
      </c>
      <c r="F551" s="70">
        <v>192</v>
      </c>
      <c r="G551" s="69">
        <f>Table2[[#This Row],[Time Elapsed]]+Table2[[#This Row],[Time Remaining]]</f>
        <v>547</v>
      </c>
      <c r="H551" s="70" t="s">
        <v>768</v>
      </c>
      <c r="I551" s="70" t="s">
        <v>693</v>
      </c>
      <c r="J551" s="160">
        <v>0.26900000000000002</v>
      </c>
      <c r="K551" s="161">
        <v>0.27439999999999998</v>
      </c>
      <c r="L551" s="13">
        <f>Table2[[#This Row],[Actual %]]-Table2[[#This Row],[Plan %]]</f>
        <v>5.3999999999999604E-3</v>
      </c>
      <c r="M551" s="165" t="s">
        <v>704</v>
      </c>
      <c r="N551" s="197">
        <v>45603</v>
      </c>
      <c r="O551" s="197" t="s">
        <v>796</v>
      </c>
      <c r="P551" s="197">
        <v>45567</v>
      </c>
      <c r="Q551" s="198">
        <v>45541</v>
      </c>
      <c r="R551" s="159" t="s">
        <v>700</v>
      </c>
      <c r="S551" s="159" t="s">
        <v>701</v>
      </c>
      <c r="T551" s="164" t="s">
        <v>798</v>
      </c>
      <c r="U551" s="122">
        <v>78077600</v>
      </c>
      <c r="V551" s="123">
        <v>0</v>
      </c>
      <c r="W551" s="36">
        <f>Table2[[#This Row],[Construction Contract Amount]]+Table2[[#This Row],[Cumulative Variations]]</f>
        <v>78077600</v>
      </c>
      <c r="X551" s="123">
        <v>1576709</v>
      </c>
      <c r="Y551" s="201"/>
      <c r="Z551" s="36">
        <f>Table2[[#This Row],[Final Contract Value]]+Table2[[#This Row],[Supervision Contract amount]]+Table2[[#This Row],[Authority Cost]]</f>
        <v>79654309</v>
      </c>
      <c r="AA551" s="123">
        <v>12271635.594366819</v>
      </c>
      <c r="AB551" s="123">
        <f t="shared" si="30"/>
        <v>180000</v>
      </c>
      <c r="AC551" s="102" t="str">
        <f t="shared" si="27"/>
        <v>https://drive.google.com/thumbnail?id=1rB6fHuIxGh5D4VZSJD6ZhvSpEbCfXrnN&amp;sz=w1000</v>
      </c>
      <c r="AD551" s="90" t="s">
        <v>814</v>
      </c>
      <c r="AE551" s="103" t="str">
        <f t="shared" si="28"/>
        <v>https://drive.google.com/thumbnail?id=1qRnd6QBDXGDZrXClC7fkscnVjqbMHsCo&amp;sz=w1000</v>
      </c>
      <c r="AF551" s="90" t="s">
        <v>830</v>
      </c>
      <c r="AG551" s="90" t="str">
        <f t="shared" si="29"/>
        <v>https://drive.google.com/thumbnail?id=16iCRVZ9FIxsqJnxI634PDZC4GeoM1QjJ&amp;sz=w1000</v>
      </c>
      <c r="AH551" s="90" t="s">
        <v>846</v>
      </c>
    </row>
    <row r="552" spans="1:34" ht="22.15" customHeight="1">
      <c r="A552" s="187">
        <v>45541</v>
      </c>
      <c r="B552" s="17" t="s">
        <v>244</v>
      </c>
      <c r="C552" s="17" t="s">
        <v>78</v>
      </c>
      <c r="D552" s="16" t="str" cm="1">
        <f t="array" ref="D552">_xlfn.XLOOKUP(1, (Table1[Project Name]=Table2[[#This Row],[Project ID]])*(Table1[Plot]=Table2[[#This Row],[Plot]]), Table1[Project ID])</f>
        <v>SC-02</v>
      </c>
      <c r="E552" s="69">
        <v>355</v>
      </c>
      <c r="F552" s="70">
        <v>192</v>
      </c>
      <c r="G552" s="69">
        <f>Table2[[#This Row],[Time Elapsed]]+Table2[[#This Row],[Time Remaining]]</f>
        <v>547</v>
      </c>
      <c r="H552" s="70" t="s">
        <v>768</v>
      </c>
      <c r="I552" s="70" t="s">
        <v>693</v>
      </c>
      <c r="J552" s="160">
        <v>0.26900000000000002</v>
      </c>
      <c r="K552" s="161">
        <v>0.27439999999999998</v>
      </c>
      <c r="L552" s="13">
        <f>Table2[[#This Row],[Actual %]]-Table2[[#This Row],[Plan %]]</f>
        <v>5.3999999999999604E-3</v>
      </c>
      <c r="M552" s="165" t="s">
        <v>705</v>
      </c>
      <c r="N552" s="197">
        <v>45511</v>
      </c>
      <c r="O552" s="197">
        <v>45477</v>
      </c>
      <c r="P552" s="197" t="s">
        <v>796</v>
      </c>
      <c r="Q552" s="198">
        <v>45541</v>
      </c>
      <c r="R552" s="159" t="s">
        <v>700</v>
      </c>
      <c r="S552" s="159" t="s">
        <v>701</v>
      </c>
      <c r="T552" s="164" t="s">
        <v>798</v>
      </c>
      <c r="U552" s="122">
        <v>78077600</v>
      </c>
      <c r="V552" s="123">
        <v>0</v>
      </c>
      <c r="W552" s="36">
        <f>Table2[[#This Row],[Construction Contract Amount]]+Table2[[#This Row],[Cumulative Variations]]</f>
        <v>78077600</v>
      </c>
      <c r="X552" s="123">
        <v>1576709</v>
      </c>
      <c r="Y552" s="201"/>
      <c r="Z552" s="36">
        <f>Table2[[#This Row],[Final Contract Value]]+Table2[[#This Row],[Supervision Contract amount]]+Table2[[#This Row],[Authority Cost]]</f>
        <v>79654309</v>
      </c>
      <c r="AA552" s="123">
        <v>12271635.594366819</v>
      </c>
      <c r="AB552" s="123">
        <f t="shared" si="30"/>
        <v>180000</v>
      </c>
      <c r="AC552" s="102" t="str">
        <f t="shared" si="27"/>
        <v>https://drive.google.com/thumbnail?id=1rB6fHuIxGh5D4VZSJD6ZhvSpEbCfXrnN&amp;sz=w1000</v>
      </c>
      <c r="AD552" s="90" t="s">
        <v>814</v>
      </c>
      <c r="AE552" s="103" t="str">
        <f t="shared" si="28"/>
        <v>https://drive.google.com/thumbnail?id=1qRnd6QBDXGDZrXClC7fkscnVjqbMHsCo&amp;sz=w1000</v>
      </c>
      <c r="AF552" s="90" t="s">
        <v>830</v>
      </c>
      <c r="AG552" s="90" t="str">
        <f t="shared" si="29"/>
        <v>https://drive.google.com/thumbnail?id=16iCRVZ9FIxsqJnxI634PDZC4GeoM1QjJ&amp;sz=w1000</v>
      </c>
      <c r="AH552" s="90" t="s">
        <v>846</v>
      </c>
    </row>
    <row r="553" spans="1:34" ht="22.15" customHeight="1">
      <c r="A553" s="187">
        <v>45541</v>
      </c>
      <c r="B553" s="17" t="s">
        <v>244</v>
      </c>
      <c r="C553" s="17" t="s">
        <v>78</v>
      </c>
      <c r="D553" s="16" t="str" cm="1">
        <f t="array" ref="D553">_xlfn.XLOOKUP(1, (Table1[Project Name]=Table2[[#This Row],[Project ID]])*(Table1[Plot]=Table2[[#This Row],[Plot]]), Table1[Project ID])</f>
        <v>SC-02</v>
      </c>
      <c r="E553" s="69">
        <v>355</v>
      </c>
      <c r="F553" s="70">
        <v>192</v>
      </c>
      <c r="G553" s="69">
        <f>Table2[[#This Row],[Time Elapsed]]+Table2[[#This Row],[Time Remaining]]</f>
        <v>547</v>
      </c>
      <c r="H553" s="70" t="s">
        <v>768</v>
      </c>
      <c r="I553" s="70" t="s">
        <v>693</v>
      </c>
      <c r="J553" s="160">
        <v>0.26900000000000002</v>
      </c>
      <c r="K553" s="161">
        <v>0.27439999999999998</v>
      </c>
      <c r="L553" s="13">
        <f>Table2[[#This Row],[Actual %]]-Table2[[#This Row],[Plan %]]</f>
        <v>5.3999999999999604E-3</v>
      </c>
      <c r="M553" s="165" t="s">
        <v>706</v>
      </c>
      <c r="N553" s="197">
        <v>45596</v>
      </c>
      <c r="O553" s="197" t="s">
        <v>796</v>
      </c>
      <c r="P553" s="197">
        <v>45594</v>
      </c>
      <c r="Q553" s="198">
        <v>45541</v>
      </c>
      <c r="R553" s="159" t="s">
        <v>700</v>
      </c>
      <c r="S553" s="159" t="s">
        <v>701</v>
      </c>
      <c r="T553" s="164" t="s">
        <v>798</v>
      </c>
      <c r="U553" s="122">
        <v>78077600</v>
      </c>
      <c r="V553" s="123">
        <v>0</v>
      </c>
      <c r="W553" s="36">
        <f>Table2[[#This Row],[Construction Contract Amount]]+Table2[[#This Row],[Cumulative Variations]]</f>
        <v>78077600</v>
      </c>
      <c r="X553" s="123">
        <v>1576709</v>
      </c>
      <c r="Y553" s="201"/>
      <c r="Z553" s="36">
        <f>Table2[[#This Row],[Final Contract Value]]+Table2[[#This Row],[Supervision Contract amount]]+Table2[[#This Row],[Authority Cost]]</f>
        <v>79654309</v>
      </c>
      <c r="AA553" s="123">
        <v>12271635.594366819</v>
      </c>
      <c r="AB553" s="123">
        <f t="shared" si="30"/>
        <v>180000</v>
      </c>
      <c r="AC553" s="102" t="str">
        <f t="shared" si="27"/>
        <v>https://drive.google.com/thumbnail?id=1rB6fHuIxGh5D4VZSJD6ZhvSpEbCfXrnN&amp;sz=w1000</v>
      </c>
      <c r="AD553" s="90" t="s">
        <v>814</v>
      </c>
      <c r="AE553" s="103" t="str">
        <f t="shared" si="28"/>
        <v>https://drive.google.com/thumbnail?id=1qRnd6QBDXGDZrXClC7fkscnVjqbMHsCo&amp;sz=w1000</v>
      </c>
      <c r="AF553" s="90" t="s">
        <v>830</v>
      </c>
      <c r="AG553" s="90" t="str">
        <f t="shared" si="29"/>
        <v>https://drive.google.com/thumbnail?id=16iCRVZ9FIxsqJnxI634PDZC4GeoM1QjJ&amp;sz=w1000</v>
      </c>
      <c r="AH553" s="90" t="s">
        <v>846</v>
      </c>
    </row>
    <row r="554" spans="1:34" ht="22.15" customHeight="1">
      <c r="A554" s="187">
        <v>45541</v>
      </c>
      <c r="B554" s="17" t="s">
        <v>244</v>
      </c>
      <c r="C554" s="17" t="s">
        <v>78</v>
      </c>
      <c r="D554" s="16" t="str" cm="1">
        <f t="array" ref="D554">_xlfn.XLOOKUP(1, (Table1[Project Name]=Table2[[#This Row],[Project ID]])*(Table1[Plot]=Table2[[#This Row],[Plot]]), Table1[Project ID])</f>
        <v>SC-02</v>
      </c>
      <c r="E554" s="69">
        <v>355</v>
      </c>
      <c r="F554" s="70">
        <v>192</v>
      </c>
      <c r="G554" s="69">
        <f>Table2[[#This Row],[Time Elapsed]]+Table2[[#This Row],[Time Remaining]]</f>
        <v>547</v>
      </c>
      <c r="H554" s="70" t="s">
        <v>768</v>
      </c>
      <c r="I554" s="70" t="s">
        <v>693</v>
      </c>
      <c r="J554" s="160">
        <v>0.26900000000000002</v>
      </c>
      <c r="K554" s="161">
        <v>0.27439999999999998</v>
      </c>
      <c r="L554" s="13">
        <f>Table2[[#This Row],[Actual %]]-Table2[[#This Row],[Plan %]]</f>
        <v>5.3999999999999604E-3</v>
      </c>
      <c r="M554" s="165" t="s">
        <v>280</v>
      </c>
      <c r="N554" s="197">
        <v>45682</v>
      </c>
      <c r="O554" s="197" t="s">
        <v>796</v>
      </c>
      <c r="P554" s="197">
        <v>45783</v>
      </c>
      <c r="Q554" s="198">
        <v>45541</v>
      </c>
      <c r="R554" s="159" t="s">
        <v>700</v>
      </c>
      <c r="S554" s="159" t="s">
        <v>701</v>
      </c>
      <c r="T554" s="164" t="s">
        <v>798</v>
      </c>
      <c r="U554" s="122">
        <v>78077600</v>
      </c>
      <c r="V554" s="123">
        <v>0</v>
      </c>
      <c r="W554" s="36">
        <f>Table2[[#This Row],[Construction Contract Amount]]+Table2[[#This Row],[Cumulative Variations]]</f>
        <v>78077600</v>
      </c>
      <c r="X554" s="123">
        <v>1576709</v>
      </c>
      <c r="Y554" s="201"/>
      <c r="Z554" s="36">
        <f>Table2[[#This Row],[Final Contract Value]]+Table2[[#This Row],[Supervision Contract amount]]+Table2[[#This Row],[Authority Cost]]</f>
        <v>79654309</v>
      </c>
      <c r="AA554" s="123">
        <v>12271635.594366819</v>
      </c>
      <c r="AB554" s="123">
        <f t="shared" si="30"/>
        <v>180000</v>
      </c>
      <c r="AC554" s="102" t="str">
        <f t="shared" si="27"/>
        <v>https://drive.google.com/thumbnail?id=1rB6fHuIxGh5D4VZSJD6ZhvSpEbCfXrnN&amp;sz=w1000</v>
      </c>
      <c r="AD554" s="90" t="s">
        <v>814</v>
      </c>
      <c r="AE554" s="103" t="str">
        <f t="shared" si="28"/>
        <v>https://drive.google.com/thumbnail?id=1qRnd6QBDXGDZrXClC7fkscnVjqbMHsCo&amp;sz=w1000</v>
      </c>
      <c r="AF554" s="90" t="s">
        <v>830</v>
      </c>
      <c r="AG554" s="90" t="str">
        <f t="shared" si="29"/>
        <v>https://drive.google.com/thumbnail?id=16iCRVZ9FIxsqJnxI634PDZC4GeoM1QjJ&amp;sz=w1000</v>
      </c>
      <c r="AH554" s="90" t="s">
        <v>846</v>
      </c>
    </row>
    <row r="555" spans="1:34" ht="22.15" customHeight="1">
      <c r="A555" s="187">
        <v>45541</v>
      </c>
      <c r="B555" s="17" t="s">
        <v>244</v>
      </c>
      <c r="C555" s="17" t="s">
        <v>78</v>
      </c>
      <c r="D555" s="16" t="str" cm="1">
        <f t="array" ref="D555">_xlfn.XLOOKUP(1, (Table1[Project Name]=Table2[[#This Row],[Project ID]])*(Table1[Plot]=Table2[[#This Row],[Plot]]), Table1[Project ID])</f>
        <v>SC-02</v>
      </c>
      <c r="E555" s="69">
        <v>355</v>
      </c>
      <c r="F555" s="70">
        <v>192</v>
      </c>
      <c r="G555" s="69">
        <f>Table2[[#This Row],[Time Elapsed]]+Table2[[#This Row],[Time Remaining]]</f>
        <v>547</v>
      </c>
      <c r="H555" s="70" t="s">
        <v>768</v>
      </c>
      <c r="I555" s="70" t="s">
        <v>693</v>
      </c>
      <c r="J555" s="160">
        <v>0.26900000000000002</v>
      </c>
      <c r="K555" s="161">
        <v>0.27439999999999998</v>
      </c>
      <c r="L555" s="13">
        <f>Table2[[#This Row],[Actual %]]-Table2[[#This Row],[Plan %]]</f>
        <v>5.3999999999999604E-3</v>
      </c>
      <c r="M555" s="165" t="s">
        <v>343</v>
      </c>
      <c r="N555" s="197">
        <v>45701</v>
      </c>
      <c r="O555" s="197" t="s">
        <v>796</v>
      </c>
      <c r="P555" s="197">
        <v>45803</v>
      </c>
      <c r="Q555" s="198">
        <v>45541</v>
      </c>
      <c r="R555" s="159" t="s">
        <v>700</v>
      </c>
      <c r="S555" s="159" t="s">
        <v>701</v>
      </c>
      <c r="T555" s="164" t="s">
        <v>798</v>
      </c>
      <c r="U555" s="122">
        <v>78077600</v>
      </c>
      <c r="V555" s="123">
        <v>0</v>
      </c>
      <c r="W555" s="36">
        <f>Table2[[#This Row],[Construction Contract Amount]]+Table2[[#This Row],[Cumulative Variations]]</f>
        <v>78077600</v>
      </c>
      <c r="X555" s="123">
        <v>1576709</v>
      </c>
      <c r="Y555" s="201"/>
      <c r="Z555" s="36">
        <f>Table2[[#This Row],[Final Contract Value]]+Table2[[#This Row],[Supervision Contract amount]]+Table2[[#This Row],[Authority Cost]]</f>
        <v>79654309</v>
      </c>
      <c r="AA555" s="123">
        <v>12271635.594366819</v>
      </c>
      <c r="AB555" s="123">
        <f t="shared" si="30"/>
        <v>180000</v>
      </c>
      <c r="AC555" s="102" t="str">
        <f t="shared" si="27"/>
        <v>https://drive.google.com/thumbnail?id=1rB6fHuIxGh5D4VZSJD6ZhvSpEbCfXrnN&amp;sz=w1000</v>
      </c>
      <c r="AD555" s="90" t="s">
        <v>814</v>
      </c>
      <c r="AE555" s="103" t="str">
        <f t="shared" si="28"/>
        <v>https://drive.google.com/thumbnail?id=1qRnd6QBDXGDZrXClC7fkscnVjqbMHsCo&amp;sz=w1000</v>
      </c>
      <c r="AF555" s="90" t="s">
        <v>830</v>
      </c>
      <c r="AG555" s="90" t="str">
        <f t="shared" si="29"/>
        <v>https://drive.google.com/thumbnail?id=16iCRVZ9FIxsqJnxI634PDZC4GeoM1QjJ&amp;sz=w1000</v>
      </c>
      <c r="AH555" s="90" t="s">
        <v>846</v>
      </c>
    </row>
    <row r="556" spans="1:34" ht="22.15" customHeight="1">
      <c r="A556" s="187">
        <v>45541</v>
      </c>
      <c r="B556" s="17" t="s">
        <v>244</v>
      </c>
      <c r="C556" s="17" t="s">
        <v>78</v>
      </c>
      <c r="D556" s="16" t="str" cm="1">
        <f t="array" ref="D556">_xlfn.XLOOKUP(1, (Table1[Project Name]=Table2[[#This Row],[Project ID]])*(Table1[Plot]=Table2[[#This Row],[Plot]]), Table1[Project ID])</f>
        <v>SC-02</v>
      </c>
      <c r="E556" s="69">
        <v>355</v>
      </c>
      <c r="F556" s="70">
        <v>192</v>
      </c>
      <c r="G556" s="69">
        <f>Table2[[#This Row],[Time Elapsed]]+Table2[[#This Row],[Time Remaining]]</f>
        <v>547</v>
      </c>
      <c r="H556" s="70" t="s">
        <v>768</v>
      </c>
      <c r="I556" s="70" t="s">
        <v>693</v>
      </c>
      <c r="J556" s="160">
        <v>0.26900000000000002</v>
      </c>
      <c r="K556" s="161">
        <v>0.27439999999999998</v>
      </c>
      <c r="L556" s="13">
        <f>Table2[[#This Row],[Actual %]]-Table2[[#This Row],[Plan %]]</f>
        <v>5.3999999999999604E-3</v>
      </c>
      <c r="M556" s="165" t="s">
        <v>344</v>
      </c>
      <c r="N556" s="197">
        <v>45720</v>
      </c>
      <c r="O556" s="197" t="s">
        <v>796</v>
      </c>
      <c r="P556" s="197">
        <v>45824</v>
      </c>
      <c r="Q556" s="198">
        <v>45541</v>
      </c>
      <c r="R556" s="159" t="s">
        <v>700</v>
      </c>
      <c r="S556" s="159" t="s">
        <v>701</v>
      </c>
      <c r="T556" s="164" t="s">
        <v>798</v>
      </c>
      <c r="U556" s="122">
        <v>78077600</v>
      </c>
      <c r="V556" s="123">
        <v>0</v>
      </c>
      <c r="W556" s="36">
        <f>Table2[[#This Row],[Construction Contract Amount]]+Table2[[#This Row],[Cumulative Variations]]</f>
        <v>78077600</v>
      </c>
      <c r="X556" s="123">
        <v>1576709</v>
      </c>
      <c r="Y556" s="201"/>
      <c r="Z556" s="36">
        <f>Table2[[#This Row],[Final Contract Value]]+Table2[[#This Row],[Supervision Contract amount]]+Table2[[#This Row],[Authority Cost]]</f>
        <v>79654309</v>
      </c>
      <c r="AA556" s="123">
        <v>12271635.594366819</v>
      </c>
      <c r="AB556" s="123">
        <f t="shared" si="30"/>
        <v>180000</v>
      </c>
      <c r="AC556" s="102" t="str">
        <f t="shared" si="27"/>
        <v>https://drive.google.com/thumbnail?id=1rB6fHuIxGh5D4VZSJD6ZhvSpEbCfXrnN&amp;sz=w1000</v>
      </c>
      <c r="AD556" s="90" t="s">
        <v>814</v>
      </c>
      <c r="AE556" s="103" t="str">
        <f t="shared" si="28"/>
        <v>https://drive.google.com/thumbnail?id=1qRnd6QBDXGDZrXClC7fkscnVjqbMHsCo&amp;sz=w1000</v>
      </c>
      <c r="AF556" s="90" t="s">
        <v>830</v>
      </c>
      <c r="AG556" s="90" t="str">
        <f t="shared" si="29"/>
        <v>https://drive.google.com/thumbnail?id=16iCRVZ9FIxsqJnxI634PDZC4GeoM1QjJ&amp;sz=w1000</v>
      </c>
      <c r="AH556" s="90" t="s">
        <v>846</v>
      </c>
    </row>
    <row r="557" spans="1:34" ht="22.15" customHeight="1">
      <c r="A557" s="187">
        <v>45541</v>
      </c>
      <c r="B557" s="17" t="s">
        <v>244</v>
      </c>
      <c r="C557" s="17" t="s">
        <v>78</v>
      </c>
      <c r="D557" s="16" t="str" cm="1">
        <f t="array" ref="D557">_xlfn.XLOOKUP(1, (Table1[Project Name]=Table2[[#This Row],[Project ID]])*(Table1[Plot]=Table2[[#This Row],[Plot]]), Table1[Project ID])</f>
        <v>SC-02</v>
      </c>
      <c r="E557" s="69">
        <v>355</v>
      </c>
      <c r="F557" s="70">
        <v>192</v>
      </c>
      <c r="G557" s="69">
        <f>Table2[[#This Row],[Time Elapsed]]+Table2[[#This Row],[Time Remaining]]</f>
        <v>547</v>
      </c>
      <c r="H557" s="70" t="s">
        <v>768</v>
      </c>
      <c r="I557" s="70" t="s">
        <v>693</v>
      </c>
      <c r="J557" s="160">
        <v>0.26900000000000002</v>
      </c>
      <c r="K557" s="161">
        <v>0.27439999999999998</v>
      </c>
      <c r="L557" s="13">
        <f>Table2[[#This Row],[Actual %]]-Table2[[#This Row],[Plan %]]</f>
        <v>5.3999999999999604E-3</v>
      </c>
      <c r="M557" s="165" t="s">
        <v>302</v>
      </c>
      <c r="N557" s="197">
        <v>45733</v>
      </c>
      <c r="O557" s="197" t="s">
        <v>796</v>
      </c>
      <c r="P557" s="197">
        <v>45838</v>
      </c>
      <c r="Q557" s="198">
        <v>45541</v>
      </c>
      <c r="R557" s="159" t="s">
        <v>700</v>
      </c>
      <c r="S557" s="159" t="s">
        <v>701</v>
      </c>
      <c r="T557" s="164" t="s">
        <v>798</v>
      </c>
      <c r="U557" s="122">
        <v>78077600</v>
      </c>
      <c r="V557" s="123">
        <v>0</v>
      </c>
      <c r="W557" s="36">
        <f>Table2[[#This Row],[Construction Contract Amount]]+Table2[[#This Row],[Cumulative Variations]]</f>
        <v>78077600</v>
      </c>
      <c r="X557" s="123">
        <v>1576709</v>
      </c>
      <c r="Y557" s="201"/>
      <c r="Z557" s="36">
        <f>Table2[[#This Row],[Final Contract Value]]+Table2[[#This Row],[Supervision Contract amount]]+Table2[[#This Row],[Authority Cost]]</f>
        <v>79654309</v>
      </c>
      <c r="AA557" s="123">
        <v>12271635.594366819</v>
      </c>
      <c r="AB557" s="123">
        <f t="shared" si="30"/>
        <v>180000</v>
      </c>
      <c r="AC557" s="102" t="str">
        <f t="shared" si="27"/>
        <v>https://drive.google.com/thumbnail?id=1rB6fHuIxGh5D4VZSJD6ZhvSpEbCfXrnN&amp;sz=w1000</v>
      </c>
      <c r="AD557" s="90" t="s">
        <v>814</v>
      </c>
      <c r="AE557" s="103" t="str">
        <f t="shared" si="28"/>
        <v>https://drive.google.com/thumbnail?id=1qRnd6QBDXGDZrXClC7fkscnVjqbMHsCo&amp;sz=w1000</v>
      </c>
      <c r="AF557" s="90" t="s">
        <v>830</v>
      </c>
      <c r="AG557" s="90" t="str">
        <f t="shared" si="29"/>
        <v>https://drive.google.com/thumbnail?id=16iCRVZ9FIxsqJnxI634PDZC4GeoM1QjJ&amp;sz=w1000</v>
      </c>
      <c r="AH557" s="90" t="s">
        <v>846</v>
      </c>
    </row>
    <row r="558" spans="1:34" ht="22.15" customHeight="1">
      <c r="A558" s="187">
        <v>45541</v>
      </c>
      <c r="B558" s="17" t="s">
        <v>247</v>
      </c>
      <c r="C558" s="17" t="s">
        <v>11</v>
      </c>
      <c r="D558" s="16" t="str" cm="1">
        <f t="array" ref="D558">_xlfn.XLOOKUP(1, (Table1[Project Name]=Table2[[#This Row],[Project ID]])*(Table1[Plot]=Table2[[#This Row],[Plot]]), Table1[Project ID])</f>
        <v>SC-03</v>
      </c>
      <c r="E558" s="69">
        <v>282</v>
      </c>
      <c r="F558" s="70">
        <v>265</v>
      </c>
      <c r="G558" s="69">
        <f>Table2[[#This Row],[Time Elapsed]]+Table2[[#This Row],[Time Remaining]]</f>
        <v>547</v>
      </c>
      <c r="H558" s="70" t="s">
        <v>769</v>
      </c>
      <c r="I558" s="70" t="s">
        <v>693</v>
      </c>
      <c r="J558" s="160">
        <v>9.6600000000000005E-2</v>
      </c>
      <c r="K558" s="161">
        <v>0.18840000000000001</v>
      </c>
      <c r="L558" s="13">
        <f>Table2[[#This Row],[Actual %]]-Table2[[#This Row],[Plan %]]</f>
        <v>9.1800000000000007E-2</v>
      </c>
      <c r="M558" s="163" t="s">
        <v>285</v>
      </c>
      <c r="N558" s="197">
        <v>45260</v>
      </c>
      <c r="O558" s="197">
        <v>45260</v>
      </c>
      <c r="P558" s="197" t="s">
        <v>796</v>
      </c>
      <c r="Q558" s="198">
        <v>45541</v>
      </c>
      <c r="R558" s="159" t="s">
        <v>700</v>
      </c>
      <c r="S558" s="159" t="s">
        <v>701</v>
      </c>
      <c r="T558" s="164" t="s">
        <v>799</v>
      </c>
      <c r="U558" s="122">
        <v>78077600</v>
      </c>
      <c r="V558" s="123">
        <v>0</v>
      </c>
      <c r="W558" s="36">
        <f>Table2[[#This Row],[Construction Contract Amount]]+Table2[[#This Row],[Cumulative Variations]]</f>
        <v>78077600</v>
      </c>
      <c r="X558" s="123">
        <v>1576709</v>
      </c>
      <c r="Y558" s="201"/>
      <c r="Z558" s="36">
        <f>Table2[[#This Row],[Final Contract Value]]+Table2[[#This Row],[Supervision Contract amount]]+Table2[[#This Row],[Authority Cost]]</f>
        <v>79654309</v>
      </c>
      <c r="AA558" s="123">
        <v>10955306.882996498</v>
      </c>
      <c r="AB558" s="123">
        <f t="shared" si="30"/>
        <v>180000</v>
      </c>
      <c r="AC558" s="102" t="str">
        <f t="shared" si="27"/>
        <v>https://drive.google.com/thumbnail?id=1EShm-JCEBeUL9t9jvi_3B6OF8gY5AK0w&amp;sz=w1000</v>
      </c>
      <c r="AD558" s="90" t="s">
        <v>815</v>
      </c>
      <c r="AE558" s="103" t="str">
        <f t="shared" si="28"/>
        <v>https://drive.google.com/thumbnail?id=1wFL1KQ-QVw5hSLZv1AF-r-UdMul7WJMk&amp;sz=w1000</v>
      </c>
      <c r="AF558" s="90" t="s">
        <v>831</v>
      </c>
      <c r="AG558" s="90" t="str">
        <f t="shared" si="29"/>
        <v>https://drive.google.com/thumbnail?id=1TDk98vxQ3RO5Vex4gTvzQ8srdHf8VMYQ&amp;sz=w1000</v>
      </c>
      <c r="AH558" s="90" t="s">
        <v>847</v>
      </c>
    </row>
    <row r="559" spans="1:34" ht="22.15" customHeight="1">
      <c r="A559" s="187">
        <v>45541</v>
      </c>
      <c r="B559" s="17" t="s">
        <v>247</v>
      </c>
      <c r="C559" s="17" t="s">
        <v>11</v>
      </c>
      <c r="D559" s="16" t="str" cm="1">
        <f t="array" ref="D559">_xlfn.XLOOKUP(1, (Table1[Project Name]=Table2[[#This Row],[Project ID]])*(Table1[Plot]=Table2[[#This Row],[Plot]]), Table1[Project ID])</f>
        <v>SC-03</v>
      </c>
      <c r="E559" s="69">
        <v>282</v>
      </c>
      <c r="F559" s="70">
        <v>265</v>
      </c>
      <c r="G559" s="69">
        <f>Table2[[#This Row],[Time Elapsed]]+Table2[[#This Row],[Time Remaining]]</f>
        <v>547</v>
      </c>
      <c r="H559" s="70" t="s">
        <v>769</v>
      </c>
      <c r="I559" s="70" t="s">
        <v>693</v>
      </c>
      <c r="J559" s="160">
        <v>9.6600000000000005E-2</v>
      </c>
      <c r="K559" s="161">
        <v>0.18840000000000001</v>
      </c>
      <c r="L559" s="13">
        <f>Table2[[#This Row],[Actual %]]-Table2[[#This Row],[Plan %]]</f>
        <v>9.1800000000000007E-2</v>
      </c>
      <c r="M559" s="165" t="s">
        <v>51</v>
      </c>
      <c r="N559" s="197">
        <v>45296</v>
      </c>
      <c r="O559" s="197">
        <v>45297</v>
      </c>
      <c r="P559" s="197" t="s">
        <v>796</v>
      </c>
      <c r="Q559" s="198">
        <v>45541</v>
      </c>
      <c r="R559" s="159" t="s">
        <v>700</v>
      </c>
      <c r="S559" s="159" t="s">
        <v>701</v>
      </c>
      <c r="T559" s="164" t="s">
        <v>799</v>
      </c>
      <c r="U559" s="122">
        <v>78077600</v>
      </c>
      <c r="V559" s="123">
        <v>0</v>
      </c>
      <c r="W559" s="36">
        <f>Table2[[#This Row],[Construction Contract Amount]]+Table2[[#This Row],[Cumulative Variations]]</f>
        <v>78077600</v>
      </c>
      <c r="X559" s="123">
        <v>1576709</v>
      </c>
      <c r="Y559" s="201"/>
      <c r="Z559" s="36">
        <f>Table2[[#This Row],[Final Contract Value]]+Table2[[#This Row],[Supervision Contract amount]]+Table2[[#This Row],[Authority Cost]]</f>
        <v>79654309</v>
      </c>
      <c r="AA559" s="123">
        <v>10955306.882996498</v>
      </c>
      <c r="AB559" s="123">
        <f t="shared" si="30"/>
        <v>180000</v>
      </c>
      <c r="AC559" s="102" t="str">
        <f t="shared" si="27"/>
        <v>https://drive.google.com/thumbnail?id=1EShm-JCEBeUL9t9jvi_3B6OF8gY5AK0w&amp;sz=w1000</v>
      </c>
      <c r="AD559" s="90" t="s">
        <v>815</v>
      </c>
      <c r="AE559" s="103" t="str">
        <f t="shared" si="28"/>
        <v>https://drive.google.com/thumbnail?id=1wFL1KQ-QVw5hSLZv1AF-r-UdMul7WJMk&amp;sz=w1000</v>
      </c>
      <c r="AF559" s="90" t="s">
        <v>831</v>
      </c>
      <c r="AG559" s="90" t="str">
        <f t="shared" si="29"/>
        <v>https://drive.google.com/thumbnail?id=1TDk98vxQ3RO5Vex4gTvzQ8srdHf8VMYQ&amp;sz=w1000</v>
      </c>
      <c r="AH559" s="90" t="s">
        <v>847</v>
      </c>
    </row>
    <row r="560" spans="1:34" ht="22.15" customHeight="1">
      <c r="A560" s="187">
        <v>45541</v>
      </c>
      <c r="B560" s="17" t="s">
        <v>247</v>
      </c>
      <c r="C560" s="17" t="s">
        <v>11</v>
      </c>
      <c r="D560" s="16" t="str" cm="1">
        <f t="array" ref="D560">_xlfn.XLOOKUP(1, (Table1[Project Name]=Table2[[#This Row],[Project ID]])*(Table1[Plot]=Table2[[#This Row],[Plot]]), Table1[Project ID])</f>
        <v>SC-03</v>
      </c>
      <c r="E560" s="69">
        <v>282</v>
      </c>
      <c r="F560" s="70">
        <v>265</v>
      </c>
      <c r="G560" s="69">
        <f>Table2[[#This Row],[Time Elapsed]]+Table2[[#This Row],[Time Remaining]]</f>
        <v>547</v>
      </c>
      <c r="H560" s="70" t="s">
        <v>769</v>
      </c>
      <c r="I560" s="70" t="s">
        <v>693</v>
      </c>
      <c r="J560" s="160">
        <v>9.6600000000000005E-2</v>
      </c>
      <c r="K560" s="161">
        <v>0.18840000000000001</v>
      </c>
      <c r="L560" s="13">
        <f>Table2[[#This Row],[Actual %]]-Table2[[#This Row],[Plan %]]</f>
        <v>9.1800000000000007E-2</v>
      </c>
      <c r="M560" s="165" t="s">
        <v>287</v>
      </c>
      <c r="N560" s="197">
        <v>45502</v>
      </c>
      <c r="O560" s="197">
        <v>45463</v>
      </c>
      <c r="P560" s="197" t="s">
        <v>796</v>
      </c>
      <c r="Q560" s="198">
        <v>45541</v>
      </c>
      <c r="R560" s="159" t="s">
        <v>700</v>
      </c>
      <c r="S560" s="159" t="s">
        <v>701</v>
      </c>
      <c r="T560" s="164" t="s">
        <v>799</v>
      </c>
      <c r="U560" s="122">
        <v>78077600</v>
      </c>
      <c r="V560" s="123">
        <v>0</v>
      </c>
      <c r="W560" s="36">
        <f>Table2[[#This Row],[Construction Contract Amount]]+Table2[[#This Row],[Cumulative Variations]]</f>
        <v>78077600</v>
      </c>
      <c r="X560" s="123">
        <v>1576709</v>
      </c>
      <c r="Y560" s="201"/>
      <c r="Z560" s="36">
        <f>Table2[[#This Row],[Final Contract Value]]+Table2[[#This Row],[Supervision Contract amount]]+Table2[[#This Row],[Authority Cost]]</f>
        <v>79654309</v>
      </c>
      <c r="AA560" s="123">
        <v>10955306.882996498</v>
      </c>
      <c r="AB560" s="123">
        <f t="shared" si="30"/>
        <v>180000</v>
      </c>
      <c r="AC560" s="102" t="str">
        <f t="shared" si="27"/>
        <v>https://drive.google.com/thumbnail?id=1EShm-JCEBeUL9t9jvi_3B6OF8gY5AK0w&amp;sz=w1000</v>
      </c>
      <c r="AD560" s="90" t="s">
        <v>815</v>
      </c>
      <c r="AE560" s="103" t="str">
        <f t="shared" si="28"/>
        <v>https://drive.google.com/thumbnail?id=1wFL1KQ-QVw5hSLZv1AF-r-UdMul7WJMk&amp;sz=w1000</v>
      </c>
      <c r="AF560" s="90" t="s">
        <v>831</v>
      </c>
      <c r="AG560" s="90" t="str">
        <f t="shared" si="29"/>
        <v>https://drive.google.com/thumbnail?id=1TDk98vxQ3RO5Vex4gTvzQ8srdHf8VMYQ&amp;sz=w1000</v>
      </c>
      <c r="AH560" s="90" t="s">
        <v>847</v>
      </c>
    </row>
    <row r="561" spans="1:34" ht="22.15" customHeight="1">
      <c r="A561" s="187">
        <v>45541</v>
      </c>
      <c r="B561" s="17" t="s">
        <v>247</v>
      </c>
      <c r="C561" s="17" t="s">
        <v>11</v>
      </c>
      <c r="D561" s="16" t="str" cm="1">
        <f t="array" ref="D561">_xlfn.XLOOKUP(1, (Table1[Project Name]=Table2[[#This Row],[Project ID]])*(Table1[Plot]=Table2[[#This Row],[Plot]]), Table1[Project ID])</f>
        <v>SC-03</v>
      </c>
      <c r="E561" s="69">
        <v>282</v>
      </c>
      <c r="F561" s="70">
        <v>265</v>
      </c>
      <c r="G561" s="69">
        <f>Table2[[#This Row],[Time Elapsed]]+Table2[[#This Row],[Time Remaining]]</f>
        <v>547</v>
      </c>
      <c r="H561" s="70" t="s">
        <v>769</v>
      </c>
      <c r="I561" s="70" t="s">
        <v>693</v>
      </c>
      <c r="J561" s="160">
        <v>9.6600000000000005E-2</v>
      </c>
      <c r="K561" s="161">
        <v>0.18840000000000001</v>
      </c>
      <c r="L561" s="13">
        <f>Table2[[#This Row],[Actual %]]-Table2[[#This Row],[Plan %]]</f>
        <v>9.1800000000000007E-2</v>
      </c>
      <c r="M561" s="165" t="s">
        <v>703</v>
      </c>
      <c r="N561" s="197">
        <v>45579</v>
      </c>
      <c r="O561" s="197" t="s">
        <v>796</v>
      </c>
      <c r="P561" s="197">
        <v>45555</v>
      </c>
      <c r="Q561" s="198">
        <v>45541</v>
      </c>
      <c r="R561" s="159" t="s">
        <v>700</v>
      </c>
      <c r="S561" s="159" t="s">
        <v>701</v>
      </c>
      <c r="T561" s="164" t="s">
        <v>799</v>
      </c>
      <c r="U561" s="122">
        <v>78077600</v>
      </c>
      <c r="V561" s="123">
        <v>0</v>
      </c>
      <c r="W561" s="36">
        <f>Table2[[#This Row],[Construction Contract Amount]]+Table2[[#This Row],[Cumulative Variations]]</f>
        <v>78077600</v>
      </c>
      <c r="X561" s="123">
        <v>1576709</v>
      </c>
      <c r="Y561" s="201"/>
      <c r="Z561" s="36">
        <f>Table2[[#This Row],[Final Contract Value]]+Table2[[#This Row],[Supervision Contract amount]]+Table2[[#This Row],[Authority Cost]]</f>
        <v>79654309</v>
      </c>
      <c r="AA561" s="123">
        <v>10955306.882996498</v>
      </c>
      <c r="AB561" s="123">
        <f t="shared" si="30"/>
        <v>180000</v>
      </c>
      <c r="AC561" s="102" t="str">
        <f t="shared" si="27"/>
        <v>https://drive.google.com/thumbnail?id=1EShm-JCEBeUL9t9jvi_3B6OF8gY5AK0w&amp;sz=w1000</v>
      </c>
      <c r="AD561" s="90" t="s">
        <v>815</v>
      </c>
      <c r="AE561" s="103" t="str">
        <f t="shared" si="28"/>
        <v>https://drive.google.com/thumbnail?id=1wFL1KQ-QVw5hSLZv1AF-r-UdMul7WJMk&amp;sz=w1000</v>
      </c>
      <c r="AF561" s="90" t="s">
        <v>831</v>
      </c>
      <c r="AG561" s="90" t="str">
        <f t="shared" si="29"/>
        <v>https://drive.google.com/thumbnail?id=1TDk98vxQ3RO5Vex4gTvzQ8srdHf8VMYQ&amp;sz=w1000</v>
      </c>
      <c r="AH561" s="90" t="s">
        <v>847</v>
      </c>
    </row>
    <row r="562" spans="1:34" ht="22.15" customHeight="1">
      <c r="A562" s="187">
        <v>45541</v>
      </c>
      <c r="B562" s="17" t="s">
        <v>247</v>
      </c>
      <c r="C562" s="17" t="s">
        <v>11</v>
      </c>
      <c r="D562" s="16" t="str" cm="1">
        <f t="array" ref="D562">_xlfn.XLOOKUP(1, (Table1[Project Name]=Table2[[#This Row],[Project ID]])*(Table1[Plot]=Table2[[#This Row],[Plot]]), Table1[Project ID])</f>
        <v>SC-03</v>
      </c>
      <c r="E562" s="69">
        <v>282</v>
      </c>
      <c r="F562" s="70">
        <v>265</v>
      </c>
      <c r="G562" s="69">
        <f>Table2[[#This Row],[Time Elapsed]]+Table2[[#This Row],[Time Remaining]]</f>
        <v>547</v>
      </c>
      <c r="H562" s="70" t="s">
        <v>769</v>
      </c>
      <c r="I562" s="70" t="s">
        <v>693</v>
      </c>
      <c r="J562" s="160">
        <v>9.6600000000000005E-2</v>
      </c>
      <c r="K562" s="161">
        <v>0.18840000000000001</v>
      </c>
      <c r="L562" s="13">
        <f>Table2[[#This Row],[Actual %]]-Table2[[#This Row],[Plan %]]</f>
        <v>9.1800000000000007E-2</v>
      </c>
      <c r="M562" s="165" t="s">
        <v>704</v>
      </c>
      <c r="N562" s="197">
        <v>45677</v>
      </c>
      <c r="O562" s="197" t="s">
        <v>796</v>
      </c>
      <c r="P562" s="197">
        <v>45588</v>
      </c>
      <c r="Q562" s="198">
        <v>45541</v>
      </c>
      <c r="R562" s="159" t="s">
        <v>700</v>
      </c>
      <c r="S562" s="159" t="s">
        <v>701</v>
      </c>
      <c r="T562" s="164" t="s">
        <v>799</v>
      </c>
      <c r="U562" s="122">
        <v>78077600</v>
      </c>
      <c r="V562" s="123">
        <v>0</v>
      </c>
      <c r="W562" s="36">
        <f>Table2[[#This Row],[Construction Contract Amount]]+Table2[[#This Row],[Cumulative Variations]]</f>
        <v>78077600</v>
      </c>
      <c r="X562" s="123">
        <v>1576709</v>
      </c>
      <c r="Y562" s="201"/>
      <c r="Z562" s="36">
        <f>Table2[[#This Row],[Final Contract Value]]+Table2[[#This Row],[Supervision Contract amount]]+Table2[[#This Row],[Authority Cost]]</f>
        <v>79654309</v>
      </c>
      <c r="AA562" s="123">
        <v>10955306.882996498</v>
      </c>
      <c r="AB562" s="123">
        <f t="shared" si="30"/>
        <v>180000</v>
      </c>
      <c r="AC562" s="102" t="str">
        <f t="shared" si="27"/>
        <v>https://drive.google.com/thumbnail?id=1EShm-JCEBeUL9t9jvi_3B6OF8gY5AK0w&amp;sz=w1000</v>
      </c>
      <c r="AD562" s="90" t="s">
        <v>815</v>
      </c>
      <c r="AE562" s="103" t="str">
        <f t="shared" si="28"/>
        <v>https://drive.google.com/thumbnail?id=1wFL1KQ-QVw5hSLZv1AF-r-UdMul7WJMk&amp;sz=w1000</v>
      </c>
      <c r="AF562" s="90" t="s">
        <v>831</v>
      </c>
      <c r="AG562" s="90" t="str">
        <f t="shared" si="29"/>
        <v>https://drive.google.com/thumbnail?id=1TDk98vxQ3RO5Vex4gTvzQ8srdHf8VMYQ&amp;sz=w1000</v>
      </c>
      <c r="AH562" s="90" t="s">
        <v>847</v>
      </c>
    </row>
    <row r="563" spans="1:34" ht="22.15" customHeight="1">
      <c r="A563" s="187">
        <v>45541</v>
      </c>
      <c r="B563" s="17" t="s">
        <v>247</v>
      </c>
      <c r="C563" s="17" t="s">
        <v>11</v>
      </c>
      <c r="D563" s="16" t="str" cm="1">
        <f t="array" ref="D563">_xlfn.XLOOKUP(1, (Table1[Project Name]=Table2[[#This Row],[Project ID]])*(Table1[Plot]=Table2[[#This Row],[Plot]]), Table1[Project ID])</f>
        <v>SC-03</v>
      </c>
      <c r="E563" s="69">
        <v>282</v>
      </c>
      <c r="F563" s="70">
        <v>265</v>
      </c>
      <c r="G563" s="69">
        <f>Table2[[#This Row],[Time Elapsed]]+Table2[[#This Row],[Time Remaining]]</f>
        <v>547</v>
      </c>
      <c r="H563" s="70" t="s">
        <v>769</v>
      </c>
      <c r="I563" s="70" t="s">
        <v>693</v>
      </c>
      <c r="J563" s="160">
        <v>9.6600000000000005E-2</v>
      </c>
      <c r="K563" s="161">
        <v>0.18840000000000001</v>
      </c>
      <c r="L563" s="13">
        <f>Table2[[#This Row],[Actual %]]-Table2[[#This Row],[Plan %]]</f>
        <v>9.1800000000000007E-2</v>
      </c>
      <c r="M563" s="165" t="s">
        <v>705</v>
      </c>
      <c r="N563" s="197">
        <v>45580</v>
      </c>
      <c r="O563" s="197">
        <v>45472</v>
      </c>
      <c r="P563" s="197" t="s">
        <v>796</v>
      </c>
      <c r="Q563" s="198">
        <v>45541</v>
      </c>
      <c r="R563" s="159" t="s">
        <v>700</v>
      </c>
      <c r="S563" s="159" t="s">
        <v>701</v>
      </c>
      <c r="T563" s="164" t="s">
        <v>799</v>
      </c>
      <c r="U563" s="122">
        <v>78077600</v>
      </c>
      <c r="V563" s="123">
        <v>0</v>
      </c>
      <c r="W563" s="36">
        <f>Table2[[#This Row],[Construction Contract Amount]]+Table2[[#This Row],[Cumulative Variations]]</f>
        <v>78077600</v>
      </c>
      <c r="X563" s="123">
        <v>1576709</v>
      </c>
      <c r="Y563" s="201"/>
      <c r="Z563" s="36">
        <f>Table2[[#This Row],[Final Contract Value]]+Table2[[#This Row],[Supervision Contract amount]]+Table2[[#This Row],[Authority Cost]]</f>
        <v>79654309</v>
      </c>
      <c r="AA563" s="123">
        <v>10955306.882996498</v>
      </c>
      <c r="AB563" s="123">
        <f t="shared" si="30"/>
        <v>180000</v>
      </c>
      <c r="AC563" s="102" t="str">
        <f t="shared" si="27"/>
        <v>https://drive.google.com/thumbnail?id=1EShm-JCEBeUL9t9jvi_3B6OF8gY5AK0w&amp;sz=w1000</v>
      </c>
      <c r="AD563" s="90" t="s">
        <v>815</v>
      </c>
      <c r="AE563" s="103" t="str">
        <f t="shared" si="28"/>
        <v>https://drive.google.com/thumbnail?id=1wFL1KQ-QVw5hSLZv1AF-r-UdMul7WJMk&amp;sz=w1000</v>
      </c>
      <c r="AF563" s="90" t="s">
        <v>831</v>
      </c>
      <c r="AG563" s="90" t="str">
        <f t="shared" si="29"/>
        <v>https://drive.google.com/thumbnail?id=1TDk98vxQ3RO5Vex4gTvzQ8srdHf8VMYQ&amp;sz=w1000</v>
      </c>
      <c r="AH563" s="90" t="s">
        <v>847</v>
      </c>
    </row>
    <row r="564" spans="1:34" ht="22.15" customHeight="1">
      <c r="A564" s="187">
        <v>45541</v>
      </c>
      <c r="B564" s="17" t="s">
        <v>247</v>
      </c>
      <c r="C564" s="17" t="s">
        <v>11</v>
      </c>
      <c r="D564" s="16" t="str" cm="1">
        <f t="array" ref="D564">_xlfn.XLOOKUP(1, (Table1[Project Name]=Table2[[#This Row],[Project ID]])*(Table1[Plot]=Table2[[#This Row],[Plot]]), Table1[Project ID])</f>
        <v>SC-03</v>
      </c>
      <c r="E564" s="69">
        <v>282</v>
      </c>
      <c r="F564" s="70">
        <v>265</v>
      </c>
      <c r="G564" s="69">
        <f>Table2[[#This Row],[Time Elapsed]]+Table2[[#This Row],[Time Remaining]]</f>
        <v>547</v>
      </c>
      <c r="H564" s="70" t="s">
        <v>769</v>
      </c>
      <c r="I564" s="70" t="s">
        <v>693</v>
      </c>
      <c r="J564" s="160">
        <v>9.6600000000000005E-2</v>
      </c>
      <c r="K564" s="161">
        <v>0.18840000000000001</v>
      </c>
      <c r="L564" s="13">
        <f>Table2[[#This Row],[Actual %]]-Table2[[#This Row],[Plan %]]</f>
        <v>9.1800000000000007E-2</v>
      </c>
      <c r="M564" s="165" t="s">
        <v>706</v>
      </c>
      <c r="N564" s="197">
        <v>45671</v>
      </c>
      <c r="O564" s="197" t="s">
        <v>796</v>
      </c>
      <c r="P564" s="197">
        <v>45598</v>
      </c>
      <c r="Q564" s="198">
        <v>45541</v>
      </c>
      <c r="R564" s="159" t="s">
        <v>700</v>
      </c>
      <c r="S564" s="159" t="s">
        <v>701</v>
      </c>
      <c r="T564" s="164" t="s">
        <v>799</v>
      </c>
      <c r="U564" s="122">
        <v>78077600</v>
      </c>
      <c r="V564" s="123">
        <v>0</v>
      </c>
      <c r="W564" s="36">
        <f>Table2[[#This Row],[Construction Contract Amount]]+Table2[[#This Row],[Cumulative Variations]]</f>
        <v>78077600</v>
      </c>
      <c r="X564" s="123">
        <v>1576709</v>
      </c>
      <c r="Y564" s="201"/>
      <c r="Z564" s="36">
        <f>Table2[[#This Row],[Final Contract Value]]+Table2[[#This Row],[Supervision Contract amount]]+Table2[[#This Row],[Authority Cost]]</f>
        <v>79654309</v>
      </c>
      <c r="AA564" s="123">
        <v>10955306.882996498</v>
      </c>
      <c r="AB564" s="123">
        <f t="shared" si="30"/>
        <v>180000</v>
      </c>
      <c r="AC564" s="102" t="str">
        <f t="shared" si="27"/>
        <v>https://drive.google.com/thumbnail?id=1EShm-JCEBeUL9t9jvi_3B6OF8gY5AK0w&amp;sz=w1000</v>
      </c>
      <c r="AD564" s="90" t="s">
        <v>815</v>
      </c>
      <c r="AE564" s="103" t="str">
        <f t="shared" si="28"/>
        <v>https://drive.google.com/thumbnail?id=1wFL1KQ-QVw5hSLZv1AF-r-UdMul7WJMk&amp;sz=w1000</v>
      </c>
      <c r="AF564" s="90" t="s">
        <v>831</v>
      </c>
      <c r="AG564" s="90" t="str">
        <f t="shared" si="29"/>
        <v>https://drive.google.com/thumbnail?id=1TDk98vxQ3RO5Vex4gTvzQ8srdHf8VMYQ&amp;sz=w1000</v>
      </c>
      <c r="AH564" s="90" t="s">
        <v>847</v>
      </c>
    </row>
    <row r="565" spans="1:34" ht="22.15" customHeight="1">
      <c r="A565" s="187">
        <v>45541</v>
      </c>
      <c r="B565" s="17" t="s">
        <v>247</v>
      </c>
      <c r="C565" s="17" t="s">
        <v>11</v>
      </c>
      <c r="D565" s="16" t="str" cm="1">
        <f t="array" ref="D565">_xlfn.XLOOKUP(1, (Table1[Project Name]=Table2[[#This Row],[Project ID]])*(Table1[Plot]=Table2[[#This Row],[Plot]]), Table1[Project ID])</f>
        <v>SC-03</v>
      </c>
      <c r="E565" s="69">
        <v>282</v>
      </c>
      <c r="F565" s="70">
        <v>265</v>
      </c>
      <c r="G565" s="69">
        <f>Table2[[#This Row],[Time Elapsed]]+Table2[[#This Row],[Time Remaining]]</f>
        <v>547</v>
      </c>
      <c r="H565" s="70" t="s">
        <v>769</v>
      </c>
      <c r="I565" s="70" t="s">
        <v>693</v>
      </c>
      <c r="J565" s="160">
        <v>9.6600000000000005E-2</v>
      </c>
      <c r="K565" s="161">
        <v>0.18840000000000001</v>
      </c>
      <c r="L565" s="13">
        <f>Table2[[#This Row],[Actual %]]-Table2[[#This Row],[Plan %]]</f>
        <v>9.1800000000000007E-2</v>
      </c>
      <c r="M565" s="165" t="s">
        <v>280</v>
      </c>
      <c r="N565" s="197">
        <v>45757</v>
      </c>
      <c r="O565" s="197" t="s">
        <v>796</v>
      </c>
      <c r="P565" s="197">
        <v>45792</v>
      </c>
      <c r="Q565" s="198">
        <v>45541</v>
      </c>
      <c r="R565" s="159" t="s">
        <v>700</v>
      </c>
      <c r="S565" s="159" t="s">
        <v>701</v>
      </c>
      <c r="T565" s="164" t="s">
        <v>799</v>
      </c>
      <c r="U565" s="122">
        <v>78077600</v>
      </c>
      <c r="V565" s="123">
        <v>0</v>
      </c>
      <c r="W565" s="36">
        <f>Table2[[#This Row],[Construction Contract Amount]]+Table2[[#This Row],[Cumulative Variations]]</f>
        <v>78077600</v>
      </c>
      <c r="X565" s="123">
        <v>1576709</v>
      </c>
      <c r="Y565" s="201"/>
      <c r="Z565" s="36">
        <f>Table2[[#This Row],[Final Contract Value]]+Table2[[#This Row],[Supervision Contract amount]]+Table2[[#This Row],[Authority Cost]]</f>
        <v>79654309</v>
      </c>
      <c r="AA565" s="123">
        <v>10955306.882996498</v>
      </c>
      <c r="AB565" s="123">
        <f t="shared" si="30"/>
        <v>180000</v>
      </c>
      <c r="AC565" s="102" t="str">
        <f t="shared" si="27"/>
        <v>https://drive.google.com/thumbnail?id=1EShm-JCEBeUL9t9jvi_3B6OF8gY5AK0w&amp;sz=w1000</v>
      </c>
      <c r="AD565" s="90" t="s">
        <v>815</v>
      </c>
      <c r="AE565" s="103" t="str">
        <f t="shared" si="28"/>
        <v>https://drive.google.com/thumbnail?id=1wFL1KQ-QVw5hSLZv1AF-r-UdMul7WJMk&amp;sz=w1000</v>
      </c>
      <c r="AF565" s="90" t="s">
        <v>831</v>
      </c>
      <c r="AG565" s="90" t="str">
        <f t="shared" si="29"/>
        <v>https://drive.google.com/thumbnail?id=1TDk98vxQ3RO5Vex4gTvzQ8srdHf8VMYQ&amp;sz=w1000</v>
      </c>
      <c r="AH565" s="90" t="s">
        <v>847</v>
      </c>
    </row>
    <row r="566" spans="1:34" ht="22.15" customHeight="1">
      <c r="A566" s="187">
        <v>45541</v>
      </c>
      <c r="B566" s="17" t="s">
        <v>247</v>
      </c>
      <c r="C566" s="17" t="s">
        <v>11</v>
      </c>
      <c r="D566" s="16" t="str" cm="1">
        <f t="array" ref="D566">_xlfn.XLOOKUP(1, (Table1[Project Name]=Table2[[#This Row],[Project ID]])*(Table1[Plot]=Table2[[#This Row],[Plot]]), Table1[Project ID])</f>
        <v>SC-03</v>
      </c>
      <c r="E566" s="69">
        <v>282</v>
      </c>
      <c r="F566" s="70">
        <v>265</v>
      </c>
      <c r="G566" s="69">
        <f>Table2[[#This Row],[Time Elapsed]]+Table2[[#This Row],[Time Remaining]]</f>
        <v>547</v>
      </c>
      <c r="H566" s="70" t="s">
        <v>769</v>
      </c>
      <c r="I566" s="70" t="s">
        <v>693</v>
      </c>
      <c r="J566" s="160">
        <v>9.6600000000000005E-2</v>
      </c>
      <c r="K566" s="161">
        <v>0.18840000000000001</v>
      </c>
      <c r="L566" s="13">
        <f>Table2[[#This Row],[Actual %]]-Table2[[#This Row],[Plan %]]</f>
        <v>9.1800000000000007E-2</v>
      </c>
      <c r="M566" s="165" t="s">
        <v>343</v>
      </c>
      <c r="N566" s="197">
        <v>45776</v>
      </c>
      <c r="O566" s="197" t="s">
        <v>796</v>
      </c>
      <c r="P566" s="197">
        <v>45803</v>
      </c>
      <c r="Q566" s="198">
        <v>45541</v>
      </c>
      <c r="R566" s="159" t="s">
        <v>700</v>
      </c>
      <c r="S566" s="159" t="s">
        <v>701</v>
      </c>
      <c r="T566" s="164" t="s">
        <v>799</v>
      </c>
      <c r="U566" s="122">
        <v>78077600</v>
      </c>
      <c r="V566" s="123">
        <v>0</v>
      </c>
      <c r="W566" s="36">
        <f>Table2[[#This Row],[Construction Contract Amount]]+Table2[[#This Row],[Cumulative Variations]]</f>
        <v>78077600</v>
      </c>
      <c r="X566" s="123">
        <v>1576709</v>
      </c>
      <c r="Y566" s="201"/>
      <c r="Z566" s="36">
        <f>Table2[[#This Row],[Final Contract Value]]+Table2[[#This Row],[Supervision Contract amount]]+Table2[[#This Row],[Authority Cost]]</f>
        <v>79654309</v>
      </c>
      <c r="AA566" s="123">
        <v>10955306.882996498</v>
      </c>
      <c r="AB566" s="123">
        <f t="shared" si="30"/>
        <v>180000</v>
      </c>
      <c r="AC566" s="102" t="str">
        <f t="shared" si="27"/>
        <v>https://drive.google.com/thumbnail?id=1EShm-JCEBeUL9t9jvi_3B6OF8gY5AK0w&amp;sz=w1000</v>
      </c>
      <c r="AD566" s="90" t="s">
        <v>815</v>
      </c>
      <c r="AE566" s="103" t="str">
        <f t="shared" si="28"/>
        <v>https://drive.google.com/thumbnail?id=1wFL1KQ-QVw5hSLZv1AF-r-UdMul7WJMk&amp;sz=w1000</v>
      </c>
      <c r="AF566" s="90" t="s">
        <v>831</v>
      </c>
      <c r="AG566" s="90" t="str">
        <f t="shared" si="29"/>
        <v>https://drive.google.com/thumbnail?id=1TDk98vxQ3RO5Vex4gTvzQ8srdHf8VMYQ&amp;sz=w1000</v>
      </c>
      <c r="AH566" s="90" t="s">
        <v>847</v>
      </c>
    </row>
    <row r="567" spans="1:34" ht="22.15" customHeight="1">
      <c r="A567" s="187">
        <v>45541</v>
      </c>
      <c r="B567" s="17" t="s">
        <v>247</v>
      </c>
      <c r="C567" s="17" t="s">
        <v>11</v>
      </c>
      <c r="D567" s="16" t="str" cm="1">
        <f t="array" ref="D567">_xlfn.XLOOKUP(1, (Table1[Project Name]=Table2[[#This Row],[Project ID]])*(Table1[Plot]=Table2[[#This Row],[Plot]]), Table1[Project ID])</f>
        <v>SC-03</v>
      </c>
      <c r="E567" s="69">
        <v>282</v>
      </c>
      <c r="F567" s="70">
        <v>265</v>
      </c>
      <c r="G567" s="69">
        <f>Table2[[#This Row],[Time Elapsed]]+Table2[[#This Row],[Time Remaining]]</f>
        <v>547</v>
      </c>
      <c r="H567" s="70" t="s">
        <v>769</v>
      </c>
      <c r="I567" s="70" t="s">
        <v>693</v>
      </c>
      <c r="J567" s="160">
        <v>9.6600000000000005E-2</v>
      </c>
      <c r="K567" s="161">
        <v>0.18840000000000001</v>
      </c>
      <c r="L567" s="13">
        <f>Table2[[#This Row],[Actual %]]-Table2[[#This Row],[Plan %]]</f>
        <v>9.1800000000000007E-2</v>
      </c>
      <c r="M567" s="165" t="s">
        <v>344</v>
      </c>
      <c r="N567" s="197">
        <v>45793</v>
      </c>
      <c r="O567" s="197" t="s">
        <v>796</v>
      </c>
      <c r="P567" s="197">
        <v>45824</v>
      </c>
      <c r="Q567" s="198">
        <v>45541</v>
      </c>
      <c r="R567" s="159" t="s">
        <v>700</v>
      </c>
      <c r="S567" s="159" t="s">
        <v>701</v>
      </c>
      <c r="T567" s="164" t="s">
        <v>799</v>
      </c>
      <c r="U567" s="122">
        <v>78077600</v>
      </c>
      <c r="V567" s="123">
        <v>0</v>
      </c>
      <c r="W567" s="36">
        <f>Table2[[#This Row],[Construction Contract Amount]]+Table2[[#This Row],[Cumulative Variations]]</f>
        <v>78077600</v>
      </c>
      <c r="X567" s="123">
        <v>1576709</v>
      </c>
      <c r="Y567" s="201"/>
      <c r="Z567" s="36">
        <f>Table2[[#This Row],[Final Contract Value]]+Table2[[#This Row],[Supervision Contract amount]]+Table2[[#This Row],[Authority Cost]]</f>
        <v>79654309</v>
      </c>
      <c r="AA567" s="123">
        <v>10955306.882996498</v>
      </c>
      <c r="AB567" s="123">
        <f t="shared" si="30"/>
        <v>180000</v>
      </c>
      <c r="AC567" s="102" t="str">
        <f t="shared" si="27"/>
        <v>https://drive.google.com/thumbnail?id=1EShm-JCEBeUL9t9jvi_3B6OF8gY5AK0w&amp;sz=w1000</v>
      </c>
      <c r="AD567" s="90" t="s">
        <v>815</v>
      </c>
      <c r="AE567" s="103" t="str">
        <f t="shared" si="28"/>
        <v>https://drive.google.com/thumbnail?id=1wFL1KQ-QVw5hSLZv1AF-r-UdMul7WJMk&amp;sz=w1000</v>
      </c>
      <c r="AF567" s="90" t="s">
        <v>831</v>
      </c>
      <c r="AG567" s="90" t="str">
        <f t="shared" si="29"/>
        <v>https://drive.google.com/thumbnail?id=1TDk98vxQ3RO5Vex4gTvzQ8srdHf8VMYQ&amp;sz=w1000</v>
      </c>
      <c r="AH567" s="90" t="s">
        <v>847</v>
      </c>
    </row>
    <row r="568" spans="1:34" ht="22.15" customHeight="1">
      <c r="A568" s="187">
        <v>45541</v>
      </c>
      <c r="B568" s="17" t="s">
        <v>247</v>
      </c>
      <c r="C568" s="17" t="s">
        <v>11</v>
      </c>
      <c r="D568" s="16" t="str" cm="1">
        <f t="array" ref="D568">_xlfn.XLOOKUP(1, (Table1[Project Name]=Table2[[#This Row],[Project ID]])*(Table1[Plot]=Table2[[#This Row],[Plot]]), Table1[Project ID])</f>
        <v>SC-03</v>
      </c>
      <c r="E568" s="69">
        <v>282</v>
      </c>
      <c r="F568" s="70">
        <v>265</v>
      </c>
      <c r="G568" s="69">
        <f>Table2[[#This Row],[Time Elapsed]]+Table2[[#This Row],[Time Remaining]]</f>
        <v>547</v>
      </c>
      <c r="H568" s="70" t="s">
        <v>769</v>
      </c>
      <c r="I568" s="70" t="s">
        <v>693</v>
      </c>
      <c r="J568" s="160">
        <v>9.6600000000000005E-2</v>
      </c>
      <c r="K568" s="161">
        <v>0.18840000000000001</v>
      </c>
      <c r="L568" s="13">
        <f>Table2[[#This Row],[Actual %]]-Table2[[#This Row],[Plan %]]</f>
        <v>9.1800000000000007E-2</v>
      </c>
      <c r="M568" s="165" t="s">
        <v>302</v>
      </c>
      <c r="N568" s="197">
        <v>45806</v>
      </c>
      <c r="O568" s="197" t="s">
        <v>796</v>
      </c>
      <c r="P568" s="197">
        <v>45838</v>
      </c>
      <c r="Q568" s="198">
        <v>45541</v>
      </c>
      <c r="R568" s="159" t="s">
        <v>700</v>
      </c>
      <c r="S568" s="159" t="s">
        <v>701</v>
      </c>
      <c r="T568" s="164" t="s">
        <v>799</v>
      </c>
      <c r="U568" s="122">
        <v>78077600</v>
      </c>
      <c r="V568" s="123">
        <v>0</v>
      </c>
      <c r="W568" s="36">
        <f>Table2[[#This Row],[Construction Contract Amount]]+Table2[[#This Row],[Cumulative Variations]]</f>
        <v>78077600</v>
      </c>
      <c r="X568" s="123">
        <v>1576709</v>
      </c>
      <c r="Y568" s="201"/>
      <c r="Z568" s="36">
        <f>Table2[[#This Row],[Final Contract Value]]+Table2[[#This Row],[Supervision Contract amount]]+Table2[[#This Row],[Authority Cost]]</f>
        <v>79654309</v>
      </c>
      <c r="AA568" s="123">
        <v>10955306.882996498</v>
      </c>
      <c r="AB568" s="123">
        <f t="shared" ref="AB568:AB599" si="31">0.18*1000000</f>
        <v>180000</v>
      </c>
      <c r="AC568" s="102" t="str">
        <f t="shared" si="27"/>
        <v>https://drive.google.com/thumbnail?id=1EShm-JCEBeUL9t9jvi_3B6OF8gY5AK0w&amp;sz=w1000</v>
      </c>
      <c r="AD568" s="90" t="s">
        <v>815</v>
      </c>
      <c r="AE568" s="103" t="str">
        <f t="shared" si="28"/>
        <v>https://drive.google.com/thumbnail?id=1wFL1KQ-QVw5hSLZv1AF-r-UdMul7WJMk&amp;sz=w1000</v>
      </c>
      <c r="AF568" s="90" t="s">
        <v>831</v>
      </c>
      <c r="AG568" s="90" t="str">
        <f t="shared" si="29"/>
        <v>https://drive.google.com/thumbnail?id=1TDk98vxQ3RO5Vex4gTvzQ8srdHf8VMYQ&amp;sz=w1000</v>
      </c>
      <c r="AH568" s="90" t="s">
        <v>847</v>
      </c>
    </row>
    <row r="569" spans="1:34" ht="22.15" customHeight="1">
      <c r="A569" s="187">
        <v>45541</v>
      </c>
      <c r="B569" s="17" t="s">
        <v>251</v>
      </c>
      <c r="C569" s="17" t="s">
        <v>253</v>
      </c>
      <c r="D569" s="16" t="str" cm="1">
        <f t="array" ref="D569">_xlfn.XLOOKUP(1, (Table1[Project Name]=Table2[[#This Row],[Project ID]])*(Table1[Plot]=Table2[[#This Row],[Plot]]), Table1[Project ID])</f>
        <v>SC-04</v>
      </c>
      <c r="E569" s="69">
        <v>355</v>
      </c>
      <c r="F569" s="70">
        <v>192</v>
      </c>
      <c r="G569" s="69">
        <f>Table2[[#This Row],[Time Elapsed]]+Table2[[#This Row],[Time Remaining]]</f>
        <v>547</v>
      </c>
      <c r="H569" s="70" t="s">
        <v>770</v>
      </c>
      <c r="I569" s="70" t="s">
        <v>693</v>
      </c>
      <c r="J569" s="160">
        <v>0.26900000000000002</v>
      </c>
      <c r="K569" s="161">
        <v>0.15759999999999999</v>
      </c>
      <c r="L569" s="13">
        <f>Table2[[#This Row],[Actual %]]-Table2[[#This Row],[Plan %]]</f>
        <v>-0.11140000000000003</v>
      </c>
      <c r="M569" s="163" t="s">
        <v>285</v>
      </c>
      <c r="N569" s="197">
        <v>45187</v>
      </c>
      <c r="O569" s="197">
        <v>45195</v>
      </c>
      <c r="P569" s="197" t="s">
        <v>796</v>
      </c>
      <c r="Q569" s="198">
        <v>45541</v>
      </c>
      <c r="R569" s="159" t="s">
        <v>700</v>
      </c>
      <c r="S569" s="159" t="s">
        <v>701</v>
      </c>
      <c r="T569" s="164" t="s">
        <v>800</v>
      </c>
      <c r="U569" s="122">
        <v>78077600</v>
      </c>
      <c r="V569" s="123">
        <v>0</v>
      </c>
      <c r="W569" s="36">
        <f>Table2[[#This Row],[Construction Contract Amount]]+Table2[[#This Row],[Cumulative Variations]]</f>
        <v>78077600</v>
      </c>
      <c r="X569" s="123">
        <v>1576709</v>
      </c>
      <c r="Y569" s="201"/>
      <c r="Z569" s="36">
        <f>Table2[[#This Row],[Final Contract Value]]+Table2[[#This Row],[Supervision Contract amount]]+Table2[[#This Row],[Authority Cost]]</f>
        <v>79654309</v>
      </c>
      <c r="AA569" s="123">
        <v>10206907.238695476</v>
      </c>
      <c r="AB569" s="123">
        <f t="shared" si="31"/>
        <v>180000</v>
      </c>
      <c r="AC569" s="102" t="str">
        <f t="shared" si="27"/>
        <v>https://drive.google.com/thumbnail?id=17TfQKd0Cd9yG2mhJV3bja_JAtLRy5Hq5&amp;sz=w1000</v>
      </c>
      <c r="AD569" s="90" t="s">
        <v>816</v>
      </c>
      <c r="AE569" s="103" t="str">
        <f t="shared" si="28"/>
        <v>https://drive.google.com/thumbnail?id=1g0qE64GhrUOttT19f46pAEKIpTihMBf3&amp;sz=w1000</v>
      </c>
      <c r="AF569" s="90" t="s">
        <v>832</v>
      </c>
      <c r="AG569" s="90" t="str">
        <f t="shared" si="29"/>
        <v>https://drive.google.com/thumbnail?id=1IobvhS63KW7w3xiQvQNpxHjV7ZiZaVbc&amp;sz=w1000</v>
      </c>
      <c r="AH569" s="90" t="s">
        <v>848</v>
      </c>
    </row>
    <row r="570" spans="1:34" ht="22.15" customHeight="1">
      <c r="A570" s="187">
        <v>45541</v>
      </c>
      <c r="B570" s="17" t="s">
        <v>251</v>
      </c>
      <c r="C570" s="17" t="s">
        <v>253</v>
      </c>
      <c r="D570" s="16" t="str" cm="1">
        <f t="array" ref="D570">_xlfn.XLOOKUP(1, (Table1[Project Name]=Table2[[#This Row],[Project ID]])*(Table1[Plot]=Table2[[#This Row],[Plot]]), Table1[Project ID])</f>
        <v>SC-04</v>
      </c>
      <c r="E570" s="69">
        <v>355</v>
      </c>
      <c r="F570" s="70">
        <v>192</v>
      </c>
      <c r="G570" s="69">
        <f>Table2[[#This Row],[Time Elapsed]]+Table2[[#This Row],[Time Remaining]]</f>
        <v>547</v>
      </c>
      <c r="H570" s="70" t="s">
        <v>770</v>
      </c>
      <c r="I570" s="70" t="s">
        <v>693</v>
      </c>
      <c r="J570" s="160">
        <v>0.26900000000000002</v>
      </c>
      <c r="K570" s="161">
        <v>0.15759999999999999</v>
      </c>
      <c r="L570" s="13">
        <f>Table2[[#This Row],[Actual %]]-Table2[[#This Row],[Plan %]]</f>
        <v>-0.11140000000000003</v>
      </c>
      <c r="M570" s="165" t="s">
        <v>51</v>
      </c>
      <c r="N570" s="197">
        <v>45220</v>
      </c>
      <c r="O570" s="197">
        <v>45297</v>
      </c>
      <c r="P570" s="197" t="s">
        <v>796</v>
      </c>
      <c r="Q570" s="198">
        <v>45541</v>
      </c>
      <c r="R570" s="159" t="s">
        <v>700</v>
      </c>
      <c r="S570" s="159" t="s">
        <v>701</v>
      </c>
      <c r="T570" s="164" t="s">
        <v>800</v>
      </c>
      <c r="U570" s="122">
        <v>78077600</v>
      </c>
      <c r="V570" s="123">
        <v>0</v>
      </c>
      <c r="W570" s="36">
        <f>Table2[[#This Row],[Construction Contract Amount]]+Table2[[#This Row],[Cumulative Variations]]</f>
        <v>78077600</v>
      </c>
      <c r="X570" s="123">
        <v>1576709</v>
      </c>
      <c r="Y570" s="201"/>
      <c r="Z570" s="36">
        <f>Table2[[#This Row],[Final Contract Value]]+Table2[[#This Row],[Supervision Contract amount]]+Table2[[#This Row],[Authority Cost]]</f>
        <v>79654309</v>
      </c>
      <c r="AA570" s="123">
        <v>10206907.238695476</v>
      </c>
      <c r="AB570" s="123">
        <f t="shared" si="31"/>
        <v>180000</v>
      </c>
      <c r="AC570" s="102" t="str">
        <f t="shared" si="27"/>
        <v>https://drive.google.com/thumbnail?id=17TfQKd0Cd9yG2mhJV3bja_JAtLRy5Hq5&amp;sz=w1000</v>
      </c>
      <c r="AD570" s="90" t="s">
        <v>816</v>
      </c>
      <c r="AE570" s="103" t="str">
        <f t="shared" si="28"/>
        <v>https://drive.google.com/thumbnail?id=1g0qE64GhrUOttT19f46pAEKIpTihMBf3&amp;sz=w1000</v>
      </c>
      <c r="AF570" s="90" t="s">
        <v>832</v>
      </c>
      <c r="AG570" s="90" t="str">
        <f t="shared" si="29"/>
        <v>https://drive.google.com/thumbnail?id=1IobvhS63KW7w3xiQvQNpxHjV7ZiZaVbc&amp;sz=w1000</v>
      </c>
      <c r="AH570" s="90" t="s">
        <v>848</v>
      </c>
    </row>
    <row r="571" spans="1:34" ht="22.15" customHeight="1">
      <c r="A571" s="187">
        <v>45541</v>
      </c>
      <c r="B571" s="17" t="s">
        <v>251</v>
      </c>
      <c r="C571" s="17" t="s">
        <v>253</v>
      </c>
      <c r="D571" s="16" t="str" cm="1">
        <f t="array" ref="D571">_xlfn.XLOOKUP(1, (Table1[Project Name]=Table2[[#This Row],[Project ID]])*(Table1[Plot]=Table2[[#This Row],[Plot]]), Table1[Project ID])</f>
        <v>SC-04</v>
      </c>
      <c r="E571" s="69">
        <v>355</v>
      </c>
      <c r="F571" s="70">
        <v>192</v>
      </c>
      <c r="G571" s="69">
        <f>Table2[[#This Row],[Time Elapsed]]+Table2[[#This Row],[Time Remaining]]</f>
        <v>547</v>
      </c>
      <c r="H571" s="70" t="s">
        <v>770</v>
      </c>
      <c r="I571" s="70" t="s">
        <v>693</v>
      </c>
      <c r="J571" s="160">
        <v>0.26900000000000002</v>
      </c>
      <c r="K571" s="161">
        <v>0.15759999999999999</v>
      </c>
      <c r="L571" s="13">
        <f>Table2[[#This Row],[Actual %]]-Table2[[#This Row],[Plan %]]</f>
        <v>-0.11140000000000003</v>
      </c>
      <c r="M571" s="165" t="s">
        <v>287</v>
      </c>
      <c r="N571" s="197">
        <v>45429</v>
      </c>
      <c r="O571" s="197">
        <v>45463</v>
      </c>
      <c r="P571" s="197" t="s">
        <v>796</v>
      </c>
      <c r="Q571" s="198">
        <v>45541</v>
      </c>
      <c r="R571" s="159" t="s">
        <v>700</v>
      </c>
      <c r="S571" s="159" t="s">
        <v>701</v>
      </c>
      <c r="T571" s="164" t="s">
        <v>800</v>
      </c>
      <c r="U571" s="122">
        <v>78077600</v>
      </c>
      <c r="V571" s="123">
        <v>0</v>
      </c>
      <c r="W571" s="36">
        <f>Table2[[#This Row],[Construction Contract Amount]]+Table2[[#This Row],[Cumulative Variations]]</f>
        <v>78077600</v>
      </c>
      <c r="X571" s="123">
        <v>1576709</v>
      </c>
      <c r="Y571" s="201"/>
      <c r="Z571" s="36">
        <f>Table2[[#This Row],[Final Contract Value]]+Table2[[#This Row],[Supervision Contract amount]]+Table2[[#This Row],[Authority Cost]]</f>
        <v>79654309</v>
      </c>
      <c r="AA571" s="123">
        <v>10206907.238695476</v>
      </c>
      <c r="AB571" s="123">
        <f t="shared" si="31"/>
        <v>180000</v>
      </c>
      <c r="AC571" s="102" t="str">
        <f t="shared" si="27"/>
        <v>https://drive.google.com/thumbnail?id=17TfQKd0Cd9yG2mhJV3bja_JAtLRy5Hq5&amp;sz=w1000</v>
      </c>
      <c r="AD571" s="90" t="s">
        <v>816</v>
      </c>
      <c r="AE571" s="103" t="str">
        <f t="shared" si="28"/>
        <v>https://drive.google.com/thumbnail?id=1g0qE64GhrUOttT19f46pAEKIpTihMBf3&amp;sz=w1000</v>
      </c>
      <c r="AF571" s="90" t="s">
        <v>832</v>
      </c>
      <c r="AG571" s="90" t="str">
        <f t="shared" si="29"/>
        <v>https://drive.google.com/thumbnail?id=1IobvhS63KW7w3xiQvQNpxHjV7ZiZaVbc&amp;sz=w1000</v>
      </c>
      <c r="AH571" s="90" t="s">
        <v>848</v>
      </c>
    </row>
    <row r="572" spans="1:34" ht="22.15" customHeight="1">
      <c r="A572" s="187">
        <v>45541</v>
      </c>
      <c r="B572" s="17" t="s">
        <v>251</v>
      </c>
      <c r="C572" s="17" t="s">
        <v>253</v>
      </c>
      <c r="D572" s="16" t="str" cm="1">
        <f t="array" ref="D572">_xlfn.XLOOKUP(1, (Table1[Project Name]=Table2[[#This Row],[Project ID]])*(Table1[Plot]=Table2[[#This Row],[Plot]]), Table1[Project ID])</f>
        <v>SC-04</v>
      </c>
      <c r="E572" s="69">
        <v>355</v>
      </c>
      <c r="F572" s="70">
        <v>192</v>
      </c>
      <c r="G572" s="69">
        <f>Table2[[#This Row],[Time Elapsed]]+Table2[[#This Row],[Time Remaining]]</f>
        <v>547</v>
      </c>
      <c r="H572" s="70" t="s">
        <v>770</v>
      </c>
      <c r="I572" s="70" t="s">
        <v>693</v>
      </c>
      <c r="J572" s="160">
        <v>0.26900000000000002</v>
      </c>
      <c r="K572" s="161">
        <v>0.15759999999999999</v>
      </c>
      <c r="L572" s="13">
        <f>Table2[[#This Row],[Actual %]]-Table2[[#This Row],[Plan %]]</f>
        <v>-0.11140000000000003</v>
      </c>
      <c r="M572" s="165" t="s">
        <v>703</v>
      </c>
      <c r="N572" s="197">
        <v>45510</v>
      </c>
      <c r="O572" s="197" t="s">
        <v>796</v>
      </c>
      <c r="P572" s="197">
        <v>45555</v>
      </c>
      <c r="Q572" s="198">
        <v>45541</v>
      </c>
      <c r="R572" s="159" t="s">
        <v>700</v>
      </c>
      <c r="S572" s="159" t="s">
        <v>701</v>
      </c>
      <c r="T572" s="164" t="s">
        <v>800</v>
      </c>
      <c r="U572" s="122">
        <v>78077600</v>
      </c>
      <c r="V572" s="123">
        <v>0</v>
      </c>
      <c r="W572" s="36">
        <f>Table2[[#This Row],[Construction Contract Amount]]+Table2[[#This Row],[Cumulative Variations]]</f>
        <v>78077600</v>
      </c>
      <c r="X572" s="123">
        <v>1576709</v>
      </c>
      <c r="Y572" s="201"/>
      <c r="Z572" s="36">
        <f>Table2[[#This Row],[Final Contract Value]]+Table2[[#This Row],[Supervision Contract amount]]+Table2[[#This Row],[Authority Cost]]</f>
        <v>79654309</v>
      </c>
      <c r="AA572" s="123">
        <v>10206907.238695476</v>
      </c>
      <c r="AB572" s="123">
        <f t="shared" si="31"/>
        <v>180000</v>
      </c>
      <c r="AC572" s="102" t="str">
        <f t="shared" si="27"/>
        <v>https://drive.google.com/thumbnail?id=17TfQKd0Cd9yG2mhJV3bja_JAtLRy5Hq5&amp;sz=w1000</v>
      </c>
      <c r="AD572" s="90" t="s">
        <v>816</v>
      </c>
      <c r="AE572" s="103" t="str">
        <f t="shared" si="28"/>
        <v>https://drive.google.com/thumbnail?id=1g0qE64GhrUOttT19f46pAEKIpTihMBf3&amp;sz=w1000</v>
      </c>
      <c r="AF572" s="90" t="s">
        <v>832</v>
      </c>
      <c r="AG572" s="90" t="str">
        <f t="shared" si="29"/>
        <v>https://drive.google.com/thumbnail?id=1IobvhS63KW7w3xiQvQNpxHjV7ZiZaVbc&amp;sz=w1000</v>
      </c>
      <c r="AH572" s="90" t="s">
        <v>848</v>
      </c>
    </row>
    <row r="573" spans="1:34" ht="22.15" customHeight="1">
      <c r="A573" s="187">
        <v>45541</v>
      </c>
      <c r="B573" s="17" t="s">
        <v>251</v>
      </c>
      <c r="C573" s="17" t="s">
        <v>253</v>
      </c>
      <c r="D573" s="16" t="str" cm="1">
        <f t="array" ref="D573">_xlfn.XLOOKUP(1, (Table1[Project Name]=Table2[[#This Row],[Project ID]])*(Table1[Plot]=Table2[[#This Row],[Plot]]), Table1[Project ID])</f>
        <v>SC-04</v>
      </c>
      <c r="E573" s="69">
        <v>355</v>
      </c>
      <c r="F573" s="70">
        <v>192</v>
      </c>
      <c r="G573" s="69">
        <f>Table2[[#This Row],[Time Elapsed]]+Table2[[#This Row],[Time Remaining]]</f>
        <v>547</v>
      </c>
      <c r="H573" s="70" t="s">
        <v>770</v>
      </c>
      <c r="I573" s="70" t="s">
        <v>693</v>
      </c>
      <c r="J573" s="160">
        <v>0.26900000000000002</v>
      </c>
      <c r="K573" s="161">
        <v>0.15759999999999999</v>
      </c>
      <c r="L573" s="13">
        <f>Table2[[#This Row],[Actual %]]-Table2[[#This Row],[Plan %]]</f>
        <v>-0.11140000000000003</v>
      </c>
      <c r="M573" s="165" t="s">
        <v>704</v>
      </c>
      <c r="N573" s="197">
        <v>45603</v>
      </c>
      <c r="O573" s="197" t="s">
        <v>796</v>
      </c>
      <c r="P573" s="197">
        <v>45588</v>
      </c>
      <c r="Q573" s="198">
        <v>45541</v>
      </c>
      <c r="R573" s="159" t="s">
        <v>700</v>
      </c>
      <c r="S573" s="159" t="s">
        <v>701</v>
      </c>
      <c r="T573" s="164" t="s">
        <v>800</v>
      </c>
      <c r="U573" s="122">
        <v>78077600</v>
      </c>
      <c r="V573" s="123">
        <v>0</v>
      </c>
      <c r="W573" s="36">
        <f>Table2[[#This Row],[Construction Contract Amount]]+Table2[[#This Row],[Cumulative Variations]]</f>
        <v>78077600</v>
      </c>
      <c r="X573" s="123">
        <v>1576709</v>
      </c>
      <c r="Y573" s="201"/>
      <c r="Z573" s="36">
        <f>Table2[[#This Row],[Final Contract Value]]+Table2[[#This Row],[Supervision Contract amount]]+Table2[[#This Row],[Authority Cost]]</f>
        <v>79654309</v>
      </c>
      <c r="AA573" s="123">
        <v>10206907.238695476</v>
      </c>
      <c r="AB573" s="123">
        <f t="shared" si="31"/>
        <v>180000</v>
      </c>
      <c r="AC573" s="102" t="str">
        <f t="shared" si="27"/>
        <v>https://drive.google.com/thumbnail?id=17TfQKd0Cd9yG2mhJV3bja_JAtLRy5Hq5&amp;sz=w1000</v>
      </c>
      <c r="AD573" s="90" t="s">
        <v>816</v>
      </c>
      <c r="AE573" s="103" t="str">
        <f t="shared" si="28"/>
        <v>https://drive.google.com/thumbnail?id=1g0qE64GhrUOttT19f46pAEKIpTihMBf3&amp;sz=w1000</v>
      </c>
      <c r="AF573" s="90" t="s">
        <v>832</v>
      </c>
      <c r="AG573" s="90" t="str">
        <f t="shared" si="29"/>
        <v>https://drive.google.com/thumbnail?id=1IobvhS63KW7w3xiQvQNpxHjV7ZiZaVbc&amp;sz=w1000</v>
      </c>
      <c r="AH573" s="90" t="s">
        <v>848</v>
      </c>
    </row>
    <row r="574" spans="1:34" ht="22.15" customHeight="1">
      <c r="A574" s="187">
        <v>45541</v>
      </c>
      <c r="B574" s="17" t="s">
        <v>251</v>
      </c>
      <c r="C574" s="17" t="s">
        <v>253</v>
      </c>
      <c r="D574" s="16" t="str" cm="1">
        <f t="array" ref="D574">_xlfn.XLOOKUP(1, (Table1[Project Name]=Table2[[#This Row],[Project ID]])*(Table1[Plot]=Table2[[#This Row],[Plot]]), Table1[Project ID])</f>
        <v>SC-04</v>
      </c>
      <c r="E574" s="69">
        <v>355</v>
      </c>
      <c r="F574" s="70">
        <v>192</v>
      </c>
      <c r="G574" s="69">
        <f>Table2[[#This Row],[Time Elapsed]]+Table2[[#This Row],[Time Remaining]]</f>
        <v>547</v>
      </c>
      <c r="H574" s="70" t="s">
        <v>770</v>
      </c>
      <c r="I574" s="70" t="s">
        <v>693</v>
      </c>
      <c r="J574" s="160">
        <v>0.26900000000000002</v>
      </c>
      <c r="K574" s="161">
        <v>0.15759999999999999</v>
      </c>
      <c r="L574" s="13">
        <f>Table2[[#This Row],[Actual %]]-Table2[[#This Row],[Plan %]]</f>
        <v>-0.11140000000000003</v>
      </c>
      <c r="M574" s="165" t="s">
        <v>705</v>
      </c>
      <c r="N574" s="197">
        <v>45511</v>
      </c>
      <c r="O574" s="197" t="s">
        <v>796</v>
      </c>
      <c r="P574" s="197" t="s">
        <v>796</v>
      </c>
      <c r="Q574" s="198">
        <v>45541</v>
      </c>
      <c r="R574" s="159" t="s">
        <v>700</v>
      </c>
      <c r="S574" s="159" t="s">
        <v>701</v>
      </c>
      <c r="T574" s="164" t="s">
        <v>800</v>
      </c>
      <c r="U574" s="122">
        <v>78077600</v>
      </c>
      <c r="V574" s="123">
        <v>0</v>
      </c>
      <c r="W574" s="36">
        <f>Table2[[#This Row],[Construction Contract Amount]]+Table2[[#This Row],[Cumulative Variations]]</f>
        <v>78077600</v>
      </c>
      <c r="X574" s="123">
        <v>1576709</v>
      </c>
      <c r="Y574" s="201"/>
      <c r="Z574" s="36">
        <f>Table2[[#This Row],[Final Contract Value]]+Table2[[#This Row],[Supervision Contract amount]]+Table2[[#This Row],[Authority Cost]]</f>
        <v>79654309</v>
      </c>
      <c r="AA574" s="123">
        <v>10206907.238695476</v>
      </c>
      <c r="AB574" s="123">
        <f t="shared" si="31"/>
        <v>180000</v>
      </c>
      <c r="AC574" s="102" t="str">
        <f t="shared" si="27"/>
        <v>https://drive.google.com/thumbnail?id=17TfQKd0Cd9yG2mhJV3bja_JAtLRy5Hq5&amp;sz=w1000</v>
      </c>
      <c r="AD574" s="90" t="s">
        <v>816</v>
      </c>
      <c r="AE574" s="103" t="str">
        <f t="shared" si="28"/>
        <v>https://drive.google.com/thumbnail?id=1g0qE64GhrUOttT19f46pAEKIpTihMBf3&amp;sz=w1000</v>
      </c>
      <c r="AF574" s="90" t="s">
        <v>832</v>
      </c>
      <c r="AG574" s="90" t="str">
        <f t="shared" si="29"/>
        <v>https://drive.google.com/thumbnail?id=1IobvhS63KW7w3xiQvQNpxHjV7ZiZaVbc&amp;sz=w1000</v>
      </c>
      <c r="AH574" s="90" t="s">
        <v>848</v>
      </c>
    </row>
    <row r="575" spans="1:34" ht="22.15" customHeight="1">
      <c r="A575" s="187">
        <v>45541</v>
      </c>
      <c r="B575" s="17" t="s">
        <v>251</v>
      </c>
      <c r="C575" s="17" t="s">
        <v>253</v>
      </c>
      <c r="D575" s="16" t="str" cm="1">
        <f t="array" ref="D575">_xlfn.XLOOKUP(1, (Table1[Project Name]=Table2[[#This Row],[Project ID]])*(Table1[Plot]=Table2[[#This Row],[Plot]]), Table1[Project ID])</f>
        <v>SC-04</v>
      </c>
      <c r="E575" s="69">
        <v>355</v>
      </c>
      <c r="F575" s="70">
        <v>192</v>
      </c>
      <c r="G575" s="69">
        <f>Table2[[#This Row],[Time Elapsed]]+Table2[[#This Row],[Time Remaining]]</f>
        <v>547</v>
      </c>
      <c r="H575" s="70" t="s">
        <v>770</v>
      </c>
      <c r="I575" s="70" t="s">
        <v>693</v>
      </c>
      <c r="J575" s="160">
        <v>0.26900000000000002</v>
      </c>
      <c r="K575" s="161">
        <v>0.15759999999999999</v>
      </c>
      <c r="L575" s="13">
        <f>Table2[[#This Row],[Actual %]]-Table2[[#This Row],[Plan %]]</f>
        <v>-0.11140000000000003</v>
      </c>
      <c r="M575" s="165" t="s">
        <v>706</v>
      </c>
      <c r="N575" s="197">
        <v>45596</v>
      </c>
      <c r="O575" s="197" t="s">
        <v>796</v>
      </c>
      <c r="P575" s="197">
        <v>45617</v>
      </c>
      <c r="Q575" s="198">
        <v>45541</v>
      </c>
      <c r="R575" s="159" t="s">
        <v>700</v>
      </c>
      <c r="S575" s="159" t="s">
        <v>701</v>
      </c>
      <c r="T575" s="164" t="s">
        <v>800</v>
      </c>
      <c r="U575" s="122">
        <v>78077600</v>
      </c>
      <c r="V575" s="123">
        <v>0</v>
      </c>
      <c r="W575" s="36">
        <f>Table2[[#This Row],[Construction Contract Amount]]+Table2[[#This Row],[Cumulative Variations]]</f>
        <v>78077600</v>
      </c>
      <c r="X575" s="123">
        <v>1576709</v>
      </c>
      <c r="Y575" s="201"/>
      <c r="Z575" s="36">
        <f>Table2[[#This Row],[Final Contract Value]]+Table2[[#This Row],[Supervision Contract amount]]+Table2[[#This Row],[Authority Cost]]</f>
        <v>79654309</v>
      </c>
      <c r="AA575" s="123">
        <v>10206907.238695476</v>
      </c>
      <c r="AB575" s="123">
        <f t="shared" si="31"/>
        <v>180000</v>
      </c>
      <c r="AC575" s="102" t="str">
        <f t="shared" si="27"/>
        <v>https://drive.google.com/thumbnail?id=17TfQKd0Cd9yG2mhJV3bja_JAtLRy5Hq5&amp;sz=w1000</v>
      </c>
      <c r="AD575" s="90" t="s">
        <v>816</v>
      </c>
      <c r="AE575" s="103" t="str">
        <f t="shared" si="28"/>
        <v>https://drive.google.com/thumbnail?id=1g0qE64GhrUOttT19f46pAEKIpTihMBf3&amp;sz=w1000</v>
      </c>
      <c r="AF575" s="90" t="s">
        <v>832</v>
      </c>
      <c r="AG575" s="90" t="str">
        <f t="shared" si="29"/>
        <v>https://drive.google.com/thumbnail?id=1IobvhS63KW7w3xiQvQNpxHjV7ZiZaVbc&amp;sz=w1000</v>
      </c>
      <c r="AH575" s="90" t="s">
        <v>848</v>
      </c>
    </row>
    <row r="576" spans="1:34" ht="22.15" customHeight="1">
      <c r="A576" s="187">
        <v>45541</v>
      </c>
      <c r="B576" s="17" t="s">
        <v>251</v>
      </c>
      <c r="C576" s="17" t="s">
        <v>253</v>
      </c>
      <c r="D576" s="16" t="str" cm="1">
        <f t="array" ref="D576">_xlfn.XLOOKUP(1, (Table1[Project Name]=Table2[[#This Row],[Project ID]])*(Table1[Plot]=Table2[[#This Row],[Plot]]), Table1[Project ID])</f>
        <v>SC-04</v>
      </c>
      <c r="E576" s="69">
        <v>355</v>
      </c>
      <c r="F576" s="70">
        <v>192</v>
      </c>
      <c r="G576" s="69">
        <f>Table2[[#This Row],[Time Elapsed]]+Table2[[#This Row],[Time Remaining]]</f>
        <v>547</v>
      </c>
      <c r="H576" s="70" t="s">
        <v>770</v>
      </c>
      <c r="I576" s="70" t="s">
        <v>693</v>
      </c>
      <c r="J576" s="160">
        <v>0.26900000000000002</v>
      </c>
      <c r="K576" s="161">
        <v>0.15759999999999999</v>
      </c>
      <c r="L576" s="13">
        <f>Table2[[#This Row],[Actual %]]-Table2[[#This Row],[Plan %]]</f>
        <v>-0.11140000000000003</v>
      </c>
      <c r="M576" s="165" t="s">
        <v>280</v>
      </c>
      <c r="N576" s="197">
        <v>45682</v>
      </c>
      <c r="O576" s="197" t="s">
        <v>796</v>
      </c>
      <c r="P576" s="197">
        <v>45792</v>
      </c>
      <c r="Q576" s="198">
        <v>45541</v>
      </c>
      <c r="R576" s="159" t="s">
        <v>700</v>
      </c>
      <c r="S576" s="159" t="s">
        <v>701</v>
      </c>
      <c r="T576" s="164" t="s">
        <v>800</v>
      </c>
      <c r="U576" s="122">
        <v>78077600</v>
      </c>
      <c r="V576" s="123">
        <v>0</v>
      </c>
      <c r="W576" s="36">
        <f>Table2[[#This Row],[Construction Contract Amount]]+Table2[[#This Row],[Cumulative Variations]]</f>
        <v>78077600</v>
      </c>
      <c r="X576" s="123">
        <v>1576709</v>
      </c>
      <c r="Y576" s="201"/>
      <c r="Z576" s="36">
        <f>Table2[[#This Row],[Final Contract Value]]+Table2[[#This Row],[Supervision Contract amount]]+Table2[[#This Row],[Authority Cost]]</f>
        <v>79654309</v>
      </c>
      <c r="AA576" s="123">
        <v>10206907.238695476</v>
      </c>
      <c r="AB576" s="123">
        <f t="shared" si="31"/>
        <v>180000</v>
      </c>
      <c r="AC576" s="102" t="str">
        <f t="shared" si="27"/>
        <v>https://drive.google.com/thumbnail?id=17TfQKd0Cd9yG2mhJV3bja_JAtLRy5Hq5&amp;sz=w1000</v>
      </c>
      <c r="AD576" s="90" t="s">
        <v>816</v>
      </c>
      <c r="AE576" s="103" t="str">
        <f t="shared" si="28"/>
        <v>https://drive.google.com/thumbnail?id=1g0qE64GhrUOttT19f46pAEKIpTihMBf3&amp;sz=w1000</v>
      </c>
      <c r="AF576" s="90" t="s">
        <v>832</v>
      </c>
      <c r="AG576" s="90" t="str">
        <f t="shared" si="29"/>
        <v>https://drive.google.com/thumbnail?id=1IobvhS63KW7w3xiQvQNpxHjV7ZiZaVbc&amp;sz=w1000</v>
      </c>
      <c r="AH576" s="90" t="s">
        <v>848</v>
      </c>
    </row>
    <row r="577" spans="1:34" ht="22.15" customHeight="1">
      <c r="A577" s="187">
        <v>45541</v>
      </c>
      <c r="B577" s="17" t="s">
        <v>251</v>
      </c>
      <c r="C577" s="17" t="s">
        <v>253</v>
      </c>
      <c r="D577" s="16" t="str" cm="1">
        <f t="array" ref="D577">_xlfn.XLOOKUP(1, (Table1[Project Name]=Table2[[#This Row],[Project ID]])*(Table1[Plot]=Table2[[#This Row],[Plot]]), Table1[Project ID])</f>
        <v>SC-04</v>
      </c>
      <c r="E577" s="69">
        <v>355</v>
      </c>
      <c r="F577" s="70">
        <v>192</v>
      </c>
      <c r="G577" s="69">
        <f>Table2[[#This Row],[Time Elapsed]]+Table2[[#This Row],[Time Remaining]]</f>
        <v>547</v>
      </c>
      <c r="H577" s="70" t="s">
        <v>770</v>
      </c>
      <c r="I577" s="70" t="s">
        <v>693</v>
      </c>
      <c r="J577" s="160">
        <v>0.26900000000000002</v>
      </c>
      <c r="K577" s="161">
        <v>0.15759999999999999</v>
      </c>
      <c r="L577" s="13">
        <f>Table2[[#This Row],[Actual %]]-Table2[[#This Row],[Plan %]]</f>
        <v>-0.11140000000000003</v>
      </c>
      <c r="M577" s="165" t="s">
        <v>343</v>
      </c>
      <c r="N577" s="197">
        <v>45701</v>
      </c>
      <c r="O577" s="197" t="s">
        <v>796</v>
      </c>
      <c r="P577" s="197">
        <v>45803</v>
      </c>
      <c r="Q577" s="198">
        <v>45541</v>
      </c>
      <c r="R577" s="159" t="s">
        <v>700</v>
      </c>
      <c r="S577" s="159" t="s">
        <v>701</v>
      </c>
      <c r="T577" s="164" t="s">
        <v>800</v>
      </c>
      <c r="U577" s="122">
        <v>78077600</v>
      </c>
      <c r="V577" s="123">
        <v>0</v>
      </c>
      <c r="W577" s="36">
        <f>Table2[[#This Row],[Construction Contract Amount]]+Table2[[#This Row],[Cumulative Variations]]</f>
        <v>78077600</v>
      </c>
      <c r="X577" s="123">
        <v>1576709</v>
      </c>
      <c r="Y577" s="201"/>
      <c r="Z577" s="36">
        <f>Table2[[#This Row],[Final Contract Value]]+Table2[[#This Row],[Supervision Contract amount]]+Table2[[#This Row],[Authority Cost]]</f>
        <v>79654309</v>
      </c>
      <c r="AA577" s="123">
        <v>10206907.238695476</v>
      </c>
      <c r="AB577" s="123">
        <f t="shared" si="31"/>
        <v>180000</v>
      </c>
      <c r="AC577" s="102" t="str">
        <f t="shared" si="27"/>
        <v>https://drive.google.com/thumbnail?id=17TfQKd0Cd9yG2mhJV3bja_JAtLRy5Hq5&amp;sz=w1000</v>
      </c>
      <c r="AD577" s="90" t="s">
        <v>816</v>
      </c>
      <c r="AE577" s="103" t="str">
        <f t="shared" si="28"/>
        <v>https://drive.google.com/thumbnail?id=1g0qE64GhrUOttT19f46pAEKIpTihMBf3&amp;sz=w1000</v>
      </c>
      <c r="AF577" s="90" t="s">
        <v>832</v>
      </c>
      <c r="AG577" s="90" t="str">
        <f t="shared" si="29"/>
        <v>https://drive.google.com/thumbnail?id=1IobvhS63KW7w3xiQvQNpxHjV7ZiZaVbc&amp;sz=w1000</v>
      </c>
      <c r="AH577" s="90" t="s">
        <v>848</v>
      </c>
    </row>
    <row r="578" spans="1:34" ht="22.15" customHeight="1">
      <c r="A578" s="187">
        <v>45541</v>
      </c>
      <c r="B578" s="17" t="s">
        <v>251</v>
      </c>
      <c r="C578" s="17" t="s">
        <v>253</v>
      </c>
      <c r="D578" s="16" t="str" cm="1">
        <f t="array" ref="D578">_xlfn.XLOOKUP(1, (Table1[Project Name]=Table2[[#This Row],[Project ID]])*(Table1[Plot]=Table2[[#This Row],[Plot]]), Table1[Project ID])</f>
        <v>SC-04</v>
      </c>
      <c r="E578" s="69">
        <v>355</v>
      </c>
      <c r="F578" s="70">
        <v>192</v>
      </c>
      <c r="G578" s="69">
        <f>Table2[[#This Row],[Time Elapsed]]+Table2[[#This Row],[Time Remaining]]</f>
        <v>547</v>
      </c>
      <c r="H578" s="70" t="s">
        <v>770</v>
      </c>
      <c r="I578" s="70" t="s">
        <v>693</v>
      </c>
      <c r="J578" s="160">
        <v>0.26900000000000002</v>
      </c>
      <c r="K578" s="161">
        <v>0.15759999999999999</v>
      </c>
      <c r="L578" s="13">
        <f>Table2[[#This Row],[Actual %]]-Table2[[#This Row],[Plan %]]</f>
        <v>-0.11140000000000003</v>
      </c>
      <c r="M578" s="165" t="s">
        <v>344</v>
      </c>
      <c r="N578" s="197">
        <v>45720</v>
      </c>
      <c r="O578" s="197" t="s">
        <v>796</v>
      </c>
      <c r="P578" s="197">
        <v>45824</v>
      </c>
      <c r="Q578" s="198">
        <v>45541</v>
      </c>
      <c r="R578" s="159" t="s">
        <v>700</v>
      </c>
      <c r="S578" s="159" t="s">
        <v>701</v>
      </c>
      <c r="T578" s="164" t="s">
        <v>800</v>
      </c>
      <c r="U578" s="122">
        <v>78077600</v>
      </c>
      <c r="V578" s="123">
        <v>0</v>
      </c>
      <c r="W578" s="36">
        <f>Table2[[#This Row],[Construction Contract Amount]]+Table2[[#This Row],[Cumulative Variations]]</f>
        <v>78077600</v>
      </c>
      <c r="X578" s="123">
        <v>1576709</v>
      </c>
      <c r="Y578" s="201"/>
      <c r="Z578" s="36">
        <f>Table2[[#This Row],[Final Contract Value]]+Table2[[#This Row],[Supervision Contract amount]]+Table2[[#This Row],[Authority Cost]]</f>
        <v>79654309</v>
      </c>
      <c r="AA578" s="123">
        <v>10206907.238695476</v>
      </c>
      <c r="AB578" s="123">
        <f t="shared" si="31"/>
        <v>180000</v>
      </c>
      <c r="AC578" s="102" t="str">
        <f t="shared" ref="AC578:AC636" si="32">CONCATENATE("https://drive.google.com/thumbnail?id=", MID(AD578, FIND("/d/", AD578) + 3, FIND("/view", AD578) - FIND("/d/", AD578) - 3), "&amp;sz=w1000")</f>
        <v>https://drive.google.com/thumbnail?id=17TfQKd0Cd9yG2mhJV3bja_JAtLRy5Hq5&amp;sz=w1000</v>
      </c>
      <c r="AD578" s="90" t="s">
        <v>816</v>
      </c>
      <c r="AE578" s="103" t="str">
        <f t="shared" ref="AE578:AE636" si="33">CONCATENATE("https://drive.google.com/thumbnail?id=", MID(AF578, FIND("/d/", AF578) + 3, FIND("/view", AF578) - FIND("/d/", AF578) - 3), "&amp;sz=w1000")</f>
        <v>https://drive.google.com/thumbnail?id=1g0qE64GhrUOttT19f46pAEKIpTihMBf3&amp;sz=w1000</v>
      </c>
      <c r="AF578" s="90" t="s">
        <v>832</v>
      </c>
      <c r="AG578" s="90" t="str">
        <f t="shared" ref="AG578:AG636" si="34">CONCATENATE("https://drive.google.com/thumbnail?id=", MID(AH578, FIND("/d/", AH578) + 3, FIND("/view", AH578) - FIND("/d/", AH578) - 3), "&amp;sz=w1000")</f>
        <v>https://drive.google.com/thumbnail?id=1IobvhS63KW7w3xiQvQNpxHjV7ZiZaVbc&amp;sz=w1000</v>
      </c>
      <c r="AH578" s="90" t="s">
        <v>848</v>
      </c>
    </row>
    <row r="579" spans="1:34" ht="22.15" customHeight="1">
      <c r="A579" s="187">
        <v>45541</v>
      </c>
      <c r="B579" s="17" t="s">
        <v>251</v>
      </c>
      <c r="C579" s="17" t="s">
        <v>253</v>
      </c>
      <c r="D579" s="16" t="str" cm="1">
        <f t="array" ref="D579">_xlfn.XLOOKUP(1, (Table1[Project Name]=Table2[[#This Row],[Project ID]])*(Table1[Plot]=Table2[[#This Row],[Plot]]), Table1[Project ID])</f>
        <v>SC-04</v>
      </c>
      <c r="E579" s="69">
        <v>355</v>
      </c>
      <c r="F579" s="70">
        <v>192</v>
      </c>
      <c r="G579" s="69">
        <f>Table2[[#This Row],[Time Elapsed]]+Table2[[#This Row],[Time Remaining]]</f>
        <v>547</v>
      </c>
      <c r="H579" s="70" t="s">
        <v>770</v>
      </c>
      <c r="I579" s="70" t="s">
        <v>693</v>
      </c>
      <c r="J579" s="160">
        <v>0.26900000000000002</v>
      </c>
      <c r="K579" s="161">
        <v>0.15759999999999999</v>
      </c>
      <c r="L579" s="13">
        <f>Table2[[#This Row],[Actual %]]-Table2[[#This Row],[Plan %]]</f>
        <v>-0.11140000000000003</v>
      </c>
      <c r="M579" s="165" t="s">
        <v>302</v>
      </c>
      <c r="N579" s="197">
        <v>45733</v>
      </c>
      <c r="O579" s="197" t="s">
        <v>796</v>
      </c>
      <c r="P579" s="197">
        <v>45838</v>
      </c>
      <c r="Q579" s="198">
        <v>45541</v>
      </c>
      <c r="R579" s="159" t="s">
        <v>700</v>
      </c>
      <c r="S579" s="159" t="s">
        <v>701</v>
      </c>
      <c r="T579" s="164" t="s">
        <v>800</v>
      </c>
      <c r="U579" s="122">
        <v>78077600</v>
      </c>
      <c r="V579" s="123">
        <v>0</v>
      </c>
      <c r="W579" s="36">
        <f>Table2[[#This Row],[Construction Contract Amount]]+Table2[[#This Row],[Cumulative Variations]]</f>
        <v>78077600</v>
      </c>
      <c r="X579" s="123">
        <v>1576709</v>
      </c>
      <c r="Y579" s="201"/>
      <c r="Z579" s="36">
        <f>Table2[[#This Row],[Final Contract Value]]+Table2[[#This Row],[Supervision Contract amount]]+Table2[[#This Row],[Authority Cost]]</f>
        <v>79654309</v>
      </c>
      <c r="AA579" s="123">
        <v>10206907.238695476</v>
      </c>
      <c r="AB579" s="123">
        <f t="shared" si="31"/>
        <v>180000</v>
      </c>
      <c r="AC579" s="102" t="str">
        <f t="shared" si="32"/>
        <v>https://drive.google.com/thumbnail?id=17TfQKd0Cd9yG2mhJV3bja_JAtLRy5Hq5&amp;sz=w1000</v>
      </c>
      <c r="AD579" s="90" t="s">
        <v>816</v>
      </c>
      <c r="AE579" s="103" t="str">
        <f t="shared" si="33"/>
        <v>https://drive.google.com/thumbnail?id=1g0qE64GhrUOttT19f46pAEKIpTihMBf3&amp;sz=w1000</v>
      </c>
      <c r="AF579" s="90" t="s">
        <v>832</v>
      </c>
      <c r="AG579" s="90" t="str">
        <f t="shared" si="34"/>
        <v>https://drive.google.com/thumbnail?id=1IobvhS63KW7w3xiQvQNpxHjV7ZiZaVbc&amp;sz=w1000</v>
      </c>
      <c r="AH579" s="90" t="s">
        <v>848</v>
      </c>
    </row>
    <row r="580" spans="1:34" ht="22.15" customHeight="1">
      <c r="A580" s="187">
        <v>45541</v>
      </c>
      <c r="B580" s="17" t="s">
        <v>255</v>
      </c>
      <c r="C580" s="17" t="s">
        <v>258</v>
      </c>
      <c r="D580" s="16" t="str" cm="1">
        <f t="array" ref="D580">_xlfn.XLOOKUP(1, (Table1[Project Name]=Table2[[#This Row],[Project ID]])*(Table1[Plot]=Table2[[#This Row],[Plot]]), Table1[Project ID])</f>
        <v>SC-05</v>
      </c>
      <c r="E580" s="69">
        <v>355</v>
      </c>
      <c r="F580" s="70">
        <v>192</v>
      </c>
      <c r="G580" s="69">
        <f>Table2[[#This Row],[Time Elapsed]]+Table2[[#This Row],[Time Remaining]]</f>
        <v>547</v>
      </c>
      <c r="H580" s="70" t="s">
        <v>771</v>
      </c>
      <c r="I580" s="70" t="s">
        <v>693</v>
      </c>
      <c r="J580" s="160">
        <v>0.26900000000000002</v>
      </c>
      <c r="K580" s="161">
        <v>0.18840000000000001</v>
      </c>
      <c r="L580" s="13">
        <f>Table2[[#This Row],[Actual %]]-Table2[[#This Row],[Plan %]]</f>
        <v>-8.0600000000000005E-2</v>
      </c>
      <c r="M580" s="163" t="s">
        <v>285</v>
      </c>
      <c r="N580" s="197">
        <v>45187</v>
      </c>
      <c r="O580" s="197">
        <v>45195</v>
      </c>
      <c r="P580" s="197" t="s">
        <v>796</v>
      </c>
      <c r="Q580" s="198">
        <v>45541</v>
      </c>
      <c r="R580" s="159" t="s">
        <v>700</v>
      </c>
      <c r="S580" s="159" t="s">
        <v>701</v>
      </c>
      <c r="T580" s="164" t="s">
        <v>801</v>
      </c>
      <c r="U580" s="122">
        <v>78077600</v>
      </c>
      <c r="V580" s="123">
        <v>0</v>
      </c>
      <c r="W580" s="36">
        <f>Table2[[#This Row],[Construction Contract Amount]]+Table2[[#This Row],[Cumulative Variations]]</f>
        <v>78077600</v>
      </c>
      <c r="X580" s="123">
        <v>1576709</v>
      </c>
      <c r="Y580" s="201"/>
      <c r="Z580" s="36">
        <f>Table2[[#This Row],[Final Contract Value]]+Table2[[#This Row],[Supervision Contract amount]]+Table2[[#This Row],[Authority Cost]]</f>
        <v>79654309</v>
      </c>
      <c r="AA580" s="123">
        <v>10232670.517220479</v>
      </c>
      <c r="AB580" s="123">
        <f t="shared" si="31"/>
        <v>180000</v>
      </c>
      <c r="AC580" s="102" t="str">
        <f t="shared" si="32"/>
        <v>https://drive.google.com/thumbnail?id=1lHsS9HToAAkVgzUpu0SvP6Q74MdwpNaD&amp;sz=w1000</v>
      </c>
      <c r="AD580" s="90" t="s">
        <v>817</v>
      </c>
      <c r="AE580" s="103" t="str">
        <f t="shared" si="33"/>
        <v>https://drive.google.com/thumbnail?id=1QSpwAu5G5jYzzAO2U4PsRnfbTsKxHd6s&amp;sz=w1000</v>
      </c>
      <c r="AF580" s="90" t="s">
        <v>833</v>
      </c>
      <c r="AG580" s="90" t="str">
        <f t="shared" si="34"/>
        <v>https://drive.google.com/thumbnail?id=1FFvziYQynsq9IGYLQaJ37iQbYGYyI7tt&amp;sz=w1000</v>
      </c>
      <c r="AH580" s="90" t="s">
        <v>849</v>
      </c>
    </row>
    <row r="581" spans="1:34" ht="22.15" customHeight="1">
      <c r="A581" s="187">
        <v>45541</v>
      </c>
      <c r="B581" s="17" t="s">
        <v>255</v>
      </c>
      <c r="C581" s="17" t="s">
        <v>258</v>
      </c>
      <c r="D581" s="16" t="str" cm="1">
        <f t="array" ref="D581">_xlfn.XLOOKUP(1, (Table1[Project Name]=Table2[[#This Row],[Project ID]])*(Table1[Plot]=Table2[[#This Row],[Plot]]), Table1[Project ID])</f>
        <v>SC-05</v>
      </c>
      <c r="E581" s="69">
        <v>355</v>
      </c>
      <c r="F581" s="70">
        <v>192</v>
      </c>
      <c r="G581" s="69">
        <f>Table2[[#This Row],[Time Elapsed]]+Table2[[#This Row],[Time Remaining]]</f>
        <v>547</v>
      </c>
      <c r="H581" s="70" t="s">
        <v>771</v>
      </c>
      <c r="I581" s="70" t="s">
        <v>693</v>
      </c>
      <c r="J581" s="160">
        <v>0.26900000000000002</v>
      </c>
      <c r="K581" s="161">
        <v>0.18840000000000001</v>
      </c>
      <c r="L581" s="13">
        <f>Table2[[#This Row],[Actual %]]-Table2[[#This Row],[Plan %]]</f>
        <v>-8.0600000000000005E-2</v>
      </c>
      <c r="M581" s="165" t="s">
        <v>51</v>
      </c>
      <c r="N581" s="197">
        <v>45220</v>
      </c>
      <c r="O581" s="197">
        <v>45297</v>
      </c>
      <c r="P581" s="197" t="s">
        <v>796</v>
      </c>
      <c r="Q581" s="198">
        <v>45541</v>
      </c>
      <c r="R581" s="159" t="s">
        <v>700</v>
      </c>
      <c r="S581" s="159" t="s">
        <v>701</v>
      </c>
      <c r="T581" s="164" t="s">
        <v>801</v>
      </c>
      <c r="U581" s="122">
        <v>78077600</v>
      </c>
      <c r="V581" s="123">
        <v>0</v>
      </c>
      <c r="W581" s="36">
        <f>Table2[[#This Row],[Construction Contract Amount]]+Table2[[#This Row],[Cumulative Variations]]</f>
        <v>78077600</v>
      </c>
      <c r="X581" s="123">
        <v>1576709</v>
      </c>
      <c r="Y581" s="201"/>
      <c r="Z581" s="36">
        <f>Table2[[#This Row],[Final Contract Value]]+Table2[[#This Row],[Supervision Contract amount]]+Table2[[#This Row],[Authority Cost]]</f>
        <v>79654309</v>
      </c>
      <c r="AA581" s="123">
        <v>10232670.517220479</v>
      </c>
      <c r="AB581" s="123">
        <f t="shared" si="31"/>
        <v>180000</v>
      </c>
      <c r="AC581" s="102" t="str">
        <f t="shared" si="32"/>
        <v>https://drive.google.com/thumbnail?id=1lHsS9HToAAkVgzUpu0SvP6Q74MdwpNaD&amp;sz=w1000</v>
      </c>
      <c r="AD581" s="90" t="s">
        <v>817</v>
      </c>
      <c r="AE581" s="103" t="str">
        <f t="shared" si="33"/>
        <v>https://drive.google.com/thumbnail?id=1QSpwAu5G5jYzzAO2U4PsRnfbTsKxHd6s&amp;sz=w1000</v>
      </c>
      <c r="AF581" s="90" t="s">
        <v>833</v>
      </c>
      <c r="AG581" s="90" t="str">
        <f t="shared" si="34"/>
        <v>https://drive.google.com/thumbnail?id=1FFvziYQynsq9IGYLQaJ37iQbYGYyI7tt&amp;sz=w1000</v>
      </c>
      <c r="AH581" s="90" t="s">
        <v>849</v>
      </c>
    </row>
    <row r="582" spans="1:34" ht="22.15" customHeight="1">
      <c r="A582" s="187">
        <v>45541</v>
      </c>
      <c r="B582" s="17" t="s">
        <v>255</v>
      </c>
      <c r="C582" s="17" t="s">
        <v>258</v>
      </c>
      <c r="D582" s="16" t="str" cm="1">
        <f t="array" ref="D582">_xlfn.XLOOKUP(1, (Table1[Project Name]=Table2[[#This Row],[Project ID]])*(Table1[Plot]=Table2[[#This Row],[Plot]]), Table1[Project ID])</f>
        <v>SC-05</v>
      </c>
      <c r="E582" s="69">
        <v>355</v>
      </c>
      <c r="F582" s="70">
        <v>192</v>
      </c>
      <c r="G582" s="69">
        <f>Table2[[#This Row],[Time Elapsed]]+Table2[[#This Row],[Time Remaining]]</f>
        <v>547</v>
      </c>
      <c r="H582" s="70" t="s">
        <v>771</v>
      </c>
      <c r="I582" s="70" t="s">
        <v>693</v>
      </c>
      <c r="J582" s="160">
        <v>0.26900000000000002</v>
      </c>
      <c r="K582" s="161">
        <v>0.18840000000000001</v>
      </c>
      <c r="L582" s="13">
        <f>Table2[[#This Row],[Actual %]]-Table2[[#This Row],[Plan %]]</f>
        <v>-8.0600000000000005E-2</v>
      </c>
      <c r="M582" s="165" t="s">
        <v>287</v>
      </c>
      <c r="N582" s="197">
        <v>45429</v>
      </c>
      <c r="O582" s="197">
        <v>45447</v>
      </c>
      <c r="P582" s="197" t="s">
        <v>796</v>
      </c>
      <c r="Q582" s="198">
        <v>45541</v>
      </c>
      <c r="R582" s="159" t="s">
        <v>700</v>
      </c>
      <c r="S582" s="159" t="s">
        <v>701</v>
      </c>
      <c r="T582" s="164" t="s">
        <v>801</v>
      </c>
      <c r="U582" s="122">
        <v>78077600</v>
      </c>
      <c r="V582" s="123">
        <v>0</v>
      </c>
      <c r="W582" s="36">
        <f>Table2[[#This Row],[Construction Contract Amount]]+Table2[[#This Row],[Cumulative Variations]]</f>
        <v>78077600</v>
      </c>
      <c r="X582" s="123">
        <v>1576709</v>
      </c>
      <c r="Y582" s="201"/>
      <c r="Z582" s="36">
        <f>Table2[[#This Row],[Final Contract Value]]+Table2[[#This Row],[Supervision Contract amount]]+Table2[[#This Row],[Authority Cost]]</f>
        <v>79654309</v>
      </c>
      <c r="AA582" s="123">
        <v>10232670.517220479</v>
      </c>
      <c r="AB582" s="123">
        <f t="shared" si="31"/>
        <v>180000</v>
      </c>
      <c r="AC582" s="102" t="str">
        <f t="shared" si="32"/>
        <v>https://drive.google.com/thumbnail?id=1lHsS9HToAAkVgzUpu0SvP6Q74MdwpNaD&amp;sz=w1000</v>
      </c>
      <c r="AD582" s="90" t="s">
        <v>817</v>
      </c>
      <c r="AE582" s="103" t="str">
        <f t="shared" si="33"/>
        <v>https://drive.google.com/thumbnail?id=1QSpwAu5G5jYzzAO2U4PsRnfbTsKxHd6s&amp;sz=w1000</v>
      </c>
      <c r="AF582" s="90" t="s">
        <v>833</v>
      </c>
      <c r="AG582" s="90" t="str">
        <f t="shared" si="34"/>
        <v>https://drive.google.com/thumbnail?id=1FFvziYQynsq9IGYLQaJ37iQbYGYyI7tt&amp;sz=w1000</v>
      </c>
      <c r="AH582" s="90" t="s">
        <v>849</v>
      </c>
    </row>
    <row r="583" spans="1:34" ht="22.15" customHeight="1">
      <c r="A583" s="187">
        <v>45541</v>
      </c>
      <c r="B583" s="17" t="s">
        <v>255</v>
      </c>
      <c r="C583" s="17" t="s">
        <v>258</v>
      </c>
      <c r="D583" s="16" t="str" cm="1">
        <f t="array" ref="D583">_xlfn.XLOOKUP(1, (Table1[Project Name]=Table2[[#This Row],[Project ID]])*(Table1[Plot]=Table2[[#This Row],[Plot]]), Table1[Project ID])</f>
        <v>SC-05</v>
      </c>
      <c r="E583" s="69">
        <v>355</v>
      </c>
      <c r="F583" s="70">
        <v>192</v>
      </c>
      <c r="G583" s="69">
        <f>Table2[[#This Row],[Time Elapsed]]+Table2[[#This Row],[Time Remaining]]</f>
        <v>547</v>
      </c>
      <c r="H583" s="70" t="s">
        <v>771</v>
      </c>
      <c r="I583" s="70" t="s">
        <v>693</v>
      </c>
      <c r="J583" s="160">
        <v>0.26900000000000002</v>
      </c>
      <c r="K583" s="161">
        <v>0.18840000000000001</v>
      </c>
      <c r="L583" s="13">
        <f>Table2[[#This Row],[Actual %]]-Table2[[#This Row],[Plan %]]</f>
        <v>-8.0600000000000005E-2</v>
      </c>
      <c r="M583" s="165" t="s">
        <v>703</v>
      </c>
      <c r="N583" s="197">
        <v>45510</v>
      </c>
      <c r="O583" s="197" t="s">
        <v>796</v>
      </c>
      <c r="P583" s="197">
        <v>45556</v>
      </c>
      <c r="Q583" s="198">
        <v>45541</v>
      </c>
      <c r="R583" s="159" t="s">
        <v>700</v>
      </c>
      <c r="S583" s="159" t="s">
        <v>701</v>
      </c>
      <c r="T583" s="164" t="s">
        <v>801</v>
      </c>
      <c r="U583" s="122">
        <v>78077600</v>
      </c>
      <c r="V583" s="123">
        <v>0</v>
      </c>
      <c r="W583" s="36">
        <f>Table2[[#This Row],[Construction Contract Amount]]+Table2[[#This Row],[Cumulative Variations]]</f>
        <v>78077600</v>
      </c>
      <c r="X583" s="123">
        <v>1576709</v>
      </c>
      <c r="Y583" s="201"/>
      <c r="Z583" s="36">
        <f>Table2[[#This Row],[Final Contract Value]]+Table2[[#This Row],[Supervision Contract amount]]+Table2[[#This Row],[Authority Cost]]</f>
        <v>79654309</v>
      </c>
      <c r="AA583" s="123">
        <v>10232670.517220479</v>
      </c>
      <c r="AB583" s="123">
        <f t="shared" si="31"/>
        <v>180000</v>
      </c>
      <c r="AC583" s="102" t="str">
        <f t="shared" si="32"/>
        <v>https://drive.google.com/thumbnail?id=1lHsS9HToAAkVgzUpu0SvP6Q74MdwpNaD&amp;sz=w1000</v>
      </c>
      <c r="AD583" s="90" t="s">
        <v>817</v>
      </c>
      <c r="AE583" s="103" t="str">
        <f t="shared" si="33"/>
        <v>https://drive.google.com/thumbnail?id=1QSpwAu5G5jYzzAO2U4PsRnfbTsKxHd6s&amp;sz=w1000</v>
      </c>
      <c r="AF583" s="90" t="s">
        <v>833</v>
      </c>
      <c r="AG583" s="90" t="str">
        <f t="shared" si="34"/>
        <v>https://drive.google.com/thumbnail?id=1FFvziYQynsq9IGYLQaJ37iQbYGYyI7tt&amp;sz=w1000</v>
      </c>
      <c r="AH583" s="90" t="s">
        <v>849</v>
      </c>
    </row>
    <row r="584" spans="1:34" ht="22.15" customHeight="1">
      <c r="A584" s="187">
        <v>45541</v>
      </c>
      <c r="B584" s="17" t="s">
        <v>255</v>
      </c>
      <c r="C584" s="17" t="s">
        <v>258</v>
      </c>
      <c r="D584" s="16" t="str" cm="1">
        <f t="array" ref="D584">_xlfn.XLOOKUP(1, (Table1[Project Name]=Table2[[#This Row],[Project ID]])*(Table1[Plot]=Table2[[#This Row],[Plot]]), Table1[Project ID])</f>
        <v>SC-05</v>
      </c>
      <c r="E584" s="69">
        <v>355</v>
      </c>
      <c r="F584" s="70">
        <v>192</v>
      </c>
      <c r="G584" s="69">
        <f>Table2[[#This Row],[Time Elapsed]]+Table2[[#This Row],[Time Remaining]]</f>
        <v>547</v>
      </c>
      <c r="H584" s="70" t="s">
        <v>771</v>
      </c>
      <c r="I584" s="70" t="s">
        <v>693</v>
      </c>
      <c r="J584" s="160">
        <v>0.26900000000000002</v>
      </c>
      <c r="K584" s="161">
        <v>0.18840000000000001</v>
      </c>
      <c r="L584" s="13">
        <f>Table2[[#This Row],[Actual %]]-Table2[[#This Row],[Plan %]]</f>
        <v>-8.0600000000000005E-2</v>
      </c>
      <c r="M584" s="165" t="s">
        <v>704</v>
      </c>
      <c r="N584" s="197">
        <v>45603</v>
      </c>
      <c r="O584" s="197" t="s">
        <v>796</v>
      </c>
      <c r="P584" s="197">
        <v>45586</v>
      </c>
      <c r="Q584" s="198">
        <v>45541</v>
      </c>
      <c r="R584" s="159" t="s">
        <v>700</v>
      </c>
      <c r="S584" s="159" t="s">
        <v>701</v>
      </c>
      <c r="T584" s="164" t="s">
        <v>801</v>
      </c>
      <c r="U584" s="122">
        <v>78077600</v>
      </c>
      <c r="V584" s="123">
        <v>0</v>
      </c>
      <c r="W584" s="36">
        <f>Table2[[#This Row],[Construction Contract Amount]]+Table2[[#This Row],[Cumulative Variations]]</f>
        <v>78077600</v>
      </c>
      <c r="X584" s="123">
        <v>1576709</v>
      </c>
      <c r="Y584" s="201"/>
      <c r="Z584" s="36">
        <f>Table2[[#This Row],[Final Contract Value]]+Table2[[#This Row],[Supervision Contract amount]]+Table2[[#This Row],[Authority Cost]]</f>
        <v>79654309</v>
      </c>
      <c r="AA584" s="123">
        <v>10232670.517220479</v>
      </c>
      <c r="AB584" s="123">
        <f t="shared" si="31"/>
        <v>180000</v>
      </c>
      <c r="AC584" s="102" t="str">
        <f t="shared" si="32"/>
        <v>https://drive.google.com/thumbnail?id=1lHsS9HToAAkVgzUpu0SvP6Q74MdwpNaD&amp;sz=w1000</v>
      </c>
      <c r="AD584" s="90" t="s">
        <v>817</v>
      </c>
      <c r="AE584" s="103" t="str">
        <f t="shared" si="33"/>
        <v>https://drive.google.com/thumbnail?id=1QSpwAu5G5jYzzAO2U4PsRnfbTsKxHd6s&amp;sz=w1000</v>
      </c>
      <c r="AF584" s="90" t="s">
        <v>833</v>
      </c>
      <c r="AG584" s="90" t="str">
        <f t="shared" si="34"/>
        <v>https://drive.google.com/thumbnail?id=1FFvziYQynsq9IGYLQaJ37iQbYGYyI7tt&amp;sz=w1000</v>
      </c>
      <c r="AH584" s="90" t="s">
        <v>849</v>
      </c>
    </row>
    <row r="585" spans="1:34" ht="22.15" customHeight="1">
      <c r="A585" s="187">
        <v>45541</v>
      </c>
      <c r="B585" s="17" t="s">
        <v>255</v>
      </c>
      <c r="C585" s="17" t="s">
        <v>258</v>
      </c>
      <c r="D585" s="16" t="str" cm="1">
        <f t="array" ref="D585">_xlfn.XLOOKUP(1, (Table1[Project Name]=Table2[[#This Row],[Project ID]])*(Table1[Plot]=Table2[[#This Row],[Plot]]), Table1[Project ID])</f>
        <v>SC-05</v>
      </c>
      <c r="E585" s="69">
        <v>355</v>
      </c>
      <c r="F585" s="70">
        <v>192</v>
      </c>
      <c r="G585" s="69">
        <f>Table2[[#This Row],[Time Elapsed]]+Table2[[#This Row],[Time Remaining]]</f>
        <v>547</v>
      </c>
      <c r="H585" s="70" t="s">
        <v>771</v>
      </c>
      <c r="I585" s="70" t="s">
        <v>693</v>
      </c>
      <c r="J585" s="160">
        <v>0.26900000000000002</v>
      </c>
      <c r="K585" s="161">
        <v>0.18840000000000001</v>
      </c>
      <c r="L585" s="13">
        <f>Table2[[#This Row],[Actual %]]-Table2[[#This Row],[Plan %]]</f>
        <v>-8.0600000000000005E-2</v>
      </c>
      <c r="M585" s="165" t="s">
        <v>705</v>
      </c>
      <c r="N585" s="197">
        <v>45511</v>
      </c>
      <c r="O585" s="197">
        <v>45535</v>
      </c>
      <c r="P585" s="197" t="s">
        <v>796</v>
      </c>
      <c r="Q585" s="198">
        <v>45541</v>
      </c>
      <c r="R585" s="159" t="s">
        <v>700</v>
      </c>
      <c r="S585" s="159" t="s">
        <v>701</v>
      </c>
      <c r="T585" s="164" t="s">
        <v>801</v>
      </c>
      <c r="U585" s="122">
        <v>78077600</v>
      </c>
      <c r="V585" s="123">
        <v>0</v>
      </c>
      <c r="W585" s="36">
        <f>Table2[[#This Row],[Construction Contract Amount]]+Table2[[#This Row],[Cumulative Variations]]</f>
        <v>78077600</v>
      </c>
      <c r="X585" s="123">
        <v>1576709</v>
      </c>
      <c r="Y585" s="201"/>
      <c r="Z585" s="36">
        <f>Table2[[#This Row],[Final Contract Value]]+Table2[[#This Row],[Supervision Contract amount]]+Table2[[#This Row],[Authority Cost]]</f>
        <v>79654309</v>
      </c>
      <c r="AA585" s="123">
        <v>10232670.517220479</v>
      </c>
      <c r="AB585" s="123">
        <f t="shared" si="31"/>
        <v>180000</v>
      </c>
      <c r="AC585" s="102" t="str">
        <f t="shared" si="32"/>
        <v>https://drive.google.com/thumbnail?id=1lHsS9HToAAkVgzUpu0SvP6Q74MdwpNaD&amp;sz=w1000</v>
      </c>
      <c r="AD585" s="90" t="s">
        <v>817</v>
      </c>
      <c r="AE585" s="103" t="str">
        <f t="shared" si="33"/>
        <v>https://drive.google.com/thumbnail?id=1QSpwAu5G5jYzzAO2U4PsRnfbTsKxHd6s&amp;sz=w1000</v>
      </c>
      <c r="AF585" s="90" t="s">
        <v>833</v>
      </c>
      <c r="AG585" s="90" t="str">
        <f t="shared" si="34"/>
        <v>https://drive.google.com/thumbnail?id=1FFvziYQynsq9IGYLQaJ37iQbYGYyI7tt&amp;sz=w1000</v>
      </c>
      <c r="AH585" s="90" t="s">
        <v>849</v>
      </c>
    </row>
    <row r="586" spans="1:34" ht="22.15" customHeight="1">
      <c r="A586" s="187">
        <v>45541</v>
      </c>
      <c r="B586" s="17" t="s">
        <v>255</v>
      </c>
      <c r="C586" s="17" t="s">
        <v>258</v>
      </c>
      <c r="D586" s="16" t="str" cm="1">
        <f t="array" ref="D586">_xlfn.XLOOKUP(1, (Table1[Project Name]=Table2[[#This Row],[Project ID]])*(Table1[Plot]=Table2[[#This Row],[Plot]]), Table1[Project ID])</f>
        <v>SC-05</v>
      </c>
      <c r="E586" s="69">
        <v>355</v>
      </c>
      <c r="F586" s="70">
        <v>192</v>
      </c>
      <c r="G586" s="69">
        <f>Table2[[#This Row],[Time Elapsed]]+Table2[[#This Row],[Time Remaining]]</f>
        <v>547</v>
      </c>
      <c r="H586" s="70" t="s">
        <v>771</v>
      </c>
      <c r="I586" s="70" t="s">
        <v>693</v>
      </c>
      <c r="J586" s="160">
        <v>0.26900000000000002</v>
      </c>
      <c r="K586" s="161">
        <v>0.18840000000000001</v>
      </c>
      <c r="L586" s="13">
        <f>Table2[[#This Row],[Actual %]]-Table2[[#This Row],[Plan %]]</f>
        <v>-8.0600000000000005E-2</v>
      </c>
      <c r="M586" s="165" t="s">
        <v>706</v>
      </c>
      <c r="N586" s="197">
        <v>45596</v>
      </c>
      <c r="O586" s="197" t="s">
        <v>796</v>
      </c>
      <c r="P586" s="197">
        <v>45605</v>
      </c>
      <c r="Q586" s="198">
        <v>45541</v>
      </c>
      <c r="R586" s="159" t="s">
        <v>700</v>
      </c>
      <c r="S586" s="159" t="s">
        <v>701</v>
      </c>
      <c r="T586" s="164" t="s">
        <v>801</v>
      </c>
      <c r="U586" s="122">
        <v>78077600</v>
      </c>
      <c r="V586" s="123">
        <v>0</v>
      </c>
      <c r="W586" s="36">
        <f>Table2[[#This Row],[Construction Contract Amount]]+Table2[[#This Row],[Cumulative Variations]]</f>
        <v>78077600</v>
      </c>
      <c r="X586" s="123">
        <v>1576709</v>
      </c>
      <c r="Y586" s="201"/>
      <c r="Z586" s="36">
        <f>Table2[[#This Row],[Final Contract Value]]+Table2[[#This Row],[Supervision Contract amount]]+Table2[[#This Row],[Authority Cost]]</f>
        <v>79654309</v>
      </c>
      <c r="AA586" s="123">
        <v>10232670.517220479</v>
      </c>
      <c r="AB586" s="123">
        <f t="shared" si="31"/>
        <v>180000</v>
      </c>
      <c r="AC586" s="102" t="str">
        <f t="shared" si="32"/>
        <v>https://drive.google.com/thumbnail?id=1lHsS9HToAAkVgzUpu0SvP6Q74MdwpNaD&amp;sz=w1000</v>
      </c>
      <c r="AD586" s="90" t="s">
        <v>817</v>
      </c>
      <c r="AE586" s="103" t="str">
        <f t="shared" si="33"/>
        <v>https://drive.google.com/thumbnail?id=1QSpwAu5G5jYzzAO2U4PsRnfbTsKxHd6s&amp;sz=w1000</v>
      </c>
      <c r="AF586" s="90" t="s">
        <v>833</v>
      </c>
      <c r="AG586" s="90" t="str">
        <f t="shared" si="34"/>
        <v>https://drive.google.com/thumbnail?id=1FFvziYQynsq9IGYLQaJ37iQbYGYyI7tt&amp;sz=w1000</v>
      </c>
      <c r="AH586" s="90" t="s">
        <v>849</v>
      </c>
    </row>
    <row r="587" spans="1:34" ht="22.15" customHeight="1">
      <c r="A587" s="187">
        <v>45541</v>
      </c>
      <c r="B587" s="17" t="s">
        <v>255</v>
      </c>
      <c r="C587" s="17" t="s">
        <v>258</v>
      </c>
      <c r="D587" s="16" t="str" cm="1">
        <f t="array" ref="D587">_xlfn.XLOOKUP(1, (Table1[Project Name]=Table2[[#This Row],[Project ID]])*(Table1[Plot]=Table2[[#This Row],[Plot]]), Table1[Project ID])</f>
        <v>SC-05</v>
      </c>
      <c r="E587" s="69">
        <v>355</v>
      </c>
      <c r="F587" s="70">
        <v>192</v>
      </c>
      <c r="G587" s="69">
        <f>Table2[[#This Row],[Time Elapsed]]+Table2[[#This Row],[Time Remaining]]</f>
        <v>547</v>
      </c>
      <c r="H587" s="70" t="s">
        <v>771</v>
      </c>
      <c r="I587" s="70" t="s">
        <v>693</v>
      </c>
      <c r="J587" s="160">
        <v>0.26900000000000002</v>
      </c>
      <c r="K587" s="161">
        <v>0.18840000000000001</v>
      </c>
      <c r="L587" s="13">
        <f>Table2[[#This Row],[Actual %]]-Table2[[#This Row],[Plan %]]</f>
        <v>-8.0600000000000005E-2</v>
      </c>
      <c r="M587" s="165" t="s">
        <v>280</v>
      </c>
      <c r="N587" s="197">
        <v>45682</v>
      </c>
      <c r="O587" s="197" t="s">
        <v>796</v>
      </c>
      <c r="P587" s="197">
        <v>45792</v>
      </c>
      <c r="Q587" s="198">
        <v>45541</v>
      </c>
      <c r="R587" s="159" t="s">
        <v>700</v>
      </c>
      <c r="S587" s="159" t="s">
        <v>701</v>
      </c>
      <c r="T587" s="164" t="s">
        <v>801</v>
      </c>
      <c r="U587" s="122">
        <v>78077600</v>
      </c>
      <c r="V587" s="123">
        <v>0</v>
      </c>
      <c r="W587" s="36">
        <f>Table2[[#This Row],[Construction Contract Amount]]+Table2[[#This Row],[Cumulative Variations]]</f>
        <v>78077600</v>
      </c>
      <c r="X587" s="123">
        <v>1576709</v>
      </c>
      <c r="Y587" s="201"/>
      <c r="Z587" s="36">
        <f>Table2[[#This Row],[Final Contract Value]]+Table2[[#This Row],[Supervision Contract amount]]+Table2[[#This Row],[Authority Cost]]</f>
        <v>79654309</v>
      </c>
      <c r="AA587" s="123">
        <v>10232670.517220479</v>
      </c>
      <c r="AB587" s="123">
        <f t="shared" si="31"/>
        <v>180000</v>
      </c>
      <c r="AC587" s="102" t="str">
        <f t="shared" si="32"/>
        <v>https://drive.google.com/thumbnail?id=1lHsS9HToAAkVgzUpu0SvP6Q74MdwpNaD&amp;sz=w1000</v>
      </c>
      <c r="AD587" s="90" t="s">
        <v>817</v>
      </c>
      <c r="AE587" s="103" t="str">
        <f t="shared" si="33"/>
        <v>https://drive.google.com/thumbnail?id=1QSpwAu5G5jYzzAO2U4PsRnfbTsKxHd6s&amp;sz=w1000</v>
      </c>
      <c r="AF587" s="90" t="s">
        <v>833</v>
      </c>
      <c r="AG587" s="90" t="str">
        <f t="shared" si="34"/>
        <v>https://drive.google.com/thumbnail?id=1FFvziYQynsq9IGYLQaJ37iQbYGYyI7tt&amp;sz=w1000</v>
      </c>
      <c r="AH587" s="90" t="s">
        <v>849</v>
      </c>
    </row>
    <row r="588" spans="1:34" ht="22.15" customHeight="1">
      <c r="A588" s="187">
        <v>45541</v>
      </c>
      <c r="B588" s="17" t="s">
        <v>255</v>
      </c>
      <c r="C588" s="17" t="s">
        <v>258</v>
      </c>
      <c r="D588" s="16" t="str" cm="1">
        <f t="array" ref="D588">_xlfn.XLOOKUP(1, (Table1[Project Name]=Table2[[#This Row],[Project ID]])*(Table1[Plot]=Table2[[#This Row],[Plot]]), Table1[Project ID])</f>
        <v>SC-05</v>
      </c>
      <c r="E588" s="69">
        <v>355</v>
      </c>
      <c r="F588" s="70">
        <v>192</v>
      </c>
      <c r="G588" s="69">
        <f>Table2[[#This Row],[Time Elapsed]]+Table2[[#This Row],[Time Remaining]]</f>
        <v>547</v>
      </c>
      <c r="H588" s="70" t="s">
        <v>771</v>
      </c>
      <c r="I588" s="70" t="s">
        <v>693</v>
      </c>
      <c r="J588" s="160">
        <v>0.26900000000000002</v>
      </c>
      <c r="K588" s="161">
        <v>0.18840000000000001</v>
      </c>
      <c r="L588" s="13">
        <f>Table2[[#This Row],[Actual %]]-Table2[[#This Row],[Plan %]]</f>
        <v>-8.0600000000000005E-2</v>
      </c>
      <c r="M588" s="165" t="s">
        <v>343</v>
      </c>
      <c r="N588" s="197">
        <v>45701</v>
      </c>
      <c r="O588" s="197" t="s">
        <v>796</v>
      </c>
      <c r="P588" s="197">
        <v>45803</v>
      </c>
      <c r="Q588" s="198">
        <v>45541</v>
      </c>
      <c r="R588" s="159" t="s">
        <v>700</v>
      </c>
      <c r="S588" s="159" t="s">
        <v>701</v>
      </c>
      <c r="T588" s="164" t="s">
        <v>801</v>
      </c>
      <c r="U588" s="122">
        <v>78077600</v>
      </c>
      <c r="V588" s="123">
        <v>0</v>
      </c>
      <c r="W588" s="36">
        <f>Table2[[#This Row],[Construction Contract Amount]]+Table2[[#This Row],[Cumulative Variations]]</f>
        <v>78077600</v>
      </c>
      <c r="X588" s="123">
        <v>1576709</v>
      </c>
      <c r="Y588" s="201"/>
      <c r="Z588" s="36">
        <f>Table2[[#This Row],[Final Contract Value]]+Table2[[#This Row],[Supervision Contract amount]]+Table2[[#This Row],[Authority Cost]]</f>
        <v>79654309</v>
      </c>
      <c r="AA588" s="123">
        <v>10232670.517220479</v>
      </c>
      <c r="AB588" s="123">
        <f t="shared" si="31"/>
        <v>180000</v>
      </c>
      <c r="AC588" s="102" t="str">
        <f t="shared" si="32"/>
        <v>https://drive.google.com/thumbnail?id=1lHsS9HToAAkVgzUpu0SvP6Q74MdwpNaD&amp;sz=w1000</v>
      </c>
      <c r="AD588" s="90" t="s">
        <v>817</v>
      </c>
      <c r="AE588" s="103" t="str">
        <f t="shared" si="33"/>
        <v>https://drive.google.com/thumbnail?id=1QSpwAu5G5jYzzAO2U4PsRnfbTsKxHd6s&amp;sz=w1000</v>
      </c>
      <c r="AF588" s="90" t="s">
        <v>833</v>
      </c>
      <c r="AG588" s="90" t="str">
        <f t="shared" si="34"/>
        <v>https://drive.google.com/thumbnail?id=1FFvziYQynsq9IGYLQaJ37iQbYGYyI7tt&amp;sz=w1000</v>
      </c>
      <c r="AH588" s="90" t="s">
        <v>849</v>
      </c>
    </row>
    <row r="589" spans="1:34" ht="22.15" customHeight="1">
      <c r="A589" s="187">
        <v>45541</v>
      </c>
      <c r="B589" s="17" t="s">
        <v>255</v>
      </c>
      <c r="C589" s="17" t="s">
        <v>258</v>
      </c>
      <c r="D589" s="16" t="str" cm="1">
        <f t="array" ref="D589">_xlfn.XLOOKUP(1, (Table1[Project Name]=Table2[[#This Row],[Project ID]])*(Table1[Plot]=Table2[[#This Row],[Plot]]), Table1[Project ID])</f>
        <v>SC-05</v>
      </c>
      <c r="E589" s="69">
        <v>355</v>
      </c>
      <c r="F589" s="70">
        <v>192</v>
      </c>
      <c r="G589" s="69">
        <f>Table2[[#This Row],[Time Elapsed]]+Table2[[#This Row],[Time Remaining]]</f>
        <v>547</v>
      </c>
      <c r="H589" s="70" t="s">
        <v>771</v>
      </c>
      <c r="I589" s="70" t="s">
        <v>693</v>
      </c>
      <c r="J589" s="160">
        <v>0.26900000000000002</v>
      </c>
      <c r="K589" s="161">
        <v>0.18840000000000001</v>
      </c>
      <c r="L589" s="13">
        <f>Table2[[#This Row],[Actual %]]-Table2[[#This Row],[Plan %]]</f>
        <v>-8.0600000000000005E-2</v>
      </c>
      <c r="M589" s="165" t="s">
        <v>344</v>
      </c>
      <c r="N589" s="197">
        <v>45720</v>
      </c>
      <c r="O589" s="197" t="s">
        <v>796</v>
      </c>
      <c r="P589" s="197">
        <v>45824</v>
      </c>
      <c r="Q589" s="198">
        <v>45541</v>
      </c>
      <c r="R589" s="159" t="s">
        <v>700</v>
      </c>
      <c r="S589" s="159" t="s">
        <v>701</v>
      </c>
      <c r="T589" s="164" t="s">
        <v>801</v>
      </c>
      <c r="U589" s="122">
        <v>78077600</v>
      </c>
      <c r="V589" s="123">
        <v>0</v>
      </c>
      <c r="W589" s="36">
        <f>Table2[[#This Row],[Construction Contract Amount]]+Table2[[#This Row],[Cumulative Variations]]</f>
        <v>78077600</v>
      </c>
      <c r="X589" s="123">
        <v>1576709</v>
      </c>
      <c r="Y589" s="201"/>
      <c r="Z589" s="36">
        <f>Table2[[#This Row],[Final Contract Value]]+Table2[[#This Row],[Supervision Contract amount]]+Table2[[#This Row],[Authority Cost]]</f>
        <v>79654309</v>
      </c>
      <c r="AA589" s="123">
        <v>10232670.517220479</v>
      </c>
      <c r="AB589" s="123">
        <f t="shared" si="31"/>
        <v>180000</v>
      </c>
      <c r="AC589" s="102" t="str">
        <f t="shared" si="32"/>
        <v>https://drive.google.com/thumbnail?id=1lHsS9HToAAkVgzUpu0SvP6Q74MdwpNaD&amp;sz=w1000</v>
      </c>
      <c r="AD589" s="90" t="s">
        <v>817</v>
      </c>
      <c r="AE589" s="103" t="str">
        <f t="shared" si="33"/>
        <v>https://drive.google.com/thumbnail?id=1QSpwAu5G5jYzzAO2U4PsRnfbTsKxHd6s&amp;sz=w1000</v>
      </c>
      <c r="AF589" s="90" t="s">
        <v>833</v>
      </c>
      <c r="AG589" s="90" t="str">
        <f t="shared" si="34"/>
        <v>https://drive.google.com/thumbnail?id=1FFvziYQynsq9IGYLQaJ37iQbYGYyI7tt&amp;sz=w1000</v>
      </c>
      <c r="AH589" s="90" t="s">
        <v>849</v>
      </c>
    </row>
    <row r="590" spans="1:34" ht="22.15" customHeight="1">
      <c r="A590" s="187">
        <v>45541</v>
      </c>
      <c r="B590" s="17" t="s">
        <v>255</v>
      </c>
      <c r="C590" s="17" t="s">
        <v>258</v>
      </c>
      <c r="D590" s="16" t="str" cm="1">
        <f t="array" ref="D590">_xlfn.XLOOKUP(1, (Table1[Project Name]=Table2[[#This Row],[Project ID]])*(Table1[Plot]=Table2[[#This Row],[Plot]]), Table1[Project ID])</f>
        <v>SC-05</v>
      </c>
      <c r="E590" s="69">
        <v>355</v>
      </c>
      <c r="F590" s="70">
        <v>192</v>
      </c>
      <c r="G590" s="69">
        <f>Table2[[#This Row],[Time Elapsed]]+Table2[[#This Row],[Time Remaining]]</f>
        <v>547</v>
      </c>
      <c r="H590" s="70" t="s">
        <v>771</v>
      </c>
      <c r="I590" s="70" t="s">
        <v>693</v>
      </c>
      <c r="J590" s="160">
        <v>0.26900000000000002</v>
      </c>
      <c r="K590" s="161">
        <v>0.18840000000000001</v>
      </c>
      <c r="L590" s="13">
        <f>Table2[[#This Row],[Actual %]]-Table2[[#This Row],[Plan %]]</f>
        <v>-8.0600000000000005E-2</v>
      </c>
      <c r="M590" s="165" t="s">
        <v>302</v>
      </c>
      <c r="N590" s="197">
        <v>45733</v>
      </c>
      <c r="O590" s="197" t="s">
        <v>796</v>
      </c>
      <c r="P590" s="197">
        <v>45838</v>
      </c>
      <c r="Q590" s="198">
        <v>45541</v>
      </c>
      <c r="R590" s="159" t="s">
        <v>700</v>
      </c>
      <c r="S590" s="159" t="s">
        <v>701</v>
      </c>
      <c r="T590" s="164" t="s">
        <v>801</v>
      </c>
      <c r="U590" s="122">
        <v>78077600</v>
      </c>
      <c r="V590" s="123">
        <v>0</v>
      </c>
      <c r="W590" s="36">
        <f>Table2[[#This Row],[Construction Contract Amount]]+Table2[[#This Row],[Cumulative Variations]]</f>
        <v>78077600</v>
      </c>
      <c r="X590" s="123">
        <v>1576709</v>
      </c>
      <c r="Y590" s="201"/>
      <c r="Z590" s="36">
        <f>Table2[[#This Row],[Final Contract Value]]+Table2[[#This Row],[Supervision Contract amount]]+Table2[[#This Row],[Authority Cost]]</f>
        <v>79654309</v>
      </c>
      <c r="AA590" s="123">
        <v>10232670.517220479</v>
      </c>
      <c r="AB590" s="123">
        <f t="shared" si="31"/>
        <v>180000</v>
      </c>
      <c r="AC590" s="102" t="str">
        <f t="shared" si="32"/>
        <v>https://drive.google.com/thumbnail?id=1lHsS9HToAAkVgzUpu0SvP6Q74MdwpNaD&amp;sz=w1000</v>
      </c>
      <c r="AD590" s="90" t="s">
        <v>817</v>
      </c>
      <c r="AE590" s="103" t="str">
        <f t="shared" si="33"/>
        <v>https://drive.google.com/thumbnail?id=1QSpwAu5G5jYzzAO2U4PsRnfbTsKxHd6s&amp;sz=w1000</v>
      </c>
      <c r="AF590" s="90" t="s">
        <v>833</v>
      </c>
      <c r="AG590" s="90" t="str">
        <f t="shared" si="34"/>
        <v>https://drive.google.com/thumbnail?id=1FFvziYQynsq9IGYLQaJ37iQbYGYyI7tt&amp;sz=w1000</v>
      </c>
      <c r="AH590" s="90" t="s">
        <v>849</v>
      </c>
    </row>
    <row r="591" spans="1:34" ht="22.15" customHeight="1">
      <c r="A591" s="187">
        <v>45541</v>
      </c>
      <c r="B591" s="17" t="s">
        <v>260</v>
      </c>
      <c r="C591" s="17" t="s">
        <v>262</v>
      </c>
      <c r="D591" s="16" t="str" cm="1">
        <f t="array" ref="D591">_xlfn.XLOOKUP(1, (Table1[Project Name]=Table2[[#This Row],[Project ID]])*(Table1[Plot]=Table2[[#This Row],[Plot]]), Table1[Project ID])</f>
        <v>SC-06</v>
      </c>
      <c r="E591" s="69">
        <v>355</v>
      </c>
      <c r="F591" s="70">
        <v>192</v>
      </c>
      <c r="G591" s="69">
        <f>Table2[[#This Row],[Time Elapsed]]+Table2[[#This Row],[Time Remaining]]</f>
        <v>547</v>
      </c>
      <c r="H591" s="70" t="s">
        <v>772</v>
      </c>
      <c r="I591" s="70" t="s">
        <v>693</v>
      </c>
      <c r="J591" s="160">
        <v>0.27010000000000001</v>
      </c>
      <c r="K591" s="161">
        <v>0.20780000000000001</v>
      </c>
      <c r="L591" s="13">
        <f>Table2[[#This Row],[Actual %]]-Table2[[#This Row],[Plan %]]</f>
        <v>-6.2299999999999994E-2</v>
      </c>
      <c r="M591" s="163" t="s">
        <v>285</v>
      </c>
      <c r="N591" s="197">
        <v>45187</v>
      </c>
      <c r="O591" s="197">
        <v>45195</v>
      </c>
      <c r="P591" s="197" t="s">
        <v>796</v>
      </c>
      <c r="Q591" s="198">
        <v>45541</v>
      </c>
      <c r="R591" s="159" t="s">
        <v>700</v>
      </c>
      <c r="S591" s="159" t="s">
        <v>701</v>
      </c>
      <c r="T591" s="164" t="s">
        <v>802</v>
      </c>
      <c r="U591" s="122">
        <v>78077600</v>
      </c>
      <c r="V591" s="123">
        <v>0</v>
      </c>
      <c r="W591" s="36">
        <f>Table2[[#This Row],[Construction Contract Amount]]+Table2[[#This Row],[Cumulative Variations]]</f>
        <v>78077600</v>
      </c>
      <c r="X591" s="123">
        <v>1576709</v>
      </c>
      <c r="Y591" s="201"/>
      <c r="Z591" s="36">
        <f>Table2[[#This Row],[Final Contract Value]]+Table2[[#This Row],[Supervision Contract amount]]+Table2[[#This Row],[Authority Cost]]</f>
        <v>79654309</v>
      </c>
      <c r="AA591" s="123">
        <v>10862786.894588601</v>
      </c>
      <c r="AB591" s="123">
        <f t="shared" si="31"/>
        <v>180000</v>
      </c>
      <c r="AC591" s="102" t="str">
        <f t="shared" si="32"/>
        <v>https://drive.google.com/thumbnail?id=1LGG-xHMY2FIvsrUQHdBsimZyc6oVwUHI&amp;sz=w1000</v>
      </c>
      <c r="AD591" s="90" t="s">
        <v>818</v>
      </c>
      <c r="AE591" s="103" t="str">
        <f t="shared" si="33"/>
        <v>https://drive.google.com/thumbnail?id=1Fr7FnU1zhPXLqSCHSNAy1t-LB8P_O5uZ&amp;sz=w1000</v>
      </c>
      <c r="AF591" s="90" t="s">
        <v>834</v>
      </c>
      <c r="AG591" s="90" t="str">
        <f t="shared" si="34"/>
        <v>https://drive.google.com/thumbnail?id=1bB7YXERU6N6l2CgGXhfHlbgLBpqYC7xS&amp;sz=w1000</v>
      </c>
      <c r="AH591" s="90" t="s">
        <v>850</v>
      </c>
    </row>
    <row r="592" spans="1:34" ht="22.15" customHeight="1">
      <c r="A592" s="187">
        <v>45541</v>
      </c>
      <c r="B592" s="17" t="s">
        <v>260</v>
      </c>
      <c r="C592" s="17" t="s">
        <v>262</v>
      </c>
      <c r="D592" s="16" t="str" cm="1">
        <f t="array" ref="D592">_xlfn.XLOOKUP(1, (Table1[Project Name]=Table2[[#This Row],[Project ID]])*(Table1[Plot]=Table2[[#This Row],[Plot]]), Table1[Project ID])</f>
        <v>SC-06</v>
      </c>
      <c r="E592" s="69">
        <v>355</v>
      </c>
      <c r="F592" s="70">
        <v>192</v>
      </c>
      <c r="G592" s="69">
        <f>Table2[[#This Row],[Time Elapsed]]+Table2[[#This Row],[Time Remaining]]</f>
        <v>547</v>
      </c>
      <c r="H592" s="70" t="s">
        <v>772</v>
      </c>
      <c r="I592" s="70" t="s">
        <v>693</v>
      </c>
      <c r="J592" s="160">
        <v>0.27010000000000001</v>
      </c>
      <c r="K592" s="161">
        <v>0.20780000000000001</v>
      </c>
      <c r="L592" s="13">
        <f>Table2[[#This Row],[Actual %]]-Table2[[#This Row],[Plan %]]</f>
        <v>-6.2299999999999994E-2</v>
      </c>
      <c r="M592" s="165" t="s">
        <v>51</v>
      </c>
      <c r="N592" s="197">
        <v>45220</v>
      </c>
      <c r="O592" s="197">
        <v>45297</v>
      </c>
      <c r="P592" s="197" t="s">
        <v>796</v>
      </c>
      <c r="Q592" s="198">
        <v>45541</v>
      </c>
      <c r="R592" s="159" t="s">
        <v>700</v>
      </c>
      <c r="S592" s="159" t="s">
        <v>701</v>
      </c>
      <c r="T592" s="164" t="s">
        <v>802</v>
      </c>
      <c r="U592" s="122">
        <v>78077600</v>
      </c>
      <c r="V592" s="123">
        <v>0</v>
      </c>
      <c r="W592" s="36">
        <f>Table2[[#This Row],[Construction Contract Amount]]+Table2[[#This Row],[Cumulative Variations]]</f>
        <v>78077600</v>
      </c>
      <c r="X592" s="123">
        <v>1576709</v>
      </c>
      <c r="Y592" s="201"/>
      <c r="Z592" s="36">
        <f>Table2[[#This Row],[Final Contract Value]]+Table2[[#This Row],[Supervision Contract amount]]+Table2[[#This Row],[Authority Cost]]</f>
        <v>79654309</v>
      </c>
      <c r="AA592" s="123">
        <v>10862786.894588601</v>
      </c>
      <c r="AB592" s="123">
        <f t="shared" si="31"/>
        <v>180000</v>
      </c>
      <c r="AC592" s="102" t="str">
        <f t="shared" si="32"/>
        <v>https://drive.google.com/thumbnail?id=1LGG-xHMY2FIvsrUQHdBsimZyc6oVwUHI&amp;sz=w1000</v>
      </c>
      <c r="AD592" s="90" t="s">
        <v>818</v>
      </c>
      <c r="AE592" s="103" t="str">
        <f t="shared" si="33"/>
        <v>https://drive.google.com/thumbnail?id=1Fr7FnU1zhPXLqSCHSNAy1t-LB8P_O5uZ&amp;sz=w1000</v>
      </c>
      <c r="AF592" s="90" t="s">
        <v>834</v>
      </c>
      <c r="AG592" s="90" t="str">
        <f t="shared" si="34"/>
        <v>https://drive.google.com/thumbnail?id=1bB7YXERU6N6l2CgGXhfHlbgLBpqYC7xS&amp;sz=w1000</v>
      </c>
      <c r="AH592" s="90" t="s">
        <v>850</v>
      </c>
    </row>
    <row r="593" spans="1:34" ht="22.15" customHeight="1">
      <c r="A593" s="187">
        <v>45541</v>
      </c>
      <c r="B593" s="17" t="s">
        <v>260</v>
      </c>
      <c r="C593" s="17" t="s">
        <v>262</v>
      </c>
      <c r="D593" s="16" t="str" cm="1">
        <f t="array" ref="D593">_xlfn.XLOOKUP(1, (Table1[Project Name]=Table2[[#This Row],[Project ID]])*(Table1[Plot]=Table2[[#This Row],[Plot]]), Table1[Project ID])</f>
        <v>SC-06</v>
      </c>
      <c r="E593" s="69">
        <v>355</v>
      </c>
      <c r="F593" s="70">
        <v>192</v>
      </c>
      <c r="G593" s="69">
        <f>Table2[[#This Row],[Time Elapsed]]+Table2[[#This Row],[Time Remaining]]</f>
        <v>547</v>
      </c>
      <c r="H593" s="70" t="s">
        <v>772</v>
      </c>
      <c r="I593" s="70" t="s">
        <v>693</v>
      </c>
      <c r="J593" s="160">
        <v>0.27010000000000001</v>
      </c>
      <c r="K593" s="161">
        <v>0.20780000000000001</v>
      </c>
      <c r="L593" s="13">
        <f>Table2[[#This Row],[Actual %]]-Table2[[#This Row],[Plan %]]</f>
        <v>-6.2299999999999994E-2</v>
      </c>
      <c r="M593" s="165" t="s">
        <v>287</v>
      </c>
      <c r="N593" s="197">
        <v>45429</v>
      </c>
      <c r="O593" s="197">
        <v>45435</v>
      </c>
      <c r="P593" s="197" t="s">
        <v>796</v>
      </c>
      <c r="Q593" s="198">
        <v>45541</v>
      </c>
      <c r="R593" s="159" t="s">
        <v>700</v>
      </c>
      <c r="S593" s="159" t="s">
        <v>701</v>
      </c>
      <c r="T593" s="164" t="s">
        <v>802</v>
      </c>
      <c r="U593" s="122">
        <v>78077600</v>
      </c>
      <c r="V593" s="123">
        <v>0</v>
      </c>
      <c r="W593" s="36">
        <f>Table2[[#This Row],[Construction Contract Amount]]+Table2[[#This Row],[Cumulative Variations]]</f>
        <v>78077600</v>
      </c>
      <c r="X593" s="123">
        <v>1576709</v>
      </c>
      <c r="Y593" s="201"/>
      <c r="Z593" s="36">
        <f>Table2[[#This Row],[Final Contract Value]]+Table2[[#This Row],[Supervision Contract amount]]+Table2[[#This Row],[Authority Cost]]</f>
        <v>79654309</v>
      </c>
      <c r="AA593" s="123">
        <v>10862786.894588601</v>
      </c>
      <c r="AB593" s="123">
        <f t="shared" si="31"/>
        <v>180000</v>
      </c>
      <c r="AC593" s="102" t="str">
        <f t="shared" si="32"/>
        <v>https://drive.google.com/thumbnail?id=1LGG-xHMY2FIvsrUQHdBsimZyc6oVwUHI&amp;sz=w1000</v>
      </c>
      <c r="AD593" s="90" t="s">
        <v>818</v>
      </c>
      <c r="AE593" s="103" t="str">
        <f t="shared" si="33"/>
        <v>https://drive.google.com/thumbnail?id=1Fr7FnU1zhPXLqSCHSNAy1t-LB8P_O5uZ&amp;sz=w1000</v>
      </c>
      <c r="AF593" s="90" t="s">
        <v>834</v>
      </c>
      <c r="AG593" s="90" t="str">
        <f t="shared" si="34"/>
        <v>https://drive.google.com/thumbnail?id=1bB7YXERU6N6l2CgGXhfHlbgLBpqYC7xS&amp;sz=w1000</v>
      </c>
      <c r="AH593" s="90" t="s">
        <v>850</v>
      </c>
    </row>
    <row r="594" spans="1:34" ht="22.15" customHeight="1">
      <c r="A594" s="187">
        <v>45541</v>
      </c>
      <c r="B594" s="17" t="s">
        <v>260</v>
      </c>
      <c r="C594" s="17" t="s">
        <v>262</v>
      </c>
      <c r="D594" s="16" t="str" cm="1">
        <f t="array" ref="D594">_xlfn.XLOOKUP(1, (Table1[Project Name]=Table2[[#This Row],[Project ID]])*(Table1[Plot]=Table2[[#This Row],[Plot]]), Table1[Project ID])</f>
        <v>SC-06</v>
      </c>
      <c r="E594" s="69">
        <v>355</v>
      </c>
      <c r="F594" s="70">
        <v>192</v>
      </c>
      <c r="G594" s="69">
        <f>Table2[[#This Row],[Time Elapsed]]+Table2[[#This Row],[Time Remaining]]</f>
        <v>547</v>
      </c>
      <c r="H594" s="70" t="s">
        <v>772</v>
      </c>
      <c r="I594" s="70" t="s">
        <v>693</v>
      </c>
      <c r="J594" s="160">
        <v>0.27010000000000001</v>
      </c>
      <c r="K594" s="161">
        <v>0.20780000000000001</v>
      </c>
      <c r="L594" s="13">
        <f>Table2[[#This Row],[Actual %]]-Table2[[#This Row],[Plan %]]</f>
        <v>-6.2299999999999994E-2</v>
      </c>
      <c r="M594" s="165" t="s">
        <v>703</v>
      </c>
      <c r="N594" s="197">
        <v>45510</v>
      </c>
      <c r="O594" s="197" t="s">
        <v>796</v>
      </c>
      <c r="P594" s="197">
        <v>45555</v>
      </c>
      <c r="Q594" s="198">
        <v>45541</v>
      </c>
      <c r="R594" s="159" t="s">
        <v>700</v>
      </c>
      <c r="S594" s="159" t="s">
        <v>701</v>
      </c>
      <c r="T594" s="164" t="s">
        <v>802</v>
      </c>
      <c r="U594" s="122">
        <v>78077600</v>
      </c>
      <c r="V594" s="123">
        <v>0</v>
      </c>
      <c r="W594" s="36">
        <f>Table2[[#This Row],[Construction Contract Amount]]+Table2[[#This Row],[Cumulative Variations]]</f>
        <v>78077600</v>
      </c>
      <c r="X594" s="123">
        <v>1576709</v>
      </c>
      <c r="Y594" s="201"/>
      <c r="Z594" s="36">
        <f>Table2[[#This Row],[Final Contract Value]]+Table2[[#This Row],[Supervision Contract amount]]+Table2[[#This Row],[Authority Cost]]</f>
        <v>79654309</v>
      </c>
      <c r="AA594" s="123">
        <v>10862786.894588601</v>
      </c>
      <c r="AB594" s="123">
        <f t="shared" si="31"/>
        <v>180000</v>
      </c>
      <c r="AC594" s="102" t="str">
        <f t="shared" si="32"/>
        <v>https://drive.google.com/thumbnail?id=1LGG-xHMY2FIvsrUQHdBsimZyc6oVwUHI&amp;sz=w1000</v>
      </c>
      <c r="AD594" s="90" t="s">
        <v>818</v>
      </c>
      <c r="AE594" s="103" t="str">
        <f t="shared" si="33"/>
        <v>https://drive.google.com/thumbnail?id=1Fr7FnU1zhPXLqSCHSNAy1t-LB8P_O5uZ&amp;sz=w1000</v>
      </c>
      <c r="AF594" s="90" t="s">
        <v>834</v>
      </c>
      <c r="AG594" s="90" t="str">
        <f t="shared" si="34"/>
        <v>https://drive.google.com/thumbnail?id=1bB7YXERU6N6l2CgGXhfHlbgLBpqYC7xS&amp;sz=w1000</v>
      </c>
      <c r="AH594" s="90" t="s">
        <v>850</v>
      </c>
    </row>
    <row r="595" spans="1:34" ht="22.15" customHeight="1">
      <c r="A595" s="187">
        <v>45541</v>
      </c>
      <c r="B595" s="17" t="s">
        <v>260</v>
      </c>
      <c r="C595" s="17" t="s">
        <v>262</v>
      </c>
      <c r="D595" s="16" t="str" cm="1">
        <f t="array" ref="D595">_xlfn.XLOOKUP(1, (Table1[Project Name]=Table2[[#This Row],[Project ID]])*(Table1[Plot]=Table2[[#This Row],[Plot]]), Table1[Project ID])</f>
        <v>SC-06</v>
      </c>
      <c r="E595" s="69">
        <v>355</v>
      </c>
      <c r="F595" s="70">
        <v>192</v>
      </c>
      <c r="G595" s="69">
        <f>Table2[[#This Row],[Time Elapsed]]+Table2[[#This Row],[Time Remaining]]</f>
        <v>547</v>
      </c>
      <c r="H595" s="70" t="s">
        <v>772</v>
      </c>
      <c r="I595" s="70" t="s">
        <v>693</v>
      </c>
      <c r="J595" s="160">
        <v>0.27010000000000001</v>
      </c>
      <c r="K595" s="161">
        <v>0.20780000000000001</v>
      </c>
      <c r="L595" s="13">
        <f>Table2[[#This Row],[Actual %]]-Table2[[#This Row],[Plan %]]</f>
        <v>-6.2299999999999994E-2</v>
      </c>
      <c r="M595" s="165" t="s">
        <v>704</v>
      </c>
      <c r="N595" s="197">
        <v>45603</v>
      </c>
      <c r="O595" s="197" t="s">
        <v>796</v>
      </c>
      <c r="P595" s="197">
        <v>45588</v>
      </c>
      <c r="Q595" s="198">
        <v>45541</v>
      </c>
      <c r="R595" s="159" t="s">
        <v>700</v>
      </c>
      <c r="S595" s="159" t="s">
        <v>701</v>
      </c>
      <c r="T595" s="164" t="s">
        <v>802</v>
      </c>
      <c r="U595" s="122">
        <v>78077600</v>
      </c>
      <c r="V595" s="123">
        <v>0</v>
      </c>
      <c r="W595" s="36">
        <f>Table2[[#This Row],[Construction Contract Amount]]+Table2[[#This Row],[Cumulative Variations]]</f>
        <v>78077600</v>
      </c>
      <c r="X595" s="123">
        <v>1576709</v>
      </c>
      <c r="Y595" s="201"/>
      <c r="Z595" s="36">
        <f>Table2[[#This Row],[Final Contract Value]]+Table2[[#This Row],[Supervision Contract amount]]+Table2[[#This Row],[Authority Cost]]</f>
        <v>79654309</v>
      </c>
      <c r="AA595" s="123">
        <v>10862786.894588601</v>
      </c>
      <c r="AB595" s="123">
        <f t="shared" si="31"/>
        <v>180000</v>
      </c>
      <c r="AC595" s="102" t="str">
        <f t="shared" si="32"/>
        <v>https://drive.google.com/thumbnail?id=1LGG-xHMY2FIvsrUQHdBsimZyc6oVwUHI&amp;sz=w1000</v>
      </c>
      <c r="AD595" s="90" t="s">
        <v>818</v>
      </c>
      <c r="AE595" s="103" t="str">
        <f t="shared" si="33"/>
        <v>https://drive.google.com/thumbnail?id=1Fr7FnU1zhPXLqSCHSNAy1t-LB8P_O5uZ&amp;sz=w1000</v>
      </c>
      <c r="AF595" s="90" t="s">
        <v>834</v>
      </c>
      <c r="AG595" s="90" t="str">
        <f t="shared" si="34"/>
        <v>https://drive.google.com/thumbnail?id=1bB7YXERU6N6l2CgGXhfHlbgLBpqYC7xS&amp;sz=w1000</v>
      </c>
      <c r="AH595" s="90" t="s">
        <v>850</v>
      </c>
    </row>
    <row r="596" spans="1:34" ht="22.15" customHeight="1">
      <c r="A596" s="187">
        <v>45541</v>
      </c>
      <c r="B596" s="17" t="s">
        <v>260</v>
      </c>
      <c r="C596" s="17" t="s">
        <v>262</v>
      </c>
      <c r="D596" s="16" t="str" cm="1">
        <f t="array" ref="D596">_xlfn.XLOOKUP(1, (Table1[Project Name]=Table2[[#This Row],[Project ID]])*(Table1[Plot]=Table2[[#This Row],[Plot]]), Table1[Project ID])</f>
        <v>SC-06</v>
      </c>
      <c r="E596" s="69">
        <v>355</v>
      </c>
      <c r="F596" s="70">
        <v>192</v>
      </c>
      <c r="G596" s="69">
        <f>Table2[[#This Row],[Time Elapsed]]+Table2[[#This Row],[Time Remaining]]</f>
        <v>547</v>
      </c>
      <c r="H596" s="70" t="s">
        <v>772</v>
      </c>
      <c r="I596" s="70" t="s">
        <v>693</v>
      </c>
      <c r="J596" s="160">
        <v>0.27010000000000001</v>
      </c>
      <c r="K596" s="161">
        <v>0.20780000000000001</v>
      </c>
      <c r="L596" s="13">
        <f>Table2[[#This Row],[Actual %]]-Table2[[#This Row],[Plan %]]</f>
        <v>-6.2299999999999994E-2</v>
      </c>
      <c r="M596" s="165" t="s">
        <v>705</v>
      </c>
      <c r="N596" s="197">
        <v>45510</v>
      </c>
      <c r="O596" s="197">
        <v>45486</v>
      </c>
      <c r="P596" s="197" t="s">
        <v>796</v>
      </c>
      <c r="Q596" s="198">
        <v>45541</v>
      </c>
      <c r="R596" s="159" t="s">
        <v>700</v>
      </c>
      <c r="S596" s="159" t="s">
        <v>701</v>
      </c>
      <c r="T596" s="164" t="s">
        <v>802</v>
      </c>
      <c r="U596" s="122">
        <v>78077600</v>
      </c>
      <c r="V596" s="123">
        <v>0</v>
      </c>
      <c r="W596" s="36">
        <f>Table2[[#This Row],[Construction Contract Amount]]+Table2[[#This Row],[Cumulative Variations]]</f>
        <v>78077600</v>
      </c>
      <c r="X596" s="123">
        <v>1576709</v>
      </c>
      <c r="Y596" s="201"/>
      <c r="Z596" s="36">
        <f>Table2[[#This Row],[Final Contract Value]]+Table2[[#This Row],[Supervision Contract amount]]+Table2[[#This Row],[Authority Cost]]</f>
        <v>79654309</v>
      </c>
      <c r="AA596" s="123">
        <v>10862786.894588601</v>
      </c>
      <c r="AB596" s="123">
        <f t="shared" si="31"/>
        <v>180000</v>
      </c>
      <c r="AC596" s="102" t="str">
        <f t="shared" si="32"/>
        <v>https://drive.google.com/thumbnail?id=1LGG-xHMY2FIvsrUQHdBsimZyc6oVwUHI&amp;sz=w1000</v>
      </c>
      <c r="AD596" s="90" t="s">
        <v>818</v>
      </c>
      <c r="AE596" s="103" t="str">
        <f t="shared" si="33"/>
        <v>https://drive.google.com/thumbnail?id=1Fr7FnU1zhPXLqSCHSNAy1t-LB8P_O5uZ&amp;sz=w1000</v>
      </c>
      <c r="AF596" s="90" t="s">
        <v>834</v>
      </c>
      <c r="AG596" s="90" t="str">
        <f t="shared" si="34"/>
        <v>https://drive.google.com/thumbnail?id=1bB7YXERU6N6l2CgGXhfHlbgLBpqYC7xS&amp;sz=w1000</v>
      </c>
      <c r="AH596" s="90" t="s">
        <v>850</v>
      </c>
    </row>
    <row r="597" spans="1:34" ht="22.15" customHeight="1">
      <c r="A597" s="187">
        <v>45541</v>
      </c>
      <c r="B597" s="17" t="s">
        <v>260</v>
      </c>
      <c r="C597" s="17" t="s">
        <v>262</v>
      </c>
      <c r="D597" s="16" t="str" cm="1">
        <f t="array" ref="D597">_xlfn.XLOOKUP(1, (Table1[Project Name]=Table2[[#This Row],[Project ID]])*(Table1[Plot]=Table2[[#This Row],[Plot]]), Table1[Project ID])</f>
        <v>SC-06</v>
      </c>
      <c r="E597" s="69">
        <v>355</v>
      </c>
      <c r="F597" s="70">
        <v>192</v>
      </c>
      <c r="G597" s="69">
        <f>Table2[[#This Row],[Time Elapsed]]+Table2[[#This Row],[Time Remaining]]</f>
        <v>547</v>
      </c>
      <c r="H597" s="70" t="s">
        <v>772</v>
      </c>
      <c r="I597" s="70" t="s">
        <v>693</v>
      </c>
      <c r="J597" s="160">
        <v>0.27010000000000001</v>
      </c>
      <c r="K597" s="161">
        <v>0.20780000000000001</v>
      </c>
      <c r="L597" s="13">
        <f>Table2[[#This Row],[Actual %]]-Table2[[#This Row],[Plan %]]</f>
        <v>-6.2299999999999994E-2</v>
      </c>
      <c r="M597" s="165" t="s">
        <v>706</v>
      </c>
      <c r="N597" s="197">
        <v>45596</v>
      </c>
      <c r="O597" s="197" t="s">
        <v>796</v>
      </c>
      <c r="P597" s="197">
        <v>45591</v>
      </c>
      <c r="Q597" s="198">
        <v>45541</v>
      </c>
      <c r="R597" s="159" t="s">
        <v>700</v>
      </c>
      <c r="S597" s="159" t="s">
        <v>701</v>
      </c>
      <c r="T597" s="164" t="s">
        <v>802</v>
      </c>
      <c r="U597" s="122">
        <v>78077600</v>
      </c>
      <c r="V597" s="123">
        <v>0</v>
      </c>
      <c r="W597" s="36">
        <f>Table2[[#This Row],[Construction Contract Amount]]+Table2[[#This Row],[Cumulative Variations]]</f>
        <v>78077600</v>
      </c>
      <c r="X597" s="123">
        <v>1576709</v>
      </c>
      <c r="Y597" s="201"/>
      <c r="Z597" s="36">
        <f>Table2[[#This Row],[Final Contract Value]]+Table2[[#This Row],[Supervision Contract amount]]+Table2[[#This Row],[Authority Cost]]</f>
        <v>79654309</v>
      </c>
      <c r="AA597" s="123">
        <v>10862786.894588601</v>
      </c>
      <c r="AB597" s="123">
        <f t="shared" si="31"/>
        <v>180000</v>
      </c>
      <c r="AC597" s="102" t="str">
        <f t="shared" si="32"/>
        <v>https://drive.google.com/thumbnail?id=1LGG-xHMY2FIvsrUQHdBsimZyc6oVwUHI&amp;sz=w1000</v>
      </c>
      <c r="AD597" s="90" t="s">
        <v>818</v>
      </c>
      <c r="AE597" s="103" t="str">
        <f t="shared" si="33"/>
        <v>https://drive.google.com/thumbnail?id=1Fr7FnU1zhPXLqSCHSNAy1t-LB8P_O5uZ&amp;sz=w1000</v>
      </c>
      <c r="AF597" s="90" t="s">
        <v>834</v>
      </c>
      <c r="AG597" s="90" t="str">
        <f t="shared" si="34"/>
        <v>https://drive.google.com/thumbnail?id=1bB7YXERU6N6l2CgGXhfHlbgLBpqYC7xS&amp;sz=w1000</v>
      </c>
      <c r="AH597" s="90" t="s">
        <v>850</v>
      </c>
    </row>
    <row r="598" spans="1:34" ht="22.15" customHeight="1">
      <c r="A598" s="187">
        <v>45541</v>
      </c>
      <c r="B598" s="17" t="s">
        <v>260</v>
      </c>
      <c r="C598" s="17" t="s">
        <v>262</v>
      </c>
      <c r="D598" s="16" t="str" cm="1">
        <f t="array" ref="D598">_xlfn.XLOOKUP(1, (Table1[Project Name]=Table2[[#This Row],[Project ID]])*(Table1[Plot]=Table2[[#This Row],[Plot]]), Table1[Project ID])</f>
        <v>SC-06</v>
      </c>
      <c r="E598" s="69">
        <v>355</v>
      </c>
      <c r="F598" s="70">
        <v>192</v>
      </c>
      <c r="G598" s="69">
        <f>Table2[[#This Row],[Time Elapsed]]+Table2[[#This Row],[Time Remaining]]</f>
        <v>547</v>
      </c>
      <c r="H598" s="70" t="s">
        <v>772</v>
      </c>
      <c r="I598" s="70" t="s">
        <v>693</v>
      </c>
      <c r="J598" s="160">
        <v>0.27010000000000001</v>
      </c>
      <c r="K598" s="161">
        <v>0.20780000000000001</v>
      </c>
      <c r="L598" s="13">
        <f>Table2[[#This Row],[Actual %]]-Table2[[#This Row],[Plan %]]</f>
        <v>-6.2299999999999994E-2</v>
      </c>
      <c r="M598" s="165" t="s">
        <v>280</v>
      </c>
      <c r="N598" s="197">
        <v>45682</v>
      </c>
      <c r="O598" s="197" t="s">
        <v>796</v>
      </c>
      <c r="P598" s="197">
        <v>45792</v>
      </c>
      <c r="Q598" s="198">
        <v>45541</v>
      </c>
      <c r="R598" s="159" t="s">
        <v>700</v>
      </c>
      <c r="S598" s="159" t="s">
        <v>701</v>
      </c>
      <c r="T598" s="164" t="s">
        <v>802</v>
      </c>
      <c r="U598" s="122">
        <v>78077600</v>
      </c>
      <c r="V598" s="123">
        <v>0</v>
      </c>
      <c r="W598" s="36">
        <f>Table2[[#This Row],[Construction Contract Amount]]+Table2[[#This Row],[Cumulative Variations]]</f>
        <v>78077600</v>
      </c>
      <c r="X598" s="123">
        <v>1576709</v>
      </c>
      <c r="Y598" s="201"/>
      <c r="Z598" s="36">
        <f>Table2[[#This Row],[Final Contract Value]]+Table2[[#This Row],[Supervision Contract amount]]+Table2[[#This Row],[Authority Cost]]</f>
        <v>79654309</v>
      </c>
      <c r="AA598" s="123">
        <v>10862786.894588601</v>
      </c>
      <c r="AB598" s="123">
        <f t="shared" si="31"/>
        <v>180000</v>
      </c>
      <c r="AC598" s="102" t="str">
        <f t="shared" si="32"/>
        <v>https://drive.google.com/thumbnail?id=1LGG-xHMY2FIvsrUQHdBsimZyc6oVwUHI&amp;sz=w1000</v>
      </c>
      <c r="AD598" s="90" t="s">
        <v>818</v>
      </c>
      <c r="AE598" s="103" t="str">
        <f t="shared" si="33"/>
        <v>https://drive.google.com/thumbnail?id=1Fr7FnU1zhPXLqSCHSNAy1t-LB8P_O5uZ&amp;sz=w1000</v>
      </c>
      <c r="AF598" s="90" t="s">
        <v>834</v>
      </c>
      <c r="AG598" s="90" t="str">
        <f t="shared" si="34"/>
        <v>https://drive.google.com/thumbnail?id=1bB7YXERU6N6l2CgGXhfHlbgLBpqYC7xS&amp;sz=w1000</v>
      </c>
      <c r="AH598" s="90" t="s">
        <v>850</v>
      </c>
    </row>
    <row r="599" spans="1:34" ht="22.15" customHeight="1">
      <c r="A599" s="187">
        <v>45541</v>
      </c>
      <c r="B599" s="17" t="s">
        <v>260</v>
      </c>
      <c r="C599" s="17" t="s">
        <v>262</v>
      </c>
      <c r="D599" s="16" t="str" cm="1">
        <f t="array" ref="D599">_xlfn.XLOOKUP(1, (Table1[Project Name]=Table2[[#This Row],[Project ID]])*(Table1[Plot]=Table2[[#This Row],[Plot]]), Table1[Project ID])</f>
        <v>SC-06</v>
      </c>
      <c r="E599" s="69">
        <v>355</v>
      </c>
      <c r="F599" s="70">
        <v>192</v>
      </c>
      <c r="G599" s="69">
        <f>Table2[[#This Row],[Time Elapsed]]+Table2[[#This Row],[Time Remaining]]</f>
        <v>547</v>
      </c>
      <c r="H599" s="70" t="s">
        <v>772</v>
      </c>
      <c r="I599" s="70" t="s">
        <v>693</v>
      </c>
      <c r="J599" s="160">
        <v>0.27010000000000001</v>
      </c>
      <c r="K599" s="161">
        <v>0.20780000000000001</v>
      </c>
      <c r="L599" s="13">
        <f>Table2[[#This Row],[Actual %]]-Table2[[#This Row],[Plan %]]</f>
        <v>-6.2299999999999994E-2</v>
      </c>
      <c r="M599" s="165" t="s">
        <v>343</v>
      </c>
      <c r="N599" s="197">
        <v>45701</v>
      </c>
      <c r="O599" s="197" t="s">
        <v>796</v>
      </c>
      <c r="P599" s="197">
        <v>45803</v>
      </c>
      <c r="Q599" s="198">
        <v>45541</v>
      </c>
      <c r="R599" s="159" t="s">
        <v>700</v>
      </c>
      <c r="S599" s="159" t="s">
        <v>701</v>
      </c>
      <c r="T599" s="164" t="s">
        <v>802</v>
      </c>
      <c r="U599" s="122">
        <v>78077600</v>
      </c>
      <c r="V599" s="123">
        <v>0</v>
      </c>
      <c r="W599" s="36">
        <f>Table2[[#This Row],[Construction Contract Amount]]+Table2[[#This Row],[Cumulative Variations]]</f>
        <v>78077600</v>
      </c>
      <c r="X599" s="123">
        <v>1576709</v>
      </c>
      <c r="Y599" s="201"/>
      <c r="Z599" s="36">
        <f>Table2[[#This Row],[Final Contract Value]]+Table2[[#This Row],[Supervision Contract amount]]+Table2[[#This Row],[Authority Cost]]</f>
        <v>79654309</v>
      </c>
      <c r="AA599" s="123">
        <v>10862786.894588601</v>
      </c>
      <c r="AB599" s="123">
        <f t="shared" si="31"/>
        <v>180000</v>
      </c>
      <c r="AC599" s="102" t="str">
        <f t="shared" si="32"/>
        <v>https://drive.google.com/thumbnail?id=1LGG-xHMY2FIvsrUQHdBsimZyc6oVwUHI&amp;sz=w1000</v>
      </c>
      <c r="AD599" s="90" t="s">
        <v>818</v>
      </c>
      <c r="AE599" s="103" t="str">
        <f t="shared" si="33"/>
        <v>https://drive.google.com/thumbnail?id=1Fr7FnU1zhPXLqSCHSNAy1t-LB8P_O5uZ&amp;sz=w1000</v>
      </c>
      <c r="AF599" s="90" t="s">
        <v>834</v>
      </c>
      <c r="AG599" s="90" t="str">
        <f t="shared" si="34"/>
        <v>https://drive.google.com/thumbnail?id=1bB7YXERU6N6l2CgGXhfHlbgLBpqYC7xS&amp;sz=w1000</v>
      </c>
      <c r="AH599" s="90" t="s">
        <v>850</v>
      </c>
    </row>
    <row r="600" spans="1:34" ht="22.15" customHeight="1">
      <c r="A600" s="187">
        <v>45541</v>
      </c>
      <c r="B600" s="17" t="s">
        <v>260</v>
      </c>
      <c r="C600" s="17" t="s">
        <v>262</v>
      </c>
      <c r="D600" s="16" t="str" cm="1">
        <f t="array" ref="D600">_xlfn.XLOOKUP(1, (Table1[Project Name]=Table2[[#This Row],[Project ID]])*(Table1[Plot]=Table2[[#This Row],[Plot]]), Table1[Project ID])</f>
        <v>SC-06</v>
      </c>
      <c r="E600" s="69">
        <v>355</v>
      </c>
      <c r="F600" s="70">
        <v>192</v>
      </c>
      <c r="G600" s="69">
        <f>Table2[[#This Row],[Time Elapsed]]+Table2[[#This Row],[Time Remaining]]</f>
        <v>547</v>
      </c>
      <c r="H600" s="70" t="s">
        <v>772</v>
      </c>
      <c r="I600" s="70" t="s">
        <v>693</v>
      </c>
      <c r="J600" s="160">
        <v>0.27010000000000001</v>
      </c>
      <c r="K600" s="161">
        <v>0.20780000000000001</v>
      </c>
      <c r="L600" s="13">
        <f>Table2[[#This Row],[Actual %]]-Table2[[#This Row],[Plan %]]</f>
        <v>-6.2299999999999994E-2</v>
      </c>
      <c r="M600" s="165" t="s">
        <v>344</v>
      </c>
      <c r="N600" s="197">
        <v>45720</v>
      </c>
      <c r="O600" s="197" t="s">
        <v>796</v>
      </c>
      <c r="P600" s="197">
        <v>45824</v>
      </c>
      <c r="Q600" s="198">
        <v>45541</v>
      </c>
      <c r="R600" s="159" t="s">
        <v>700</v>
      </c>
      <c r="S600" s="159" t="s">
        <v>701</v>
      </c>
      <c r="T600" s="164" t="s">
        <v>802</v>
      </c>
      <c r="U600" s="122">
        <v>78077600</v>
      </c>
      <c r="V600" s="123">
        <v>0</v>
      </c>
      <c r="W600" s="36">
        <f>Table2[[#This Row],[Construction Contract Amount]]+Table2[[#This Row],[Cumulative Variations]]</f>
        <v>78077600</v>
      </c>
      <c r="X600" s="123">
        <v>1576709</v>
      </c>
      <c r="Y600" s="201"/>
      <c r="Z600" s="36">
        <f>Table2[[#This Row],[Final Contract Value]]+Table2[[#This Row],[Supervision Contract amount]]+Table2[[#This Row],[Authority Cost]]</f>
        <v>79654309</v>
      </c>
      <c r="AA600" s="123">
        <v>10862786.894588601</v>
      </c>
      <c r="AB600" s="123">
        <f t="shared" ref="AB600:AB612" si="35">0.18*1000000</f>
        <v>180000</v>
      </c>
      <c r="AC600" s="102" t="str">
        <f t="shared" si="32"/>
        <v>https://drive.google.com/thumbnail?id=1LGG-xHMY2FIvsrUQHdBsimZyc6oVwUHI&amp;sz=w1000</v>
      </c>
      <c r="AD600" s="90" t="s">
        <v>818</v>
      </c>
      <c r="AE600" s="103" t="str">
        <f t="shared" si="33"/>
        <v>https://drive.google.com/thumbnail?id=1Fr7FnU1zhPXLqSCHSNAy1t-LB8P_O5uZ&amp;sz=w1000</v>
      </c>
      <c r="AF600" s="90" t="s">
        <v>834</v>
      </c>
      <c r="AG600" s="90" t="str">
        <f t="shared" si="34"/>
        <v>https://drive.google.com/thumbnail?id=1bB7YXERU6N6l2CgGXhfHlbgLBpqYC7xS&amp;sz=w1000</v>
      </c>
      <c r="AH600" s="90" t="s">
        <v>850</v>
      </c>
    </row>
    <row r="601" spans="1:34" ht="22.15" customHeight="1">
      <c r="A601" s="187">
        <v>45541</v>
      </c>
      <c r="B601" s="17" t="s">
        <v>260</v>
      </c>
      <c r="C601" s="17" t="s">
        <v>262</v>
      </c>
      <c r="D601" s="16" t="str" cm="1">
        <f t="array" ref="D601">_xlfn.XLOOKUP(1, (Table1[Project Name]=Table2[[#This Row],[Project ID]])*(Table1[Plot]=Table2[[#This Row],[Plot]]), Table1[Project ID])</f>
        <v>SC-06</v>
      </c>
      <c r="E601" s="69">
        <v>355</v>
      </c>
      <c r="F601" s="70">
        <v>192</v>
      </c>
      <c r="G601" s="69">
        <f>Table2[[#This Row],[Time Elapsed]]+Table2[[#This Row],[Time Remaining]]</f>
        <v>547</v>
      </c>
      <c r="H601" s="70" t="s">
        <v>772</v>
      </c>
      <c r="I601" s="70" t="s">
        <v>693</v>
      </c>
      <c r="J601" s="160">
        <v>0.27010000000000001</v>
      </c>
      <c r="K601" s="161">
        <v>0.20780000000000001</v>
      </c>
      <c r="L601" s="13">
        <f>Table2[[#This Row],[Actual %]]-Table2[[#This Row],[Plan %]]</f>
        <v>-6.2299999999999994E-2</v>
      </c>
      <c r="M601" s="165" t="s">
        <v>302</v>
      </c>
      <c r="N601" s="197">
        <v>45733</v>
      </c>
      <c r="O601" s="197" t="s">
        <v>796</v>
      </c>
      <c r="P601" s="197">
        <v>45838</v>
      </c>
      <c r="Q601" s="198">
        <v>45541</v>
      </c>
      <c r="R601" s="159" t="s">
        <v>700</v>
      </c>
      <c r="S601" s="159" t="s">
        <v>701</v>
      </c>
      <c r="T601" s="164" t="s">
        <v>802</v>
      </c>
      <c r="U601" s="122">
        <v>78077600</v>
      </c>
      <c r="V601" s="123">
        <v>0</v>
      </c>
      <c r="W601" s="36">
        <f>Table2[[#This Row],[Construction Contract Amount]]+Table2[[#This Row],[Cumulative Variations]]</f>
        <v>78077600</v>
      </c>
      <c r="X601" s="123">
        <v>1576709</v>
      </c>
      <c r="Y601" s="201"/>
      <c r="Z601" s="36">
        <f>Table2[[#This Row],[Final Contract Value]]+Table2[[#This Row],[Supervision Contract amount]]+Table2[[#This Row],[Authority Cost]]</f>
        <v>79654309</v>
      </c>
      <c r="AA601" s="123">
        <v>10862786.894588601</v>
      </c>
      <c r="AB601" s="123">
        <f t="shared" si="35"/>
        <v>180000</v>
      </c>
      <c r="AC601" s="102" t="str">
        <f t="shared" si="32"/>
        <v>https://drive.google.com/thumbnail?id=1LGG-xHMY2FIvsrUQHdBsimZyc6oVwUHI&amp;sz=w1000</v>
      </c>
      <c r="AD601" s="90" t="s">
        <v>818</v>
      </c>
      <c r="AE601" s="103" t="str">
        <f t="shared" si="33"/>
        <v>https://drive.google.com/thumbnail?id=1Fr7FnU1zhPXLqSCHSNAy1t-LB8P_O5uZ&amp;sz=w1000</v>
      </c>
      <c r="AF601" s="90" t="s">
        <v>834</v>
      </c>
      <c r="AG601" s="90" t="str">
        <f t="shared" si="34"/>
        <v>https://drive.google.com/thumbnail?id=1bB7YXERU6N6l2CgGXhfHlbgLBpqYC7xS&amp;sz=w1000</v>
      </c>
      <c r="AH601" s="90" t="s">
        <v>850</v>
      </c>
    </row>
    <row r="602" spans="1:34" ht="22.15" customHeight="1">
      <c r="A602" s="187">
        <v>45541</v>
      </c>
      <c r="B602" s="17" t="s">
        <v>264</v>
      </c>
      <c r="C602" s="17" t="s">
        <v>266</v>
      </c>
      <c r="D602" s="16" t="str" cm="1">
        <f t="array" ref="D602">_xlfn.XLOOKUP(1, (Table1[Project Name]=Table2[[#This Row],[Project ID]])*(Table1[Plot]=Table2[[#This Row],[Plot]]), Table1[Project ID])</f>
        <v>SC-07</v>
      </c>
      <c r="E602" s="69">
        <v>355</v>
      </c>
      <c r="F602" s="70">
        <v>192</v>
      </c>
      <c r="G602" s="69">
        <f>Table2[[#This Row],[Time Elapsed]]+Table2[[#This Row],[Time Remaining]]</f>
        <v>547</v>
      </c>
      <c r="H602" s="70" t="s">
        <v>773</v>
      </c>
      <c r="I602" s="70" t="s">
        <v>693</v>
      </c>
      <c r="J602" s="160">
        <v>0.27010000000000001</v>
      </c>
      <c r="K602" s="161">
        <v>0.25</v>
      </c>
      <c r="L602" s="13">
        <f>Table2[[#This Row],[Actual %]]-Table2[[#This Row],[Plan %]]</f>
        <v>-2.0100000000000007E-2</v>
      </c>
      <c r="M602" s="163" t="s">
        <v>285</v>
      </c>
      <c r="N602" s="197">
        <v>45187</v>
      </c>
      <c r="O602" s="197">
        <v>45195</v>
      </c>
      <c r="P602" s="197" t="s">
        <v>796</v>
      </c>
      <c r="Q602" s="198">
        <v>45541</v>
      </c>
      <c r="R602" s="159" t="s">
        <v>700</v>
      </c>
      <c r="S602" s="159" t="s">
        <v>701</v>
      </c>
      <c r="T602" s="164" t="s">
        <v>803</v>
      </c>
      <c r="U602" s="122">
        <v>78077600</v>
      </c>
      <c r="V602" s="123">
        <v>0</v>
      </c>
      <c r="W602" s="36">
        <f>Table2[[#This Row],[Construction Contract Amount]]+Table2[[#This Row],[Cumulative Variations]]</f>
        <v>78077600</v>
      </c>
      <c r="X602" s="123">
        <v>1576709</v>
      </c>
      <c r="Y602" s="201"/>
      <c r="Z602" s="36">
        <f>Table2[[#This Row],[Final Contract Value]]+Table2[[#This Row],[Supervision Contract amount]]+Table2[[#This Row],[Authority Cost]]</f>
        <v>79654309</v>
      </c>
      <c r="AA602" s="123">
        <v>11500494.390483664</v>
      </c>
      <c r="AB602" s="123">
        <f t="shared" si="35"/>
        <v>180000</v>
      </c>
      <c r="AC602" s="102" t="str">
        <f t="shared" si="32"/>
        <v>https://drive.google.com/thumbnail?id=1bSZghuFPNMDy724R2VmzwB1Jr2rl9y3T&amp;sz=w1000</v>
      </c>
      <c r="AD602" s="90" t="s">
        <v>819</v>
      </c>
      <c r="AE602" s="103" t="str">
        <f t="shared" si="33"/>
        <v>https://drive.google.com/thumbnail?id=18HTGOY9i7bxWMrMLMgWvctC0TQbGDm_d&amp;sz=w1000</v>
      </c>
      <c r="AF602" s="90" t="s">
        <v>835</v>
      </c>
      <c r="AG602" s="90" t="str">
        <f t="shared" si="34"/>
        <v>https://drive.google.com/thumbnail?id=1nxqhANLSmBJ-olV0_wGYRyXJpm4XiNGD&amp;sz=w1000</v>
      </c>
      <c r="AH602" s="90" t="s">
        <v>851</v>
      </c>
    </row>
    <row r="603" spans="1:34" ht="22.15" customHeight="1">
      <c r="A603" s="187">
        <v>45541</v>
      </c>
      <c r="B603" s="17" t="s">
        <v>264</v>
      </c>
      <c r="C603" s="17" t="s">
        <v>266</v>
      </c>
      <c r="D603" s="16" t="str" cm="1">
        <f t="array" ref="D603">_xlfn.XLOOKUP(1, (Table1[Project Name]=Table2[[#This Row],[Project ID]])*(Table1[Plot]=Table2[[#This Row],[Plot]]), Table1[Project ID])</f>
        <v>SC-07</v>
      </c>
      <c r="E603" s="69">
        <v>355</v>
      </c>
      <c r="F603" s="70">
        <v>192</v>
      </c>
      <c r="G603" s="69">
        <f>Table2[[#This Row],[Time Elapsed]]+Table2[[#This Row],[Time Remaining]]</f>
        <v>547</v>
      </c>
      <c r="H603" s="70" t="s">
        <v>773</v>
      </c>
      <c r="I603" s="70" t="s">
        <v>693</v>
      </c>
      <c r="J603" s="160">
        <v>0.27010000000000001</v>
      </c>
      <c r="K603" s="161">
        <v>0.25</v>
      </c>
      <c r="L603" s="13">
        <f>Table2[[#This Row],[Actual %]]-Table2[[#This Row],[Plan %]]</f>
        <v>-2.0100000000000007E-2</v>
      </c>
      <c r="M603" s="165" t="s">
        <v>51</v>
      </c>
      <c r="N603" s="197">
        <v>45220</v>
      </c>
      <c r="O603" s="197">
        <v>45304</v>
      </c>
      <c r="P603" s="197" t="s">
        <v>796</v>
      </c>
      <c r="Q603" s="198">
        <v>45541</v>
      </c>
      <c r="R603" s="159" t="s">
        <v>700</v>
      </c>
      <c r="S603" s="159" t="s">
        <v>701</v>
      </c>
      <c r="T603" s="164" t="s">
        <v>803</v>
      </c>
      <c r="U603" s="122">
        <v>78077600</v>
      </c>
      <c r="V603" s="123">
        <v>0</v>
      </c>
      <c r="W603" s="36">
        <f>Table2[[#This Row],[Construction Contract Amount]]+Table2[[#This Row],[Cumulative Variations]]</f>
        <v>78077600</v>
      </c>
      <c r="X603" s="123">
        <v>1576709</v>
      </c>
      <c r="Y603" s="201"/>
      <c r="Z603" s="36">
        <f>Table2[[#This Row],[Final Contract Value]]+Table2[[#This Row],[Supervision Contract amount]]+Table2[[#This Row],[Authority Cost]]</f>
        <v>79654309</v>
      </c>
      <c r="AA603" s="123">
        <v>11500494.390483664</v>
      </c>
      <c r="AB603" s="123">
        <f t="shared" si="35"/>
        <v>180000</v>
      </c>
      <c r="AC603" s="102" t="str">
        <f t="shared" si="32"/>
        <v>https://drive.google.com/thumbnail?id=1bSZghuFPNMDy724R2VmzwB1Jr2rl9y3T&amp;sz=w1000</v>
      </c>
      <c r="AD603" s="90" t="s">
        <v>819</v>
      </c>
      <c r="AE603" s="103" t="str">
        <f t="shared" si="33"/>
        <v>https://drive.google.com/thumbnail?id=18HTGOY9i7bxWMrMLMgWvctC0TQbGDm_d&amp;sz=w1000</v>
      </c>
      <c r="AF603" s="90" t="s">
        <v>835</v>
      </c>
      <c r="AG603" s="90" t="str">
        <f t="shared" si="34"/>
        <v>https://drive.google.com/thumbnail?id=1nxqhANLSmBJ-olV0_wGYRyXJpm4XiNGD&amp;sz=w1000</v>
      </c>
      <c r="AH603" s="90" t="s">
        <v>851</v>
      </c>
    </row>
    <row r="604" spans="1:34" ht="22.15" customHeight="1">
      <c r="A604" s="187">
        <v>45541</v>
      </c>
      <c r="B604" s="17" t="s">
        <v>264</v>
      </c>
      <c r="C604" s="17" t="s">
        <v>266</v>
      </c>
      <c r="D604" s="16" t="str" cm="1">
        <f t="array" ref="D604">_xlfn.XLOOKUP(1, (Table1[Project Name]=Table2[[#This Row],[Project ID]])*(Table1[Plot]=Table2[[#This Row],[Plot]]), Table1[Project ID])</f>
        <v>SC-07</v>
      </c>
      <c r="E604" s="69">
        <v>355</v>
      </c>
      <c r="F604" s="70">
        <v>192</v>
      </c>
      <c r="G604" s="69">
        <f>Table2[[#This Row],[Time Elapsed]]+Table2[[#This Row],[Time Remaining]]</f>
        <v>547</v>
      </c>
      <c r="H604" s="70" t="s">
        <v>773</v>
      </c>
      <c r="I604" s="70" t="s">
        <v>693</v>
      </c>
      <c r="J604" s="160">
        <v>0.27010000000000001</v>
      </c>
      <c r="K604" s="161">
        <v>0.25</v>
      </c>
      <c r="L604" s="13">
        <f>Table2[[#This Row],[Actual %]]-Table2[[#This Row],[Plan %]]</f>
        <v>-2.0100000000000007E-2</v>
      </c>
      <c r="M604" s="165" t="s">
        <v>287</v>
      </c>
      <c r="N604" s="197">
        <v>45429</v>
      </c>
      <c r="O604" s="197">
        <v>45439</v>
      </c>
      <c r="P604" s="197" t="s">
        <v>796</v>
      </c>
      <c r="Q604" s="198">
        <v>45541</v>
      </c>
      <c r="R604" s="159" t="s">
        <v>700</v>
      </c>
      <c r="S604" s="159" t="s">
        <v>701</v>
      </c>
      <c r="T604" s="164" t="s">
        <v>803</v>
      </c>
      <c r="U604" s="122">
        <v>78077600</v>
      </c>
      <c r="V604" s="123">
        <v>0</v>
      </c>
      <c r="W604" s="36">
        <f>Table2[[#This Row],[Construction Contract Amount]]+Table2[[#This Row],[Cumulative Variations]]</f>
        <v>78077600</v>
      </c>
      <c r="X604" s="123">
        <v>1576709</v>
      </c>
      <c r="Y604" s="201"/>
      <c r="Z604" s="36">
        <f>Table2[[#This Row],[Final Contract Value]]+Table2[[#This Row],[Supervision Contract amount]]+Table2[[#This Row],[Authority Cost]]</f>
        <v>79654309</v>
      </c>
      <c r="AA604" s="123">
        <v>11500494.390483664</v>
      </c>
      <c r="AB604" s="123">
        <f t="shared" si="35"/>
        <v>180000</v>
      </c>
      <c r="AC604" s="102" t="str">
        <f t="shared" si="32"/>
        <v>https://drive.google.com/thumbnail?id=1bSZghuFPNMDy724R2VmzwB1Jr2rl9y3T&amp;sz=w1000</v>
      </c>
      <c r="AD604" s="90" t="s">
        <v>819</v>
      </c>
      <c r="AE604" s="103" t="str">
        <f t="shared" si="33"/>
        <v>https://drive.google.com/thumbnail?id=18HTGOY9i7bxWMrMLMgWvctC0TQbGDm_d&amp;sz=w1000</v>
      </c>
      <c r="AF604" s="90" t="s">
        <v>835</v>
      </c>
      <c r="AG604" s="90" t="str">
        <f t="shared" si="34"/>
        <v>https://drive.google.com/thumbnail?id=1nxqhANLSmBJ-olV0_wGYRyXJpm4XiNGD&amp;sz=w1000</v>
      </c>
      <c r="AH604" s="90" t="s">
        <v>851</v>
      </c>
    </row>
    <row r="605" spans="1:34" ht="22.15" customHeight="1">
      <c r="A605" s="187">
        <v>45541</v>
      </c>
      <c r="B605" s="17" t="s">
        <v>264</v>
      </c>
      <c r="C605" s="17" t="s">
        <v>266</v>
      </c>
      <c r="D605" s="16" t="str" cm="1">
        <f t="array" ref="D605">_xlfn.XLOOKUP(1, (Table1[Project Name]=Table2[[#This Row],[Project ID]])*(Table1[Plot]=Table2[[#This Row],[Plot]]), Table1[Project ID])</f>
        <v>SC-07</v>
      </c>
      <c r="E605" s="69">
        <v>355</v>
      </c>
      <c r="F605" s="70">
        <v>192</v>
      </c>
      <c r="G605" s="69">
        <f>Table2[[#This Row],[Time Elapsed]]+Table2[[#This Row],[Time Remaining]]</f>
        <v>547</v>
      </c>
      <c r="H605" s="70" t="s">
        <v>773</v>
      </c>
      <c r="I605" s="70" t="s">
        <v>693</v>
      </c>
      <c r="J605" s="160">
        <v>0.27010000000000001</v>
      </c>
      <c r="K605" s="161">
        <v>0.25</v>
      </c>
      <c r="L605" s="13">
        <f>Table2[[#This Row],[Actual %]]-Table2[[#This Row],[Plan %]]</f>
        <v>-2.0100000000000007E-2</v>
      </c>
      <c r="M605" s="165" t="s">
        <v>703</v>
      </c>
      <c r="N605" s="197">
        <v>45510</v>
      </c>
      <c r="O605" s="197">
        <v>45525</v>
      </c>
      <c r="P605" s="197" t="s">
        <v>796</v>
      </c>
      <c r="Q605" s="198">
        <v>45541</v>
      </c>
      <c r="R605" s="159" t="s">
        <v>700</v>
      </c>
      <c r="S605" s="159" t="s">
        <v>701</v>
      </c>
      <c r="T605" s="164" t="s">
        <v>803</v>
      </c>
      <c r="U605" s="122">
        <v>78077600</v>
      </c>
      <c r="V605" s="123">
        <v>0</v>
      </c>
      <c r="W605" s="36">
        <f>Table2[[#This Row],[Construction Contract Amount]]+Table2[[#This Row],[Cumulative Variations]]</f>
        <v>78077600</v>
      </c>
      <c r="X605" s="123">
        <v>1576709</v>
      </c>
      <c r="Y605" s="201"/>
      <c r="Z605" s="36">
        <f>Table2[[#This Row],[Final Contract Value]]+Table2[[#This Row],[Supervision Contract amount]]+Table2[[#This Row],[Authority Cost]]</f>
        <v>79654309</v>
      </c>
      <c r="AA605" s="123">
        <v>11500494.390483664</v>
      </c>
      <c r="AB605" s="123">
        <f t="shared" si="35"/>
        <v>180000</v>
      </c>
      <c r="AC605" s="102" t="str">
        <f t="shared" si="32"/>
        <v>https://drive.google.com/thumbnail?id=1bSZghuFPNMDy724R2VmzwB1Jr2rl9y3T&amp;sz=w1000</v>
      </c>
      <c r="AD605" s="90" t="s">
        <v>819</v>
      </c>
      <c r="AE605" s="103" t="str">
        <f t="shared" si="33"/>
        <v>https://drive.google.com/thumbnail?id=18HTGOY9i7bxWMrMLMgWvctC0TQbGDm_d&amp;sz=w1000</v>
      </c>
      <c r="AF605" s="90" t="s">
        <v>835</v>
      </c>
      <c r="AG605" s="90" t="str">
        <f t="shared" si="34"/>
        <v>https://drive.google.com/thumbnail?id=1nxqhANLSmBJ-olV0_wGYRyXJpm4XiNGD&amp;sz=w1000</v>
      </c>
      <c r="AH605" s="90" t="s">
        <v>851</v>
      </c>
    </row>
    <row r="606" spans="1:34" ht="22.15" customHeight="1">
      <c r="A606" s="187">
        <v>45541</v>
      </c>
      <c r="B606" s="17" t="s">
        <v>264</v>
      </c>
      <c r="C606" s="17" t="s">
        <v>266</v>
      </c>
      <c r="D606" s="16" t="str" cm="1">
        <f t="array" ref="D606">_xlfn.XLOOKUP(1, (Table1[Project Name]=Table2[[#This Row],[Project ID]])*(Table1[Plot]=Table2[[#This Row],[Plot]]), Table1[Project ID])</f>
        <v>SC-07</v>
      </c>
      <c r="E606" s="69">
        <v>355</v>
      </c>
      <c r="F606" s="70">
        <v>192</v>
      </c>
      <c r="G606" s="69">
        <f>Table2[[#This Row],[Time Elapsed]]+Table2[[#This Row],[Time Remaining]]</f>
        <v>547</v>
      </c>
      <c r="H606" s="70" t="s">
        <v>773</v>
      </c>
      <c r="I606" s="70" t="s">
        <v>693</v>
      </c>
      <c r="J606" s="160">
        <v>0.27010000000000001</v>
      </c>
      <c r="K606" s="161">
        <v>0.25</v>
      </c>
      <c r="L606" s="13">
        <f>Table2[[#This Row],[Actual %]]-Table2[[#This Row],[Plan %]]</f>
        <v>-2.0100000000000007E-2</v>
      </c>
      <c r="M606" s="165" t="s">
        <v>704</v>
      </c>
      <c r="N606" s="197">
        <v>45603</v>
      </c>
      <c r="O606" s="197" t="s">
        <v>796</v>
      </c>
      <c r="P606" s="197">
        <v>45586</v>
      </c>
      <c r="Q606" s="198">
        <v>45541</v>
      </c>
      <c r="R606" s="159" t="s">
        <v>700</v>
      </c>
      <c r="S606" s="159" t="s">
        <v>701</v>
      </c>
      <c r="T606" s="164" t="s">
        <v>803</v>
      </c>
      <c r="U606" s="122">
        <v>78077600</v>
      </c>
      <c r="V606" s="123">
        <v>0</v>
      </c>
      <c r="W606" s="36">
        <f>Table2[[#This Row],[Construction Contract Amount]]+Table2[[#This Row],[Cumulative Variations]]</f>
        <v>78077600</v>
      </c>
      <c r="X606" s="123">
        <v>1576709</v>
      </c>
      <c r="Y606" s="201"/>
      <c r="Z606" s="36">
        <f>Table2[[#This Row],[Final Contract Value]]+Table2[[#This Row],[Supervision Contract amount]]+Table2[[#This Row],[Authority Cost]]</f>
        <v>79654309</v>
      </c>
      <c r="AA606" s="123">
        <v>11500494.390483664</v>
      </c>
      <c r="AB606" s="123">
        <f t="shared" si="35"/>
        <v>180000</v>
      </c>
      <c r="AC606" s="102" t="str">
        <f t="shared" si="32"/>
        <v>https://drive.google.com/thumbnail?id=1bSZghuFPNMDy724R2VmzwB1Jr2rl9y3T&amp;sz=w1000</v>
      </c>
      <c r="AD606" s="90" t="s">
        <v>819</v>
      </c>
      <c r="AE606" s="103" t="str">
        <f t="shared" si="33"/>
        <v>https://drive.google.com/thumbnail?id=18HTGOY9i7bxWMrMLMgWvctC0TQbGDm_d&amp;sz=w1000</v>
      </c>
      <c r="AF606" s="90" t="s">
        <v>835</v>
      </c>
      <c r="AG606" s="90" t="str">
        <f t="shared" si="34"/>
        <v>https://drive.google.com/thumbnail?id=1nxqhANLSmBJ-olV0_wGYRyXJpm4XiNGD&amp;sz=w1000</v>
      </c>
      <c r="AH606" s="90" t="s">
        <v>851</v>
      </c>
    </row>
    <row r="607" spans="1:34" ht="22.15" customHeight="1">
      <c r="A607" s="187">
        <v>45541</v>
      </c>
      <c r="B607" s="17" t="s">
        <v>264</v>
      </c>
      <c r="C607" s="17" t="s">
        <v>266</v>
      </c>
      <c r="D607" s="16" t="str" cm="1">
        <f t="array" ref="D607">_xlfn.XLOOKUP(1, (Table1[Project Name]=Table2[[#This Row],[Project ID]])*(Table1[Plot]=Table2[[#This Row],[Plot]]), Table1[Project ID])</f>
        <v>SC-07</v>
      </c>
      <c r="E607" s="69">
        <v>355</v>
      </c>
      <c r="F607" s="70">
        <v>192</v>
      </c>
      <c r="G607" s="69">
        <f>Table2[[#This Row],[Time Elapsed]]+Table2[[#This Row],[Time Remaining]]</f>
        <v>547</v>
      </c>
      <c r="H607" s="70" t="s">
        <v>773</v>
      </c>
      <c r="I607" s="70" t="s">
        <v>693</v>
      </c>
      <c r="J607" s="160">
        <v>0.27010000000000001</v>
      </c>
      <c r="K607" s="161">
        <v>0.25</v>
      </c>
      <c r="L607" s="13">
        <f>Table2[[#This Row],[Actual %]]-Table2[[#This Row],[Plan %]]</f>
        <v>-2.0100000000000007E-2</v>
      </c>
      <c r="M607" s="165" t="s">
        <v>705</v>
      </c>
      <c r="N607" s="197">
        <v>45510</v>
      </c>
      <c r="O607" s="197">
        <v>45504</v>
      </c>
      <c r="P607" s="197" t="s">
        <v>796</v>
      </c>
      <c r="Q607" s="198">
        <v>45541</v>
      </c>
      <c r="R607" s="159" t="s">
        <v>700</v>
      </c>
      <c r="S607" s="159" t="s">
        <v>701</v>
      </c>
      <c r="T607" s="164" t="s">
        <v>803</v>
      </c>
      <c r="U607" s="122">
        <v>78077600</v>
      </c>
      <c r="V607" s="123">
        <v>0</v>
      </c>
      <c r="W607" s="36">
        <f>Table2[[#This Row],[Construction Contract Amount]]+Table2[[#This Row],[Cumulative Variations]]</f>
        <v>78077600</v>
      </c>
      <c r="X607" s="123">
        <v>1576709</v>
      </c>
      <c r="Y607" s="201"/>
      <c r="Z607" s="36">
        <f>Table2[[#This Row],[Final Contract Value]]+Table2[[#This Row],[Supervision Contract amount]]+Table2[[#This Row],[Authority Cost]]</f>
        <v>79654309</v>
      </c>
      <c r="AA607" s="123">
        <v>11500494.390483664</v>
      </c>
      <c r="AB607" s="123">
        <f t="shared" si="35"/>
        <v>180000</v>
      </c>
      <c r="AC607" s="102" t="str">
        <f t="shared" si="32"/>
        <v>https://drive.google.com/thumbnail?id=1bSZghuFPNMDy724R2VmzwB1Jr2rl9y3T&amp;sz=w1000</v>
      </c>
      <c r="AD607" s="90" t="s">
        <v>819</v>
      </c>
      <c r="AE607" s="103" t="str">
        <f t="shared" si="33"/>
        <v>https://drive.google.com/thumbnail?id=18HTGOY9i7bxWMrMLMgWvctC0TQbGDm_d&amp;sz=w1000</v>
      </c>
      <c r="AF607" s="90" t="s">
        <v>835</v>
      </c>
      <c r="AG607" s="90" t="str">
        <f t="shared" si="34"/>
        <v>https://drive.google.com/thumbnail?id=1nxqhANLSmBJ-olV0_wGYRyXJpm4XiNGD&amp;sz=w1000</v>
      </c>
      <c r="AH607" s="90" t="s">
        <v>851</v>
      </c>
    </row>
    <row r="608" spans="1:34" ht="22.15" customHeight="1">
      <c r="A608" s="187">
        <v>45541</v>
      </c>
      <c r="B608" s="17" t="s">
        <v>264</v>
      </c>
      <c r="C608" s="17" t="s">
        <v>266</v>
      </c>
      <c r="D608" s="16" t="str" cm="1">
        <f t="array" ref="D608">_xlfn.XLOOKUP(1, (Table1[Project Name]=Table2[[#This Row],[Project ID]])*(Table1[Plot]=Table2[[#This Row],[Plot]]), Table1[Project ID])</f>
        <v>SC-07</v>
      </c>
      <c r="E608" s="69">
        <v>355</v>
      </c>
      <c r="F608" s="70">
        <v>192</v>
      </c>
      <c r="G608" s="69">
        <f>Table2[[#This Row],[Time Elapsed]]+Table2[[#This Row],[Time Remaining]]</f>
        <v>547</v>
      </c>
      <c r="H608" s="70" t="s">
        <v>773</v>
      </c>
      <c r="I608" s="70" t="s">
        <v>693</v>
      </c>
      <c r="J608" s="160">
        <v>0.27010000000000001</v>
      </c>
      <c r="K608" s="161">
        <v>0.25</v>
      </c>
      <c r="L608" s="13">
        <f>Table2[[#This Row],[Actual %]]-Table2[[#This Row],[Plan %]]</f>
        <v>-2.0100000000000007E-2</v>
      </c>
      <c r="M608" s="165" t="s">
        <v>706</v>
      </c>
      <c r="N608" s="197">
        <v>45596</v>
      </c>
      <c r="O608" s="197" t="s">
        <v>796</v>
      </c>
      <c r="P608" s="197">
        <v>45598</v>
      </c>
      <c r="Q608" s="198">
        <v>45541</v>
      </c>
      <c r="R608" s="159" t="s">
        <v>700</v>
      </c>
      <c r="S608" s="159" t="s">
        <v>701</v>
      </c>
      <c r="T608" s="164" t="s">
        <v>803</v>
      </c>
      <c r="U608" s="122">
        <v>78077600</v>
      </c>
      <c r="V608" s="123">
        <v>0</v>
      </c>
      <c r="W608" s="36">
        <f>Table2[[#This Row],[Construction Contract Amount]]+Table2[[#This Row],[Cumulative Variations]]</f>
        <v>78077600</v>
      </c>
      <c r="X608" s="123">
        <v>1576709</v>
      </c>
      <c r="Y608" s="201"/>
      <c r="Z608" s="36">
        <f>Table2[[#This Row],[Final Contract Value]]+Table2[[#This Row],[Supervision Contract amount]]+Table2[[#This Row],[Authority Cost]]</f>
        <v>79654309</v>
      </c>
      <c r="AA608" s="123">
        <v>11500494.390483664</v>
      </c>
      <c r="AB608" s="123">
        <f t="shared" si="35"/>
        <v>180000</v>
      </c>
      <c r="AC608" s="102" t="str">
        <f t="shared" si="32"/>
        <v>https://drive.google.com/thumbnail?id=1bSZghuFPNMDy724R2VmzwB1Jr2rl9y3T&amp;sz=w1000</v>
      </c>
      <c r="AD608" s="90" t="s">
        <v>819</v>
      </c>
      <c r="AE608" s="103" t="str">
        <f t="shared" si="33"/>
        <v>https://drive.google.com/thumbnail?id=18HTGOY9i7bxWMrMLMgWvctC0TQbGDm_d&amp;sz=w1000</v>
      </c>
      <c r="AF608" s="90" t="s">
        <v>835</v>
      </c>
      <c r="AG608" s="90" t="str">
        <f t="shared" si="34"/>
        <v>https://drive.google.com/thumbnail?id=1nxqhANLSmBJ-olV0_wGYRyXJpm4XiNGD&amp;sz=w1000</v>
      </c>
      <c r="AH608" s="90" t="s">
        <v>851</v>
      </c>
    </row>
    <row r="609" spans="1:34" ht="22.15" customHeight="1">
      <c r="A609" s="187">
        <v>45541</v>
      </c>
      <c r="B609" s="17" t="s">
        <v>264</v>
      </c>
      <c r="C609" s="17" t="s">
        <v>266</v>
      </c>
      <c r="D609" s="16" t="str" cm="1">
        <f t="array" ref="D609">_xlfn.XLOOKUP(1, (Table1[Project Name]=Table2[[#This Row],[Project ID]])*(Table1[Plot]=Table2[[#This Row],[Plot]]), Table1[Project ID])</f>
        <v>SC-07</v>
      </c>
      <c r="E609" s="69">
        <v>355</v>
      </c>
      <c r="F609" s="70">
        <v>192</v>
      </c>
      <c r="G609" s="69">
        <f>Table2[[#This Row],[Time Elapsed]]+Table2[[#This Row],[Time Remaining]]</f>
        <v>547</v>
      </c>
      <c r="H609" s="70" t="s">
        <v>773</v>
      </c>
      <c r="I609" s="70" t="s">
        <v>693</v>
      </c>
      <c r="J609" s="160">
        <v>0.27010000000000001</v>
      </c>
      <c r="K609" s="161">
        <v>0.25</v>
      </c>
      <c r="L609" s="13">
        <f>Table2[[#This Row],[Actual %]]-Table2[[#This Row],[Plan %]]</f>
        <v>-2.0100000000000007E-2</v>
      </c>
      <c r="M609" s="165" t="s">
        <v>280</v>
      </c>
      <c r="N609" s="197">
        <v>45682</v>
      </c>
      <c r="O609" s="197" t="s">
        <v>796</v>
      </c>
      <c r="P609" s="197">
        <v>45792</v>
      </c>
      <c r="Q609" s="198">
        <v>45541</v>
      </c>
      <c r="R609" s="159" t="s">
        <v>700</v>
      </c>
      <c r="S609" s="159" t="s">
        <v>701</v>
      </c>
      <c r="T609" s="164" t="s">
        <v>803</v>
      </c>
      <c r="U609" s="122">
        <v>78077600</v>
      </c>
      <c r="V609" s="123">
        <v>0</v>
      </c>
      <c r="W609" s="36">
        <f>Table2[[#This Row],[Construction Contract Amount]]+Table2[[#This Row],[Cumulative Variations]]</f>
        <v>78077600</v>
      </c>
      <c r="X609" s="123">
        <v>1576709</v>
      </c>
      <c r="Y609" s="201"/>
      <c r="Z609" s="36">
        <f>Table2[[#This Row],[Final Contract Value]]+Table2[[#This Row],[Supervision Contract amount]]+Table2[[#This Row],[Authority Cost]]</f>
        <v>79654309</v>
      </c>
      <c r="AA609" s="123">
        <v>11500494.390483664</v>
      </c>
      <c r="AB609" s="123">
        <f t="shared" si="35"/>
        <v>180000</v>
      </c>
      <c r="AC609" s="102" t="str">
        <f t="shared" si="32"/>
        <v>https://drive.google.com/thumbnail?id=1bSZghuFPNMDy724R2VmzwB1Jr2rl9y3T&amp;sz=w1000</v>
      </c>
      <c r="AD609" s="90" t="s">
        <v>819</v>
      </c>
      <c r="AE609" s="103" t="str">
        <f t="shared" si="33"/>
        <v>https://drive.google.com/thumbnail?id=18HTGOY9i7bxWMrMLMgWvctC0TQbGDm_d&amp;sz=w1000</v>
      </c>
      <c r="AF609" s="90" t="s">
        <v>835</v>
      </c>
      <c r="AG609" s="90" t="str">
        <f t="shared" si="34"/>
        <v>https://drive.google.com/thumbnail?id=1nxqhANLSmBJ-olV0_wGYRyXJpm4XiNGD&amp;sz=w1000</v>
      </c>
      <c r="AH609" s="90" t="s">
        <v>851</v>
      </c>
    </row>
    <row r="610" spans="1:34" ht="22.15" customHeight="1">
      <c r="A610" s="187">
        <v>45541</v>
      </c>
      <c r="B610" s="17" t="s">
        <v>264</v>
      </c>
      <c r="C610" s="17" t="s">
        <v>266</v>
      </c>
      <c r="D610" s="16" t="str" cm="1">
        <f t="array" ref="D610">_xlfn.XLOOKUP(1, (Table1[Project Name]=Table2[[#This Row],[Project ID]])*(Table1[Plot]=Table2[[#This Row],[Plot]]), Table1[Project ID])</f>
        <v>SC-07</v>
      </c>
      <c r="E610" s="69">
        <v>355</v>
      </c>
      <c r="F610" s="70">
        <v>192</v>
      </c>
      <c r="G610" s="69">
        <f>Table2[[#This Row],[Time Elapsed]]+Table2[[#This Row],[Time Remaining]]</f>
        <v>547</v>
      </c>
      <c r="H610" s="70" t="s">
        <v>773</v>
      </c>
      <c r="I610" s="70" t="s">
        <v>693</v>
      </c>
      <c r="J610" s="160">
        <v>0.27010000000000001</v>
      </c>
      <c r="K610" s="161">
        <v>0.25</v>
      </c>
      <c r="L610" s="13">
        <f>Table2[[#This Row],[Actual %]]-Table2[[#This Row],[Plan %]]</f>
        <v>-2.0100000000000007E-2</v>
      </c>
      <c r="M610" s="165" t="s">
        <v>343</v>
      </c>
      <c r="N610" s="197">
        <v>45701</v>
      </c>
      <c r="O610" s="197" t="s">
        <v>796</v>
      </c>
      <c r="P610" s="197">
        <v>45803</v>
      </c>
      <c r="Q610" s="198">
        <v>45541</v>
      </c>
      <c r="R610" s="159" t="s">
        <v>700</v>
      </c>
      <c r="S610" s="159" t="s">
        <v>701</v>
      </c>
      <c r="T610" s="164" t="s">
        <v>803</v>
      </c>
      <c r="U610" s="122">
        <v>78077600</v>
      </c>
      <c r="V610" s="123">
        <v>0</v>
      </c>
      <c r="W610" s="36">
        <f>Table2[[#This Row],[Construction Contract Amount]]+Table2[[#This Row],[Cumulative Variations]]</f>
        <v>78077600</v>
      </c>
      <c r="X610" s="123">
        <v>1576709</v>
      </c>
      <c r="Y610" s="201"/>
      <c r="Z610" s="36">
        <f>Table2[[#This Row],[Final Contract Value]]+Table2[[#This Row],[Supervision Contract amount]]+Table2[[#This Row],[Authority Cost]]</f>
        <v>79654309</v>
      </c>
      <c r="AA610" s="123">
        <v>11500494.390483664</v>
      </c>
      <c r="AB610" s="123">
        <f t="shared" si="35"/>
        <v>180000</v>
      </c>
      <c r="AC610" s="102" t="str">
        <f t="shared" si="32"/>
        <v>https://drive.google.com/thumbnail?id=1bSZghuFPNMDy724R2VmzwB1Jr2rl9y3T&amp;sz=w1000</v>
      </c>
      <c r="AD610" s="90" t="s">
        <v>819</v>
      </c>
      <c r="AE610" s="103" t="str">
        <f t="shared" si="33"/>
        <v>https://drive.google.com/thumbnail?id=18HTGOY9i7bxWMrMLMgWvctC0TQbGDm_d&amp;sz=w1000</v>
      </c>
      <c r="AF610" s="90" t="s">
        <v>835</v>
      </c>
      <c r="AG610" s="90" t="str">
        <f t="shared" si="34"/>
        <v>https://drive.google.com/thumbnail?id=1nxqhANLSmBJ-olV0_wGYRyXJpm4XiNGD&amp;sz=w1000</v>
      </c>
      <c r="AH610" s="90" t="s">
        <v>851</v>
      </c>
    </row>
    <row r="611" spans="1:34" ht="22.15" customHeight="1">
      <c r="A611" s="187">
        <v>45541</v>
      </c>
      <c r="B611" s="17" t="s">
        <v>264</v>
      </c>
      <c r="C611" s="17" t="s">
        <v>266</v>
      </c>
      <c r="D611" s="16" t="str" cm="1">
        <f t="array" ref="D611">_xlfn.XLOOKUP(1, (Table1[Project Name]=Table2[[#This Row],[Project ID]])*(Table1[Plot]=Table2[[#This Row],[Plot]]), Table1[Project ID])</f>
        <v>SC-07</v>
      </c>
      <c r="E611" s="69">
        <v>355</v>
      </c>
      <c r="F611" s="70">
        <v>192</v>
      </c>
      <c r="G611" s="69">
        <f>Table2[[#This Row],[Time Elapsed]]+Table2[[#This Row],[Time Remaining]]</f>
        <v>547</v>
      </c>
      <c r="H611" s="70" t="s">
        <v>773</v>
      </c>
      <c r="I611" s="70" t="s">
        <v>693</v>
      </c>
      <c r="J611" s="160">
        <v>0.27010000000000001</v>
      </c>
      <c r="K611" s="161">
        <v>0.25</v>
      </c>
      <c r="L611" s="13">
        <f>Table2[[#This Row],[Actual %]]-Table2[[#This Row],[Plan %]]</f>
        <v>-2.0100000000000007E-2</v>
      </c>
      <c r="M611" s="165" t="s">
        <v>344</v>
      </c>
      <c r="N611" s="197">
        <v>45720</v>
      </c>
      <c r="O611" s="197" t="s">
        <v>796</v>
      </c>
      <c r="P611" s="197">
        <v>45824</v>
      </c>
      <c r="Q611" s="198">
        <v>45541</v>
      </c>
      <c r="R611" s="159" t="s">
        <v>700</v>
      </c>
      <c r="S611" s="159" t="s">
        <v>701</v>
      </c>
      <c r="T611" s="164" t="s">
        <v>803</v>
      </c>
      <c r="U611" s="122">
        <v>78077600</v>
      </c>
      <c r="V611" s="123">
        <v>0</v>
      </c>
      <c r="W611" s="36">
        <f>Table2[[#This Row],[Construction Contract Amount]]+Table2[[#This Row],[Cumulative Variations]]</f>
        <v>78077600</v>
      </c>
      <c r="X611" s="123">
        <v>1576709</v>
      </c>
      <c r="Y611" s="201"/>
      <c r="Z611" s="36">
        <f>Table2[[#This Row],[Final Contract Value]]+Table2[[#This Row],[Supervision Contract amount]]+Table2[[#This Row],[Authority Cost]]</f>
        <v>79654309</v>
      </c>
      <c r="AA611" s="123">
        <v>11500494.390483664</v>
      </c>
      <c r="AB611" s="123">
        <f t="shared" si="35"/>
        <v>180000</v>
      </c>
      <c r="AC611" s="102" t="str">
        <f t="shared" si="32"/>
        <v>https://drive.google.com/thumbnail?id=1bSZghuFPNMDy724R2VmzwB1Jr2rl9y3T&amp;sz=w1000</v>
      </c>
      <c r="AD611" s="90" t="s">
        <v>819</v>
      </c>
      <c r="AE611" s="103" t="str">
        <f t="shared" si="33"/>
        <v>https://drive.google.com/thumbnail?id=18HTGOY9i7bxWMrMLMgWvctC0TQbGDm_d&amp;sz=w1000</v>
      </c>
      <c r="AF611" s="90" t="s">
        <v>835</v>
      </c>
      <c r="AG611" s="90" t="str">
        <f t="shared" si="34"/>
        <v>https://drive.google.com/thumbnail?id=1nxqhANLSmBJ-olV0_wGYRyXJpm4XiNGD&amp;sz=w1000</v>
      </c>
      <c r="AH611" s="90" t="s">
        <v>851</v>
      </c>
    </row>
    <row r="612" spans="1:34" ht="22.15" customHeight="1">
      <c r="A612" s="187">
        <v>45541</v>
      </c>
      <c r="B612" s="17" t="s">
        <v>264</v>
      </c>
      <c r="C612" s="17" t="s">
        <v>266</v>
      </c>
      <c r="D612" s="16" t="str" cm="1">
        <f t="array" ref="D612">_xlfn.XLOOKUP(1, (Table1[Project Name]=Table2[[#This Row],[Project ID]])*(Table1[Plot]=Table2[[#This Row],[Plot]]), Table1[Project ID])</f>
        <v>SC-07</v>
      </c>
      <c r="E612" s="69">
        <v>355</v>
      </c>
      <c r="F612" s="70">
        <v>192</v>
      </c>
      <c r="G612" s="69">
        <f>Table2[[#This Row],[Time Elapsed]]+Table2[[#This Row],[Time Remaining]]</f>
        <v>547</v>
      </c>
      <c r="H612" s="70" t="s">
        <v>773</v>
      </c>
      <c r="I612" s="70" t="s">
        <v>693</v>
      </c>
      <c r="J612" s="160">
        <v>0.27010000000000001</v>
      </c>
      <c r="K612" s="161">
        <v>0.25</v>
      </c>
      <c r="L612" s="13">
        <f>Table2[[#This Row],[Actual %]]-Table2[[#This Row],[Plan %]]</f>
        <v>-2.0100000000000007E-2</v>
      </c>
      <c r="M612" s="165" t="s">
        <v>302</v>
      </c>
      <c r="N612" s="197">
        <v>45733</v>
      </c>
      <c r="O612" s="197" t="s">
        <v>796</v>
      </c>
      <c r="P612" s="197">
        <v>45838</v>
      </c>
      <c r="Q612" s="198">
        <v>45541</v>
      </c>
      <c r="R612" s="159" t="s">
        <v>700</v>
      </c>
      <c r="S612" s="159" t="s">
        <v>701</v>
      </c>
      <c r="T612" s="164" t="s">
        <v>803</v>
      </c>
      <c r="U612" s="122">
        <v>78077600</v>
      </c>
      <c r="V612" s="123">
        <v>0</v>
      </c>
      <c r="W612" s="36">
        <f>Table2[[#This Row],[Construction Contract Amount]]+Table2[[#This Row],[Cumulative Variations]]</f>
        <v>78077600</v>
      </c>
      <c r="X612" s="123">
        <v>1576709</v>
      </c>
      <c r="Y612" s="201"/>
      <c r="Z612" s="36">
        <f>Table2[[#This Row],[Final Contract Value]]+Table2[[#This Row],[Supervision Contract amount]]+Table2[[#This Row],[Authority Cost]]</f>
        <v>79654309</v>
      </c>
      <c r="AA612" s="123">
        <v>11500494.390483664</v>
      </c>
      <c r="AB612" s="123">
        <f t="shared" si="35"/>
        <v>180000</v>
      </c>
      <c r="AC612" s="102" t="str">
        <f t="shared" si="32"/>
        <v>https://drive.google.com/thumbnail?id=1bSZghuFPNMDy724R2VmzwB1Jr2rl9y3T&amp;sz=w1000</v>
      </c>
      <c r="AD612" s="90" t="s">
        <v>819</v>
      </c>
      <c r="AE612" s="103" t="str">
        <f t="shared" si="33"/>
        <v>https://drive.google.com/thumbnail?id=18HTGOY9i7bxWMrMLMgWvctC0TQbGDm_d&amp;sz=w1000</v>
      </c>
      <c r="AF612" s="90" t="s">
        <v>835</v>
      </c>
      <c r="AG612" s="90" t="str">
        <f t="shared" si="34"/>
        <v>https://drive.google.com/thumbnail?id=1nxqhANLSmBJ-olV0_wGYRyXJpm4XiNGD&amp;sz=w1000</v>
      </c>
      <c r="AH612" s="90" t="s">
        <v>851</v>
      </c>
    </row>
    <row r="613" spans="1:34" ht="22.15" customHeight="1">
      <c r="A613" s="30">
        <v>45548</v>
      </c>
      <c r="B613" s="2" t="s">
        <v>69</v>
      </c>
      <c r="C613" s="2" t="s">
        <v>72</v>
      </c>
      <c r="D613" s="16" t="str" cm="1">
        <f t="array" ref="D613">_xlfn.XLOOKUP(1, (Table1[Project Name]=Table2[[#This Row],[Project ID]])*(Table1[Plot]=Table2[[#This Row],[Plot]]), Table1[Project ID])</f>
        <v>MJ-02</v>
      </c>
      <c r="E613" s="69">
        <v>290</v>
      </c>
      <c r="F613" s="70">
        <v>308</v>
      </c>
      <c r="G613" s="69">
        <f>Table2[[#This Row],[Time Elapsed]]+Table2[[#This Row],[Time Remaining]]</f>
        <v>598</v>
      </c>
      <c r="H613" s="202" t="s">
        <v>852</v>
      </c>
      <c r="I613" s="202" t="s">
        <v>604</v>
      </c>
      <c r="J613" s="203">
        <v>0.47760000000000002</v>
      </c>
      <c r="K613" s="204">
        <v>0.38080000000000003</v>
      </c>
      <c r="L613" s="13">
        <f>Table2[[#This Row],[Actual %]]-Table2[[#This Row],[Plan %]]</f>
        <v>-9.6799999999999997E-2</v>
      </c>
      <c r="M613" s="210" t="s">
        <v>605</v>
      </c>
      <c r="N613" s="197">
        <v>45265</v>
      </c>
      <c r="O613" s="197">
        <v>45265</v>
      </c>
      <c r="P613" s="197"/>
      <c r="Q613" s="198">
        <v>45554</v>
      </c>
      <c r="R613" s="211" t="s">
        <v>866</v>
      </c>
      <c r="S613" s="211" t="s">
        <v>867</v>
      </c>
      <c r="T613" s="212" t="s">
        <v>868</v>
      </c>
      <c r="U613" s="213">
        <v>85805249.480000004</v>
      </c>
      <c r="V613" s="123">
        <v>0</v>
      </c>
      <c r="W613" s="36">
        <f>Table2[[#This Row],[Construction Contract Amount]]+Table2[[#This Row],[Cumulative Variations]]</f>
        <v>85805249.480000004</v>
      </c>
      <c r="X613" s="36">
        <v>3799481.4617604041</v>
      </c>
      <c r="Y613" s="201"/>
      <c r="Z613" s="36">
        <f>Table2[[#This Row],[Final Contract Value]]+Table2[[#This Row],[Supervision Contract amount]]+Table2[[#This Row],[Authority Cost]]</f>
        <v>89604730.941760406</v>
      </c>
      <c r="AA613" s="229">
        <v>17180863.600000001</v>
      </c>
      <c r="AB613" s="231">
        <v>1117487.2997119252</v>
      </c>
      <c r="AC613" s="102" t="str">
        <f t="shared" si="32"/>
        <v>https://drive.google.com/thumbnail?id=1Zy0KiYSeP-PDs5KIIeeW5fsWj9p4nkja&amp;sz=w1000</v>
      </c>
      <c r="AD613" s="90" t="s">
        <v>884</v>
      </c>
      <c r="AE613" s="103" t="str">
        <f t="shared" si="33"/>
        <v>https://drive.google.com/thumbnail?id=1uEFxmPjjwD8Nqb0QvhaTsvG7Fe2EVwdA&amp;sz=w1000</v>
      </c>
      <c r="AF613" s="90" t="s">
        <v>899</v>
      </c>
      <c r="AG613" s="90" t="str">
        <f t="shared" si="34"/>
        <v>https://drive.google.com/thumbnail?id=18smY9gvWxQDfgihbZYRWZ76-V_fFiVyk&amp;sz=w1000</v>
      </c>
      <c r="AH613" s="90" t="s">
        <v>914</v>
      </c>
    </row>
    <row r="614" spans="1:34" ht="22.15" customHeight="1">
      <c r="A614" s="30">
        <v>45548</v>
      </c>
      <c r="B614" s="2" t="s">
        <v>69</v>
      </c>
      <c r="C614" s="2" t="s">
        <v>72</v>
      </c>
      <c r="D614" s="16" t="str" cm="1">
        <f t="array" ref="D614">_xlfn.XLOOKUP(1, (Table1[Project Name]=Table2[[#This Row],[Project ID]])*(Table1[Plot]=Table2[[#This Row],[Plot]]), Table1[Project ID])</f>
        <v>MJ-02</v>
      </c>
      <c r="E614" s="69">
        <v>290</v>
      </c>
      <c r="F614" s="70">
        <v>308</v>
      </c>
      <c r="G614" s="69">
        <f>Table2[[#This Row],[Time Elapsed]]+Table2[[#This Row],[Time Remaining]]</f>
        <v>598</v>
      </c>
      <c r="H614" s="202" t="s">
        <v>852</v>
      </c>
      <c r="I614" s="202" t="s">
        <v>621</v>
      </c>
      <c r="J614" s="203">
        <v>0.47760000000000002</v>
      </c>
      <c r="K614" s="204">
        <v>0.38080000000000003</v>
      </c>
      <c r="L614" s="13">
        <f>Table2[[#This Row],[Actual %]]-Table2[[#This Row],[Plan %]]</f>
        <v>-9.6799999999999997E-2</v>
      </c>
      <c r="M614" s="210" t="s">
        <v>611</v>
      </c>
      <c r="N614" s="197">
        <v>45503</v>
      </c>
      <c r="O614" s="197"/>
      <c r="P614" s="197">
        <v>45563</v>
      </c>
      <c r="Q614" s="198">
        <v>45554</v>
      </c>
      <c r="R614" s="211" t="s">
        <v>866</v>
      </c>
      <c r="S614" s="211" t="s">
        <v>867</v>
      </c>
      <c r="T614" s="212" t="s">
        <v>868</v>
      </c>
      <c r="U614" s="213">
        <v>85805249.480000004</v>
      </c>
      <c r="V614" s="123">
        <v>0</v>
      </c>
      <c r="W614" s="36">
        <f>Table2[[#This Row],[Construction Contract Amount]]+Table2[[#This Row],[Cumulative Variations]]</f>
        <v>85805249.480000004</v>
      </c>
      <c r="X614" s="36">
        <v>3799481.4617604041</v>
      </c>
      <c r="Y614" s="201"/>
      <c r="Z614" s="36">
        <f>Table2[[#This Row],[Final Contract Value]]+Table2[[#This Row],[Supervision Contract amount]]+Table2[[#This Row],[Authority Cost]]</f>
        <v>89604730.941760406</v>
      </c>
      <c r="AA614" s="229">
        <v>17180863.600000001</v>
      </c>
      <c r="AB614" s="229">
        <v>1117487.2997119252</v>
      </c>
      <c r="AC614" s="102" t="str">
        <f t="shared" si="32"/>
        <v>https://drive.google.com/thumbnail?id=1Zy0KiYSeP-PDs5KIIeeW5fsWj9p4nkja&amp;sz=w1000</v>
      </c>
      <c r="AD614" s="90" t="s">
        <v>884</v>
      </c>
      <c r="AE614" s="103" t="str">
        <f t="shared" si="33"/>
        <v>https://drive.google.com/thumbnail?id=1uEFxmPjjwD8Nqb0QvhaTsvG7Fe2EVwdA&amp;sz=w1000</v>
      </c>
      <c r="AF614" s="90" t="s">
        <v>899</v>
      </c>
      <c r="AG614" s="90" t="str">
        <f t="shared" si="34"/>
        <v>https://drive.google.com/thumbnail?id=18smY9gvWxQDfgihbZYRWZ76-V_fFiVyk&amp;sz=w1000</v>
      </c>
      <c r="AH614" s="90" t="s">
        <v>914</v>
      </c>
    </row>
    <row r="615" spans="1:34" ht="22.15" customHeight="1">
      <c r="A615" s="30">
        <v>45548</v>
      </c>
      <c r="B615" s="2" t="s">
        <v>69</v>
      </c>
      <c r="C615" s="2" t="s">
        <v>72</v>
      </c>
      <c r="D615" s="16" t="str" cm="1">
        <f t="array" ref="D615">_xlfn.XLOOKUP(1, (Table1[Project Name]=Table2[[#This Row],[Project ID]])*(Table1[Plot]=Table2[[#This Row],[Plot]]), Table1[Project ID])</f>
        <v>MJ-02</v>
      </c>
      <c r="E615" s="69">
        <v>290</v>
      </c>
      <c r="F615" s="70">
        <v>308</v>
      </c>
      <c r="G615" s="69">
        <f>Table2[[#This Row],[Time Elapsed]]+Table2[[#This Row],[Time Remaining]]</f>
        <v>598</v>
      </c>
      <c r="H615" s="202" t="s">
        <v>852</v>
      </c>
      <c r="I615" s="202" t="s">
        <v>621</v>
      </c>
      <c r="J615" s="203">
        <v>0.47760000000000002</v>
      </c>
      <c r="K615" s="204">
        <v>0.38080000000000003</v>
      </c>
      <c r="L615" s="13">
        <f>Table2[[#This Row],[Actual %]]-Table2[[#This Row],[Plan %]]</f>
        <v>-9.6799999999999997E-2</v>
      </c>
      <c r="M615" s="214" t="s">
        <v>612</v>
      </c>
      <c r="N615" s="197">
        <v>45539</v>
      </c>
      <c r="O615" s="197"/>
      <c r="P615" s="197">
        <v>45616</v>
      </c>
      <c r="Q615" s="198">
        <v>45554</v>
      </c>
      <c r="R615" s="211" t="s">
        <v>866</v>
      </c>
      <c r="S615" s="211" t="s">
        <v>867</v>
      </c>
      <c r="T615" s="212" t="s">
        <v>868</v>
      </c>
      <c r="U615" s="213">
        <v>85805249.480000004</v>
      </c>
      <c r="V615" s="123">
        <v>0</v>
      </c>
      <c r="W615" s="36">
        <f>Table2[[#This Row],[Construction Contract Amount]]+Table2[[#This Row],[Cumulative Variations]]</f>
        <v>85805249.480000004</v>
      </c>
      <c r="X615" s="36">
        <v>3799481.4617604041</v>
      </c>
      <c r="Y615" s="201"/>
      <c r="Z615" s="36">
        <f>Table2[[#This Row],[Final Contract Value]]+Table2[[#This Row],[Supervision Contract amount]]+Table2[[#This Row],[Authority Cost]]</f>
        <v>89604730.941760406</v>
      </c>
      <c r="AA615" s="229">
        <v>17180863.600000001</v>
      </c>
      <c r="AB615" s="229">
        <v>1117487.2997119252</v>
      </c>
      <c r="AC615" s="102" t="str">
        <f t="shared" si="32"/>
        <v>https://drive.google.com/thumbnail?id=1Zy0KiYSeP-PDs5KIIeeW5fsWj9p4nkja&amp;sz=w1000</v>
      </c>
      <c r="AD615" s="90" t="s">
        <v>884</v>
      </c>
      <c r="AE615" s="103" t="str">
        <f t="shared" si="33"/>
        <v>https://drive.google.com/thumbnail?id=1uEFxmPjjwD8Nqb0QvhaTsvG7Fe2EVwdA&amp;sz=w1000</v>
      </c>
      <c r="AF615" s="90" t="s">
        <v>899</v>
      </c>
      <c r="AG615" s="90" t="str">
        <f t="shared" si="34"/>
        <v>https://drive.google.com/thumbnail?id=18smY9gvWxQDfgihbZYRWZ76-V_fFiVyk&amp;sz=w1000</v>
      </c>
      <c r="AH615" s="90" t="s">
        <v>914</v>
      </c>
    </row>
    <row r="616" spans="1:34" ht="22.15" customHeight="1">
      <c r="A616" s="30">
        <v>45548</v>
      </c>
      <c r="B616" s="2" t="s">
        <v>69</v>
      </c>
      <c r="C616" s="2" t="s">
        <v>72</v>
      </c>
      <c r="D616" s="16" t="str" cm="1">
        <f t="array" ref="D616">_xlfn.XLOOKUP(1, (Table1[Project Name]=Table2[[#This Row],[Project ID]])*(Table1[Plot]=Table2[[#This Row],[Plot]]), Table1[Project ID])</f>
        <v>MJ-02</v>
      </c>
      <c r="E616" s="69">
        <v>290</v>
      </c>
      <c r="F616" s="70">
        <v>308</v>
      </c>
      <c r="G616" s="69">
        <f>Table2[[#This Row],[Time Elapsed]]+Table2[[#This Row],[Time Remaining]]</f>
        <v>598</v>
      </c>
      <c r="H616" s="202" t="s">
        <v>852</v>
      </c>
      <c r="I616" s="202" t="s">
        <v>621</v>
      </c>
      <c r="J616" s="203">
        <v>0.47760000000000002</v>
      </c>
      <c r="K616" s="204">
        <v>0.38080000000000003</v>
      </c>
      <c r="L616" s="13">
        <f>Table2[[#This Row],[Actual %]]-Table2[[#This Row],[Plan %]]</f>
        <v>-9.6799999999999997E-2</v>
      </c>
      <c r="M616" s="214" t="s">
        <v>613</v>
      </c>
      <c r="N616" s="197">
        <v>45856</v>
      </c>
      <c r="O616" s="197"/>
      <c r="P616" s="197">
        <v>45856</v>
      </c>
      <c r="Q616" s="198">
        <v>45554</v>
      </c>
      <c r="R616" s="211" t="s">
        <v>866</v>
      </c>
      <c r="S616" s="211" t="s">
        <v>867</v>
      </c>
      <c r="T616" s="212" t="s">
        <v>868</v>
      </c>
      <c r="U616" s="213">
        <v>85805249.480000004</v>
      </c>
      <c r="V616" s="123">
        <v>0</v>
      </c>
      <c r="W616" s="36">
        <f>Table2[[#This Row],[Construction Contract Amount]]+Table2[[#This Row],[Cumulative Variations]]</f>
        <v>85805249.480000004</v>
      </c>
      <c r="X616" s="36">
        <v>3799481.4617604041</v>
      </c>
      <c r="Y616" s="201"/>
      <c r="Z616" s="36">
        <f>Table2[[#This Row],[Final Contract Value]]+Table2[[#This Row],[Supervision Contract amount]]+Table2[[#This Row],[Authority Cost]]</f>
        <v>89604730.941760406</v>
      </c>
      <c r="AA616" s="229">
        <v>17180863.600000001</v>
      </c>
      <c r="AB616" s="229">
        <v>1117487.2997119252</v>
      </c>
      <c r="AC616" s="102" t="str">
        <f t="shared" si="32"/>
        <v>https://drive.google.com/thumbnail?id=1Zy0KiYSeP-PDs5KIIeeW5fsWj9p4nkja&amp;sz=w1000</v>
      </c>
      <c r="AD616" s="90" t="s">
        <v>884</v>
      </c>
      <c r="AE616" s="103" t="str">
        <f t="shared" si="33"/>
        <v>https://drive.google.com/thumbnail?id=1uEFxmPjjwD8Nqb0QvhaTsvG7Fe2EVwdA&amp;sz=w1000</v>
      </c>
      <c r="AF616" s="90" t="s">
        <v>899</v>
      </c>
      <c r="AG616" s="90" t="str">
        <f t="shared" si="34"/>
        <v>https://drive.google.com/thumbnail?id=18smY9gvWxQDfgihbZYRWZ76-V_fFiVyk&amp;sz=w1000</v>
      </c>
      <c r="AH616" s="90" t="s">
        <v>914</v>
      </c>
    </row>
    <row r="617" spans="1:34" ht="22.15" customHeight="1">
      <c r="A617" s="30">
        <v>45548</v>
      </c>
      <c r="B617" s="2" t="s">
        <v>69</v>
      </c>
      <c r="C617" s="2" t="s">
        <v>72</v>
      </c>
      <c r="D617" s="16" t="str" cm="1">
        <f t="array" ref="D617">_xlfn.XLOOKUP(1, (Table1[Project Name]=Table2[[#This Row],[Project ID]])*(Table1[Plot]=Table2[[#This Row],[Plot]]), Table1[Project ID])</f>
        <v>MJ-02</v>
      </c>
      <c r="E617" s="69">
        <v>290</v>
      </c>
      <c r="F617" s="70">
        <v>308</v>
      </c>
      <c r="G617" s="69">
        <f>Table2[[#This Row],[Time Elapsed]]+Table2[[#This Row],[Time Remaining]]</f>
        <v>598</v>
      </c>
      <c r="H617" s="202" t="s">
        <v>852</v>
      </c>
      <c r="I617" s="202" t="s">
        <v>621</v>
      </c>
      <c r="J617" s="203">
        <v>0.47760000000000002</v>
      </c>
      <c r="K617" s="204">
        <v>0.38080000000000003</v>
      </c>
      <c r="L617" s="13">
        <f>Table2[[#This Row],[Actual %]]-Table2[[#This Row],[Plan %]]</f>
        <v>-9.6799999999999997E-2</v>
      </c>
      <c r="M617" s="214" t="s">
        <v>614</v>
      </c>
      <c r="N617" s="197">
        <v>45861</v>
      </c>
      <c r="O617" s="197"/>
      <c r="P617" s="197">
        <v>45861</v>
      </c>
      <c r="Q617" s="198">
        <v>45554</v>
      </c>
      <c r="R617" s="211" t="s">
        <v>866</v>
      </c>
      <c r="S617" s="211" t="s">
        <v>867</v>
      </c>
      <c r="T617" s="212" t="s">
        <v>868</v>
      </c>
      <c r="U617" s="213">
        <v>85805249.480000004</v>
      </c>
      <c r="V617" s="123">
        <v>0</v>
      </c>
      <c r="W617" s="36">
        <f>Table2[[#This Row],[Construction Contract Amount]]+Table2[[#This Row],[Cumulative Variations]]</f>
        <v>85805249.480000004</v>
      </c>
      <c r="X617" s="36">
        <v>3799481.4617604041</v>
      </c>
      <c r="Y617" s="201"/>
      <c r="Z617" s="36">
        <f>Table2[[#This Row],[Final Contract Value]]+Table2[[#This Row],[Supervision Contract amount]]+Table2[[#This Row],[Authority Cost]]</f>
        <v>89604730.941760406</v>
      </c>
      <c r="AA617" s="229">
        <v>17180863.600000001</v>
      </c>
      <c r="AB617" s="229">
        <v>1117487.2997119252</v>
      </c>
      <c r="AC617" s="102" t="str">
        <f t="shared" si="32"/>
        <v>https://drive.google.com/thumbnail?id=1Zy0KiYSeP-PDs5KIIeeW5fsWj9p4nkja&amp;sz=w1000</v>
      </c>
      <c r="AD617" s="90" t="s">
        <v>884</v>
      </c>
      <c r="AE617" s="103" t="str">
        <f t="shared" si="33"/>
        <v>https://drive.google.com/thumbnail?id=1uEFxmPjjwD8Nqb0QvhaTsvG7Fe2EVwdA&amp;sz=w1000</v>
      </c>
      <c r="AF617" s="90" t="s">
        <v>899</v>
      </c>
      <c r="AG617" s="90" t="str">
        <f t="shared" si="34"/>
        <v>https://drive.google.com/thumbnail?id=18smY9gvWxQDfgihbZYRWZ76-V_fFiVyk&amp;sz=w1000</v>
      </c>
      <c r="AH617" s="90" t="s">
        <v>914</v>
      </c>
    </row>
    <row r="618" spans="1:34" ht="22.15" customHeight="1">
      <c r="A618" s="30">
        <v>45548</v>
      </c>
      <c r="B618" s="2" t="s">
        <v>69</v>
      </c>
      <c r="C618" s="2" t="s">
        <v>72</v>
      </c>
      <c r="D618" s="16" t="str" cm="1">
        <f t="array" ref="D618">_xlfn.XLOOKUP(1, (Table1[Project Name]=Table2[[#This Row],[Project ID]])*(Table1[Plot]=Table2[[#This Row],[Plot]]), Table1[Project ID])</f>
        <v>MJ-02</v>
      </c>
      <c r="E618" s="69">
        <v>290</v>
      </c>
      <c r="F618" s="70">
        <v>308</v>
      </c>
      <c r="G618" s="69">
        <f>Table2[[#This Row],[Time Elapsed]]+Table2[[#This Row],[Time Remaining]]</f>
        <v>598</v>
      </c>
      <c r="H618" s="202" t="s">
        <v>852</v>
      </c>
      <c r="I618" s="205" t="s">
        <v>621</v>
      </c>
      <c r="J618" s="203">
        <v>0.47760000000000002</v>
      </c>
      <c r="K618" s="204">
        <v>0.38080000000000003</v>
      </c>
      <c r="L618" s="13">
        <f>Table2[[#This Row],[Actual %]]-Table2[[#This Row],[Plan %]]</f>
        <v>-9.6799999999999997E-2</v>
      </c>
      <c r="M618" s="215" t="s">
        <v>615</v>
      </c>
      <c r="N618" s="197">
        <v>45862</v>
      </c>
      <c r="O618" s="197"/>
      <c r="P618" s="197">
        <v>45862</v>
      </c>
      <c r="Q618" s="198">
        <v>45554</v>
      </c>
      <c r="R618" s="211" t="s">
        <v>866</v>
      </c>
      <c r="S618" s="211" t="s">
        <v>867</v>
      </c>
      <c r="T618" s="216" t="s">
        <v>868</v>
      </c>
      <c r="U618" s="217">
        <v>85805249.480000004</v>
      </c>
      <c r="V618" s="123">
        <v>0</v>
      </c>
      <c r="W618" s="36">
        <f>Table2[[#This Row],[Construction Contract Amount]]+Table2[[#This Row],[Cumulative Variations]]</f>
        <v>85805249.480000004</v>
      </c>
      <c r="X618" s="36">
        <v>3799481.4617604041</v>
      </c>
      <c r="Y618" s="201"/>
      <c r="Z618" s="36">
        <f>Table2[[#This Row],[Final Contract Value]]+Table2[[#This Row],[Supervision Contract amount]]+Table2[[#This Row],[Authority Cost]]</f>
        <v>89604730.941760406</v>
      </c>
      <c r="AA618" s="230">
        <v>17180863.600000001</v>
      </c>
      <c r="AB618" s="230">
        <v>1117487.2997119252</v>
      </c>
      <c r="AC618" s="102" t="str">
        <f t="shared" si="32"/>
        <v>https://drive.google.com/thumbnail?id=1Zy0KiYSeP-PDs5KIIeeW5fsWj9p4nkja&amp;sz=w1000</v>
      </c>
      <c r="AD618" s="90" t="s">
        <v>884</v>
      </c>
      <c r="AE618" s="103" t="str">
        <f t="shared" si="33"/>
        <v>https://drive.google.com/thumbnail?id=1uEFxmPjjwD8Nqb0QvhaTsvG7Fe2EVwdA&amp;sz=w1000</v>
      </c>
      <c r="AF618" s="90" t="s">
        <v>899</v>
      </c>
      <c r="AG618" s="90" t="str">
        <f t="shared" si="34"/>
        <v>https://drive.google.com/thumbnail?id=18smY9gvWxQDfgihbZYRWZ76-V_fFiVyk&amp;sz=w1000</v>
      </c>
      <c r="AH618" s="90" t="s">
        <v>914</v>
      </c>
    </row>
    <row r="619" spans="1:34" ht="22.15" customHeight="1">
      <c r="A619" s="30">
        <v>45548</v>
      </c>
      <c r="B619" s="2" t="s">
        <v>82</v>
      </c>
      <c r="C619" s="2" t="s">
        <v>85</v>
      </c>
      <c r="D619" s="16" t="str" cm="1">
        <f t="array" ref="D619">_xlfn.XLOOKUP(1, (Table1[Project Name]=Table2[[#This Row],[Project ID]])*(Table1[Plot]=Table2[[#This Row],[Plot]]), Table1[Project ID])</f>
        <v>MJ-03</v>
      </c>
      <c r="E619" s="69">
        <v>290</v>
      </c>
      <c r="F619" s="70">
        <v>308</v>
      </c>
      <c r="G619" s="69">
        <f>Table2[[#This Row],[Time Elapsed]]+Table2[[#This Row],[Time Remaining]]</f>
        <v>598</v>
      </c>
      <c r="H619" s="206" t="s">
        <v>853</v>
      </c>
      <c r="I619" s="207" t="s">
        <v>316</v>
      </c>
      <c r="J619" s="208">
        <v>0.47789999999999999</v>
      </c>
      <c r="K619" s="209">
        <v>0.26860000000000001</v>
      </c>
      <c r="L619" s="13">
        <f>Table2[[#This Row],[Actual %]]-Table2[[#This Row],[Plan %]]</f>
        <v>-0.20929999999999999</v>
      </c>
      <c r="M619" s="218" t="s">
        <v>605</v>
      </c>
      <c r="N619" s="197">
        <v>45265</v>
      </c>
      <c r="O619" s="197">
        <v>45265</v>
      </c>
      <c r="P619" s="197"/>
      <c r="Q619" s="198">
        <v>45554</v>
      </c>
      <c r="R619" s="219" t="s">
        <v>869</v>
      </c>
      <c r="S619" s="220" t="s">
        <v>870</v>
      </c>
      <c r="T619" s="221" t="s">
        <v>619</v>
      </c>
      <c r="U619" s="222">
        <v>78195477.459999993</v>
      </c>
      <c r="V619" s="223">
        <v>0</v>
      </c>
      <c r="W619" s="36">
        <f>Table2[[#This Row],[Construction Contract Amount]]+Table2[[#This Row],[Cumulative Variations]]</f>
        <v>78195477.459999993</v>
      </c>
      <c r="X619" s="36">
        <v>3462518.5382395959</v>
      </c>
      <c r="Y619" s="201"/>
      <c r="Z619" s="36">
        <f>Table2[[#This Row],[Final Contract Value]]+Table2[[#This Row],[Supervision Contract amount]]+Table2[[#This Row],[Authority Cost]]</f>
        <v>81657995.998239592</v>
      </c>
      <c r="AA619" s="36">
        <v>4774958.1100000003</v>
      </c>
      <c r="AB619" s="36">
        <v>1018381.2002880748</v>
      </c>
      <c r="AC619" s="102" t="str">
        <f t="shared" si="32"/>
        <v>https://drive.google.com/thumbnail?id=1YilrYlrEBR5j4gXQtSjyi1aNfDAiAnEu&amp;sz=w1000</v>
      </c>
      <c r="AD619" s="90" t="s">
        <v>885</v>
      </c>
      <c r="AE619" s="103" t="str">
        <f t="shared" si="33"/>
        <v>https://drive.google.com/thumbnail?id=1nRiloij6wjknh-vdXufPMtF9ywgwSqpI&amp;sz=w1000</v>
      </c>
      <c r="AF619" s="90" t="s">
        <v>900</v>
      </c>
      <c r="AG619" s="90" t="str">
        <f t="shared" si="34"/>
        <v>https://drive.google.com/thumbnail?id=1DZ00kl6N0YvT2ZAXdhcx9VQ5hnPKYmSP&amp;sz=w1000</v>
      </c>
      <c r="AH619" s="90" t="s">
        <v>915</v>
      </c>
    </row>
    <row r="620" spans="1:34" ht="22.15" customHeight="1">
      <c r="A620" s="30">
        <v>45548</v>
      </c>
      <c r="B620" s="2" t="s">
        <v>82</v>
      </c>
      <c r="C620" s="2" t="s">
        <v>85</v>
      </c>
      <c r="D620" s="16" t="str" cm="1">
        <f t="array" ref="D620">_xlfn.XLOOKUP(1, (Table1[Project Name]=Table2[[#This Row],[Project ID]])*(Table1[Plot]=Table2[[#This Row],[Plot]]), Table1[Project ID])</f>
        <v>MJ-03</v>
      </c>
      <c r="E620" s="69">
        <v>290</v>
      </c>
      <c r="F620" s="70">
        <v>308</v>
      </c>
      <c r="G620" s="69">
        <f>Table2[[#This Row],[Time Elapsed]]+Table2[[#This Row],[Time Remaining]]</f>
        <v>598</v>
      </c>
      <c r="H620" s="206" t="s">
        <v>853</v>
      </c>
      <c r="I620" s="207" t="s">
        <v>316</v>
      </c>
      <c r="J620" s="208">
        <v>0.47789999999999999</v>
      </c>
      <c r="K620" s="209">
        <v>0.26860000000000001</v>
      </c>
      <c r="L620" s="13">
        <f>Table2[[#This Row],[Actual %]]-Table2[[#This Row],[Plan %]]</f>
        <v>-0.20929999999999999</v>
      </c>
      <c r="M620" s="218" t="s">
        <v>871</v>
      </c>
      <c r="N620" s="197">
        <v>45503</v>
      </c>
      <c r="O620" s="197"/>
      <c r="P620" s="197">
        <v>45555</v>
      </c>
      <c r="Q620" s="198">
        <v>45554</v>
      </c>
      <c r="R620" s="219" t="s">
        <v>869</v>
      </c>
      <c r="S620" s="220" t="s">
        <v>870</v>
      </c>
      <c r="T620" s="221" t="s">
        <v>619</v>
      </c>
      <c r="U620" s="224">
        <v>78195477.459999993</v>
      </c>
      <c r="V620" s="223">
        <v>0</v>
      </c>
      <c r="W620" s="36">
        <f>Table2[[#This Row],[Construction Contract Amount]]+Table2[[#This Row],[Cumulative Variations]]</f>
        <v>78195477.459999993</v>
      </c>
      <c r="X620" s="36">
        <v>3462518.5382395959</v>
      </c>
      <c r="Y620" s="201"/>
      <c r="Z620" s="36">
        <f>Table2[[#This Row],[Final Contract Value]]+Table2[[#This Row],[Supervision Contract amount]]+Table2[[#This Row],[Authority Cost]]</f>
        <v>81657995.998239592</v>
      </c>
      <c r="AA620" s="36">
        <v>4774958.1100000003</v>
      </c>
      <c r="AB620" s="36">
        <v>1018381.2002880748</v>
      </c>
      <c r="AC620" s="102" t="str">
        <f t="shared" si="32"/>
        <v>https://drive.google.com/thumbnail?id=1YilrYlrEBR5j4gXQtSjyi1aNfDAiAnEu&amp;sz=w1000</v>
      </c>
      <c r="AD620" s="90" t="s">
        <v>885</v>
      </c>
      <c r="AE620" s="103" t="str">
        <f t="shared" si="33"/>
        <v>https://drive.google.com/thumbnail?id=1nRiloij6wjknh-vdXufPMtF9ywgwSqpI&amp;sz=w1000</v>
      </c>
      <c r="AF620" s="90" t="s">
        <v>900</v>
      </c>
      <c r="AG620" s="90" t="str">
        <f t="shared" si="34"/>
        <v>https://drive.google.com/thumbnail?id=1DZ00kl6N0YvT2ZAXdhcx9VQ5hnPKYmSP&amp;sz=w1000</v>
      </c>
      <c r="AH620" s="90" t="s">
        <v>915</v>
      </c>
    </row>
    <row r="621" spans="1:34" ht="22.15" customHeight="1">
      <c r="A621" s="30">
        <v>45548</v>
      </c>
      <c r="B621" s="2" t="s">
        <v>82</v>
      </c>
      <c r="C621" s="2" t="s">
        <v>85</v>
      </c>
      <c r="D621" s="16" t="str" cm="1">
        <f t="array" ref="D621">_xlfn.XLOOKUP(1, (Table1[Project Name]=Table2[[#This Row],[Project ID]])*(Table1[Plot]=Table2[[#This Row],[Plot]]), Table1[Project ID])</f>
        <v>MJ-03</v>
      </c>
      <c r="E621" s="69">
        <v>290</v>
      </c>
      <c r="F621" s="70">
        <v>308</v>
      </c>
      <c r="G621" s="69">
        <f>Table2[[#This Row],[Time Elapsed]]+Table2[[#This Row],[Time Remaining]]</f>
        <v>598</v>
      </c>
      <c r="H621" s="206" t="s">
        <v>853</v>
      </c>
      <c r="I621" s="207" t="s">
        <v>316</v>
      </c>
      <c r="J621" s="208">
        <v>0.47789999999999999</v>
      </c>
      <c r="K621" s="209">
        <v>0.26860000000000001</v>
      </c>
      <c r="L621" s="13">
        <f>Table2[[#This Row],[Actual %]]-Table2[[#This Row],[Plan %]]</f>
        <v>-0.20929999999999999</v>
      </c>
      <c r="M621" s="225" t="s">
        <v>612</v>
      </c>
      <c r="N621" s="197">
        <v>45857</v>
      </c>
      <c r="O621" s="197"/>
      <c r="P621" s="197">
        <v>45950</v>
      </c>
      <c r="Q621" s="198">
        <v>45554</v>
      </c>
      <c r="R621" s="219" t="s">
        <v>869</v>
      </c>
      <c r="S621" s="220" t="s">
        <v>870</v>
      </c>
      <c r="T621" s="221" t="s">
        <v>619</v>
      </c>
      <c r="U621" s="224">
        <v>78195477.459999993</v>
      </c>
      <c r="V621" s="223">
        <v>0</v>
      </c>
      <c r="W621" s="36">
        <f>Table2[[#This Row],[Construction Contract Amount]]+Table2[[#This Row],[Cumulative Variations]]</f>
        <v>78195477.459999993</v>
      </c>
      <c r="X621" s="36">
        <v>3462518.5382395959</v>
      </c>
      <c r="Y621" s="201"/>
      <c r="Z621" s="36">
        <f>Table2[[#This Row],[Final Contract Value]]+Table2[[#This Row],[Supervision Contract amount]]+Table2[[#This Row],[Authority Cost]]</f>
        <v>81657995.998239592</v>
      </c>
      <c r="AA621" s="36">
        <v>4774958.1100000003</v>
      </c>
      <c r="AB621" s="36">
        <v>1018381.2002880748</v>
      </c>
      <c r="AC621" s="102" t="str">
        <f t="shared" si="32"/>
        <v>https://drive.google.com/thumbnail?id=1YilrYlrEBR5j4gXQtSjyi1aNfDAiAnEu&amp;sz=w1000</v>
      </c>
      <c r="AD621" s="90" t="s">
        <v>885</v>
      </c>
      <c r="AE621" s="103" t="str">
        <f t="shared" si="33"/>
        <v>https://drive.google.com/thumbnail?id=1nRiloij6wjknh-vdXufPMtF9ywgwSqpI&amp;sz=w1000</v>
      </c>
      <c r="AF621" s="90" t="s">
        <v>900</v>
      </c>
      <c r="AG621" s="90" t="str">
        <f t="shared" si="34"/>
        <v>https://drive.google.com/thumbnail?id=1DZ00kl6N0YvT2ZAXdhcx9VQ5hnPKYmSP&amp;sz=w1000</v>
      </c>
      <c r="AH621" s="90" t="s">
        <v>915</v>
      </c>
    </row>
    <row r="622" spans="1:34" ht="22.15" customHeight="1">
      <c r="A622" s="30">
        <v>45548</v>
      </c>
      <c r="B622" s="2" t="s">
        <v>82</v>
      </c>
      <c r="C622" s="2" t="s">
        <v>85</v>
      </c>
      <c r="D622" s="16" t="str" cm="1">
        <f t="array" ref="D622">_xlfn.XLOOKUP(1, (Table1[Project Name]=Table2[[#This Row],[Project ID]])*(Table1[Plot]=Table2[[#This Row],[Plot]]), Table1[Project ID])</f>
        <v>MJ-03</v>
      </c>
      <c r="E622" s="69">
        <v>290</v>
      </c>
      <c r="F622" s="70">
        <v>308</v>
      </c>
      <c r="G622" s="69">
        <f>Table2[[#This Row],[Time Elapsed]]+Table2[[#This Row],[Time Remaining]]</f>
        <v>598</v>
      </c>
      <c r="H622" s="206" t="s">
        <v>853</v>
      </c>
      <c r="I622" s="207" t="s">
        <v>316</v>
      </c>
      <c r="J622" s="208">
        <v>0.47789999999999999</v>
      </c>
      <c r="K622" s="209">
        <v>0.26860000000000001</v>
      </c>
      <c r="L622" s="13">
        <f>Table2[[#This Row],[Actual %]]-Table2[[#This Row],[Plan %]]</f>
        <v>-0.20929999999999999</v>
      </c>
      <c r="M622" s="225" t="s">
        <v>872</v>
      </c>
      <c r="N622" s="197">
        <v>45862</v>
      </c>
      <c r="O622" s="197"/>
      <c r="P622" s="197">
        <v>45899</v>
      </c>
      <c r="Q622" s="198">
        <v>45554</v>
      </c>
      <c r="R622" s="219" t="s">
        <v>869</v>
      </c>
      <c r="S622" s="220" t="s">
        <v>870</v>
      </c>
      <c r="T622" s="221" t="s">
        <v>619</v>
      </c>
      <c r="U622" s="224">
        <v>78195477.459999993</v>
      </c>
      <c r="V622" s="223">
        <v>0</v>
      </c>
      <c r="W622" s="36">
        <f>Table2[[#This Row],[Construction Contract Amount]]+Table2[[#This Row],[Cumulative Variations]]</f>
        <v>78195477.459999993</v>
      </c>
      <c r="X622" s="36">
        <v>3462518.5382395959</v>
      </c>
      <c r="Y622" s="201"/>
      <c r="Z622" s="36">
        <f>Table2[[#This Row],[Final Contract Value]]+Table2[[#This Row],[Supervision Contract amount]]+Table2[[#This Row],[Authority Cost]]</f>
        <v>81657995.998239592</v>
      </c>
      <c r="AA622" s="36">
        <v>4774958.1100000003</v>
      </c>
      <c r="AB622" s="36">
        <v>1018381.2002880748</v>
      </c>
      <c r="AC622" s="102" t="str">
        <f t="shared" si="32"/>
        <v>https://drive.google.com/thumbnail?id=1YilrYlrEBR5j4gXQtSjyi1aNfDAiAnEu&amp;sz=w1000</v>
      </c>
      <c r="AD622" s="90" t="s">
        <v>885</v>
      </c>
      <c r="AE622" s="103" t="str">
        <f t="shared" si="33"/>
        <v>https://drive.google.com/thumbnail?id=1nRiloij6wjknh-vdXufPMtF9ywgwSqpI&amp;sz=w1000</v>
      </c>
      <c r="AF622" s="90" t="s">
        <v>900</v>
      </c>
      <c r="AG622" s="90" t="str">
        <f t="shared" si="34"/>
        <v>https://drive.google.com/thumbnail?id=1DZ00kl6N0YvT2ZAXdhcx9VQ5hnPKYmSP&amp;sz=w1000</v>
      </c>
      <c r="AH622" s="90" t="s">
        <v>915</v>
      </c>
    </row>
    <row r="623" spans="1:34" ht="22.15" customHeight="1">
      <c r="A623" s="30">
        <v>45548</v>
      </c>
      <c r="B623" s="2" t="s">
        <v>82</v>
      </c>
      <c r="C623" s="2" t="s">
        <v>85</v>
      </c>
      <c r="D623" s="16" t="str" cm="1">
        <f t="array" ref="D623">_xlfn.XLOOKUP(1, (Table1[Project Name]=Table2[[#This Row],[Project ID]])*(Table1[Plot]=Table2[[#This Row],[Plot]]), Table1[Project ID])</f>
        <v>MJ-03</v>
      </c>
      <c r="E623" s="69">
        <v>290</v>
      </c>
      <c r="F623" s="70">
        <v>308</v>
      </c>
      <c r="G623" s="69">
        <f>Table2[[#This Row],[Time Elapsed]]+Table2[[#This Row],[Time Remaining]]</f>
        <v>598</v>
      </c>
      <c r="H623" s="206" t="s">
        <v>853</v>
      </c>
      <c r="I623" s="207" t="s">
        <v>316</v>
      </c>
      <c r="J623" s="208">
        <v>0.47789999999999999</v>
      </c>
      <c r="K623" s="209">
        <v>0.26860000000000001</v>
      </c>
      <c r="L623" s="13">
        <f>Table2[[#This Row],[Actual %]]-Table2[[#This Row],[Plan %]]</f>
        <v>-0.20929999999999999</v>
      </c>
      <c r="M623" s="225" t="s">
        <v>873</v>
      </c>
      <c r="N623" s="197">
        <v>45862</v>
      </c>
      <c r="O623" s="197"/>
      <c r="P623" s="197">
        <v>45931</v>
      </c>
      <c r="Q623" s="198">
        <v>45554</v>
      </c>
      <c r="R623" s="219" t="s">
        <v>869</v>
      </c>
      <c r="S623" s="220" t="s">
        <v>870</v>
      </c>
      <c r="T623" s="221" t="s">
        <v>619</v>
      </c>
      <c r="U623" s="224">
        <v>78195477.459999993</v>
      </c>
      <c r="V623" s="223">
        <v>0</v>
      </c>
      <c r="W623" s="36">
        <f>Table2[[#This Row],[Construction Contract Amount]]+Table2[[#This Row],[Cumulative Variations]]</f>
        <v>78195477.459999993</v>
      </c>
      <c r="X623" s="36">
        <v>3462518.5382395959</v>
      </c>
      <c r="Y623" s="201"/>
      <c r="Z623" s="36">
        <f>Table2[[#This Row],[Final Contract Value]]+Table2[[#This Row],[Supervision Contract amount]]+Table2[[#This Row],[Authority Cost]]</f>
        <v>81657995.998239592</v>
      </c>
      <c r="AA623" s="36">
        <v>4774958.1100000003</v>
      </c>
      <c r="AB623" s="36">
        <v>1018381.2002880748</v>
      </c>
      <c r="AC623" s="102" t="str">
        <f t="shared" si="32"/>
        <v>https://drive.google.com/thumbnail?id=1YilrYlrEBR5j4gXQtSjyi1aNfDAiAnEu&amp;sz=w1000</v>
      </c>
      <c r="AD623" s="90" t="s">
        <v>885</v>
      </c>
      <c r="AE623" s="103" t="str">
        <f t="shared" si="33"/>
        <v>https://drive.google.com/thumbnail?id=1nRiloij6wjknh-vdXufPMtF9ywgwSqpI&amp;sz=w1000</v>
      </c>
      <c r="AF623" s="90" t="s">
        <v>900</v>
      </c>
      <c r="AG623" s="90" t="str">
        <f t="shared" si="34"/>
        <v>https://drive.google.com/thumbnail?id=1DZ00kl6N0YvT2ZAXdhcx9VQ5hnPKYmSP&amp;sz=w1000</v>
      </c>
      <c r="AH623" s="90" t="s">
        <v>915</v>
      </c>
    </row>
    <row r="624" spans="1:34" ht="22.15" customHeight="1">
      <c r="A624" s="30">
        <v>45548</v>
      </c>
      <c r="B624" s="2" t="s">
        <v>82</v>
      </c>
      <c r="C624" s="2" t="s">
        <v>85</v>
      </c>
      <c r="D624" s="16" t="str" cm="1">
        <f t="array" ref="D624">_xlfn.XLOOKUP(1, (Table1[Project Name]=Table2[[#This Row],[Project ID]])*(Table1[Plot]=Table2[[#This Row],[Plot]]), Table1[Project ID])</f>
        <v>MJ-03</v>
      </c>
      <c r="E624" s="69">
        <v>290</v>
      </c>
      <c r="F624" s="70">
        <v>308</v>
      </c>
      <c r="G624" s="69">
        <f>Table2[[#This Row],[Time Elapsed]]+Table2[[#This Row],[Time Remaining]]</f>
        <v>598</v>
      </c>
      <c r="H624" s="206" t="s">
        <v>853</v>
      </c>
      <c r="I624" s="207" t="s">
        <v>316</v>
      </c>
      <c r="J624" s="208">
        <v>0.47789999999999999</v>
      </c>
      <c r="K624" s="209">
        <v>0.26860000000000001</v>
      </c>
      <c r="L624" s="13">
        <f>Table2[[#This Row],[Actual %]]-Table2[[#This Row],[Plan %]]</f>
        <v>-0.20929999999999999</v>
      </c>
      <c r="M624" s="225" t="s">
        <v>874</v>
      </c>
      <c r="N624" s="197">
        <v>45862</v>
      </c>
      <c r="O624" s="197"/>
      <c r="P624" s="197">
        <v>45955</v>
      </c>
      <c r="Q624" s="198">
        <v>45554</v>
      </c>
      <c r="R624" s="219" t="s">
        <v>869</v>
      </c>
      <c r="S624" s="220" t="s">
        <v>870</v>
      </c>
      <c r="T624" s="221" t="s">
        <v>619</v>
      </c>
      <c r="U624" s="224">
        <v>78195477.459999993</v>
      </c>
      <c r="V624" s="223">
        <v>0</v>
      </c>
      <c r="W624" s="36">
        <f>Table2[[#This Row],[Construction Contract Amount]]+Table2[[#This Row],[Cumulative Variations]]</f>
        <v>78195477.459999993</v>
      </c>
      <c r="X624" s="36">
        <v>3462518.5382395959</v>
      </c>
      <c r="Y624" s="201"/>
      <c r="Z624" s="36">
        <f>Table2[[#This Row],[Final Contract Value]]+Table2[[#This Row],[Supervision Contract amount]]+Table2[[#This Row],[Authority Cost]]</f>
        <v>81657995.998239592</v>
      </c>
      <c r="AA624" s="36">
        <v>4774958.1100000003</v>
      </c>
      <c r="AB624" s="36">
        <v>1018381.2002880748</v>
      </c>
      <c r="AC624" s="102" t="str">
        <f t="shared" si="32"/>
        <v>https://drive.google.com/thumbnail?id=1YilrYlrEBR5j4gXQtSjyi1aNfDAiAnEu&amp;sz=w1000</v>
      </c>
      <c r="AD624" s="90" t="s">
        <v>885</v>
      </c>
      <c r="AE624" s="103" t="str">
        <f t="shared" si="33"/>
        <v>https://drive.google.com/thumbnail?id=1nRiloij6wjknh-vdXufPMtF9ywgwSqpI&amp;sz=w1000</v>
      </c>
      <c r="AF624" s="90" t="s">
        <v>900</v>
      </c>
      <c r="AG624" s="90" t="str">
        <f t="shared" si="34"/>
        <v>https://drive.google.com/thumbnail?id=1DZ00kl6N0YvT2ZAXdhcx9VQ5hnPKYmSP&amp;sz=w1000</v>
      </c>
      <c r="AH624" s="90" t="s">
        <v>915</v>
      </c>
    </row>
    <row r="625" spans="1:34" ht="22.15" customHeight="1">
      <c r="A625" s="30">
        <v>45548</v>
      </c>
      <c r="B625" s="2" t="s">
        <v>101</v>
      </c>
      <c r="C625" s="2" t="s">
        <v>12</v>
      </c>
      <c r="D625" s="16" t="str" cm="1">
        <f t="array" ref="D625">_xlfn.XLOOKUP(1, (Table1[Project Name]=Table2[[#This Row],[Project ID]])*(Table1[Plot]=Table2[[#This Row],[Plot]]), Table1[Project ID])</f>
        <v>MJ-08</v>
      </c>
      <c r="E625" s="69">
        <v>60</v>
      </c>
      <c r="F625" s="70">
        <v>733</v>
      </c>
      <c r="G625" s="69">
        <f>Table2[[#This Row],[Time Elapsed]]+Table2[[#This Row],[Time Remaining]]</f>
        <v>793</v>
      </c>
      <c r="H625" s="136" t="s">
        <v>854</v>
      </c>
      <c r="I625" s="136" t="s">
        <v>855</v>
      </c>
      <c r="J625" s="13">
        <v>0</v>
      </c>
      <c r="K625" s="137">
        <v>0</v>
      </c>
      <c r="L625" s="13">
        <f>Table2[[#This Row],[Actual %]]-Table2[[#This Row],[Plan %]]</f>
        <v>0</v>
      </c>
      <c r="M625" s="142" t="s">
        <v>639</v>
      </c>
      <c r="N625" s="197">
        <v>45496</v>
      </c>
      <c r="O625" s="197">
        <v>45496</v>
      </c>
      <c r="P625" s="197"/>
      <c r="Q625" s="198">
        <v>45555</v>
      </c>
      <c r="R625" s="136" t="s">
        <v>875</v>
      </c>
      <c r="S625" s="136" t="s">
        <v>876</v>
      </c>
      <c r="T625" s="143" t="s">
        <v>877</v>
      </c>
      <c r="U625" s="151">
        <v>117010730</v>
      </c>
      <c r="V625" s="152">
        <v>0</v>
      </c>
      <c r="W625" s="36">
        <f>Table2[[#This Row],[Construction Contract Amount]]+Table2[[#This Row],[Cumulative Variations]]</f>
        <v>117010730</v>
      </c>
      <c r="X625" s="36">
        <v>3645800</v>
      </c>
      <c r="Y625" s="201"/>
      <c r="Z625" s="36">
        <f>Table2[[#This Row],[Final Contract Value]]+Table2[[#This Row],[Supervision Contract amount]]+Table2[[#This Row],[Authority Cost]]</f>
        <v>120656530</v>
      </c>
      <c r="AA625" s="36"/>
      <c r="AB625" s="36"/>
      <c r="AC625" s="102" t="str">
        <f t="shared" si="32"/>
        <v>https://drive.google.com/thumbnail?id=1ivqBk1OAmLirXhfrxLBzeUL_jJxegxDI&amp;sz=w1000</v>
      </c>
      <c r="AD625" s="90" t="s">
        <v>886</v>
      </c>
      <c r="AE625" s="103" t="str">
        <f t="shared" si="33"/>
        <v>https://drive.google.com/thumbnail?id=1ErzZnaGRbRgYHrCEwMv-7ly4fAk80jPD&amp;sz=w1000</v>
      </c>
      <c r="AF625" s="90" t="s">
        <v>901</v>
      </c>
      <c r="AG625" s="90" t="str">
        <f t="shared" si="34"/>
        <v>https://drive.google.com/thumbnail?id=12tCRalajPMVE-onCQiXS7R_4zEPBFs_C&amp;sz=w1000</v>
      </c>
      <c r="AH625" s="90" t="s">
        <v>916</v>
      </c>
    </row>
    <row r="626" spans="1:34" ht="22.15" customHeight="1">
      <c r="A626" s="30">
        <v>45548</v>
      </c>
      <c r="B626" s="2" t="s">
        <v>101</v>
      </c>
      <c r="C626" s="2" t="s">
        <v>12</v>
      </c>
      <c r="D626" s="16" t="str" cm="1">
        <f t="array" ref="D626">_xlfn.XLOOKUP(1, (Table1[Project Name]=Table2[[#This Row],[Project ID]])*(Table1[Plot]=Table2[[#This Row],[Plot]]), Table1[Project ID])</f>
        <v>MJ-08</v>
      </c>
      <c r="E626" s="69">
        <v>60</v>
      </c>
      <c r="F626" s="70">
        <v>733</v>
      </c>
      <c r="G626" s="69">
        <f>Table2[[#This Row],[Time Elapsed]]+Table2[[#This Row],[Time Remaining]]</f>
        <v>793</v>
      </c>
      <c r="H626" s="136" t="s">
        <v>854</v>
      </c>
      <c r="I626" s="136" t="s">
        <v>855</v>
      </c>
      <c r="J626" s="13">
        <v>0</v>
      </c>
      <c r="K626" s="137">
        <v>0</v>
      </c>
      <c r="L626" s="13">
        <f>Table2[[#This Row],[Actual %]]-Table2[[#This Row],[Plan %]]</f>
        <v>0</v>
      </c>
      <c r="M626" s="144" t="s">
        <v>642</v>
      </c>
      <c r="N626" s="197">
        <v>45519</v>
      </c>
      <c r="O626" s="197">
        <v>45519</v>
      </c>
      <c r="P626" s="197"/>
      <c r="Q626" s="198">
        <v>45555</v>
      </c>
      <c r="R626" s="136" t="s">
        <v>875</v>
      </c>
      <c r="S626" s="136" t="s">
        <v>876</v>
      </c>
      <c r="T626" s="143" t="s">
        <v>877</v>
      </c>
      <c r="U626" s="151">
        <v>117010730</v>
      </c>
      <c r="V626" s="152"/>
      <c r="W626" s="36">
        <f>Table2[[#This Row],[Construction Contract Amount]]+Table2[[#This Row],[Cumulative Variations]]</f>
        <v>117010730</v>
      </c>
      <c r="X626" s="36">
        <v>3645800</v>
      </c>
      <c r="Y626" s="201"/>
      <c r="Z626" s="36">
        <f>Table2[[#This Row],[Final Contract Value]]+Table2[[#This Row],[Supervision Contract amount]]+Table2[[#This Row],[Authority Cost]]</f>
        <v>120656530</v>
      </c>
      <c r="AA626" s="36"/>
      <c r="AB626" s="36"/>
      <c r="AC626" s="102" t="str">
        <f t="shared" si="32"/>
        <v>https://drive.google.com/thumbnail?id=1ivqBk1OAmLirXhfrxLBzeUL_jJxegxDI&amp;sz=w1000</v>
      </c>
      <c r="AD626" s="90" t="s">
        <v>886</v>
      </c>
      <c r="AE626" s="103" t="str">
        <f t="shared" si="33"/>
        <v>https://drive.google.com/thumbnail?id=1ErzZnaGRbRgYHrCEwMv-7ly4fAk80jPD&amp;sz=w1000</v>
      </c>
      <c r="AF626" s="90" t="s">
        <v>901</v>
      </c>
      <c r="AG626" s="90" t="str">
        <f t="shared" si="34"/>
        <v>https://drive.google.com/thumbnail?id=12tCRalajPMVE-onCQiXS7R_4zEPBFs_C&amp;sz=w1000</v>
      </c>
      <c r="AH626" s="90" t="s">
        <v>916</v>
      </c>
    </row>
    <row r="627" spans="1:34" ht="22.15" customHeight="1">
      <c r="A627" s="30">
        <v>45548</v>
      </c>
      <c r="B627" s="2" t="s">
        <v>101</v>
      </c>
      <c r="C627" s="2" t="s">
        <v>12</v>
      </c>
      <c r="D627" s="16" t="str" cm="1">
        <f t="array" ref="D627">_xlfn.XLOOKUP(1, (Table1[Project Name]=Table2[[#This Row],[Project ID]])*(Table1[Plot]=Table2[[#This Row],[Plot]]), Table1[Project ID])</f>
        <v>MJ-08</v>
      </c>
      <c r="E627" s="69">
        <v>60</v>
      </c>
      <c r="F627" s="70">
        <v>733</v>
      </c>
      <c r="G627" s="69">
        <f>Table2[[#This Row],[Time Elapsed]]+Table2[[#This Row],[Time Remaining]]</f>
        <v>793</v>
      </c>
      <c r="H627" s="136" t="s">
        <v>854</v>
      </c>
      <c r="I627" s="136" t="s">
        <v>855</v>
      </c>
      <c r="J627" s="13">
        <v>0</v>
      </c>
      <c r="K627" s="137">
        <v>0</v>
      </c>
      <c r="L627" s="13">
        <f>Table2[[#This Row],[Actual %]]-Table2[[#This Row],[Plan %]]</f>
        <v>0</v>
      </c>
      <c r="M627" s="144" t="s">
        <v>643</v>
      </c>
      <c r="N627" s="197">
        <v>45558</v>
      </c>
      <c r="O627" s="197"/>
      <c r="P627" s="197">
        <v>45558</v>
      </c>
      <c r="Q627" s="198">
        <v>45555</v>
      </c>
      <c r="R627" s="136" t="s">
        <v>875</v>
      </c>
      <c r="S627" s="136" t="s">
        <v>876</v>
      </c>
      <c r="T627" s="143" t="s">
        <v>877</v>
      </c>
      <c r="U627" s="151">
        <v>117010730</v>
      </c>
      <c r="V627" s="152"/>
      <c r="W627" s="36">
        <f>Table2[[#This Row],[Construction Contract Amount]]+Table2[[#This Row],[Cumulative Variations]]</f>
        <v>117010730</v>
      </c>
      <c r="X627" s="36">
        <v>3645800</v>
      </c>
      <c r="Y627" s="201"/>
      <c r="Z627" s="36">
        <f>Table2[[#This Row],[Final Contract Value]]+Table2[[#This Row],[Supervision Contract amount]]+Table2[[#This Row],[Authority Cost]]</f>
        <v>120656530</v>
      </c>
      <c r="AA627" s="36"/>
      <c r="AB627" s="36"/>
      <c r="AC627" s="102" t="str">
        <f t="shared" si="32"/>
        <v>https://drive.google.com/thumbnail?id=1ivqBk1OAmLirXhfrxLBzeUL_jJxegxDI&amp;sz=w1000</v>
      </c>
      <c r="AD627" s="90" t="s">
        <v>886</v>
      </c>
      <c r="AE627" s="103" t="str">
        <f t="shared" si="33"/>
        <v>https://drive.google.com/thumbnail?id=1ErzZnaGRbRgYHrCEwMv-7ly4fAk80jPD&amp;sz=w1000</v>
      </c>
      <c r="AF627" s="90" t="s">
        <v>901</v>
      </c>
      <c r="AG627" s="90" t="str">
        <f t="shared" si="34"/>
        <v>https://drive.google.com/thumbnail?id=12tCRalajPMVE-onCQiXS7R_4zEPBFs_C&amp;sz=w1000</v>
      </c>
      <c r="AH627" s="90" t="s">
        <v>916</v>
      </c>
    </row>
    <row r="628" spans="1:34" ht="22.15" customHeight="1">
      <c r="A628" s="30">
        <v>45548</v>
      </c>
      <c r="B628" s="2" t="s">
        <v>101</v>
      </c>
      <c r="C628" s="2" t="s">
        <v>12</v>
      </c>
      <c r="D628" s="16" t="str" cm="1">
        <f t="array" ref="D628">_xlfn.XLOOKUP(1, (Table1[Project Name]=Table2[[#This Row],[Project ID]])*(Table1[Plot]=Table2[[#This Row],[Plot]]), Table1[Project ID])</f>
        <v>MJ-08</v>
      </c>
      <c r="E628" s="69">
        <v>60</v>
      </c>
      <c r="F628" s="70">
        <v>733</v>
      </c>
      <c r="G628" s="69">
        <f>Table2[[#This Row],[Time Elapsed]]+Table2[[#This Row],[Time Remaining]]</f>
        <v>793</v>
      </c>
      <c r="H628" s="136" t="s">
        <v>854</v>
      </c>
      <c r="I628" s="136" t="s">
        <v>855</v>
      </c>
      <c r="J628" s="13">
        <v>0</v>
      </c>
      <c r="K628" s="137">
        <v>0</v>
      </c>
      <c r="L628" s="13">
        <f>Table2[[#This Row],[Actual %]]-Table2[[#This Row],[Plan %]]</f>
        <v>0</v>
      </c>
      <c r="M628" s="144" t="s">
        <v>644</v>
      </c>
      <c r="N628" s="197">
        <v>46053</v>
      </c>
      <c r="O628" s="197"/>
      <c r="P628" s="197">
        <v>46053</v>
      </c>
      <c r="Q628" s="198">
        <v>45555</v>
      </c>
      <c r="R628" s="136" t="s">
        <v>875</v>
      </c>
      <c r="S628" s="136" t="s">
        <v>876</v>
      </c>
      <c r="T628" s="143" t="s">
        <v>877</v>
      </c>
      <c r="U628" s="151">
        <v>117010730</v>
      </c>
      <c r="V628" s="152"/>
      <c r="W628" s="36">
        <f>Table2[[#This Row],[Construction Contract Amount]]+Table2[[#This Row],[Cumulative Variations]]</f>
        <v>117010730</v>
      </c>
      <c r="X628" s="36">
        <v>3645800</v>
      </c>
      <c r="Y628" s="201"/>
      <c r="Z628" s="36">
        <f>Table2[[#This Row],[Final Contract Value]]+Table2[[#This Row],[Supervision Contract amount]]+Table2[[#This Row],[Authority Cost]]</f>
        <v>120656530</v>
      </c>
      <c r="AA628" s="36"/>
      <c r="AB628" s="36"/>
      <c r="AC628" s="102" t="str">
        <f t="shared" si="32"/>
        <v>https://drive.google.com/thumbnail?id=1ivqBk1OAmLirXhfrxLBzeUL_jJxegxDI&amp;sz=w1000</v>
      </c>
      <c r="AD628" s="90" t="s">
        <v>886</v>
      </c>
      <c r="AE628" s="103" t="str">
        <f t="shared" si="33"/>
        <v>https://drive.google.com/thumbnail?id=1ErzZnaGRbRgYHrCEwMv-7ly4fAk80jPD&amp;sz=w1000</v>
      </c>
      <c r="AF628" s="90" t="s">
        <v>901</v>
      </c>
      <c r="AG628" s="90" t="str">
        <f t="shared" si="34"/>
        <v>https://drive.google.com/thumbnail?id=12tCRalajPMVE-onCQiXS7R_4zEPBFs_C&amp;sz=w1000</v>
      </c>
      <c r="AH628" s="90" t="s">
        <v>916</v>
      </c>
    </row>
    <row r="629" spans="1:34" ht="22.15" customHeight="1">
      <c r="A629" s="30">
        <v>45548</v>
      </c>
      <c r="B629" s="2" t="s">
        <v>101</v>
      </c>
      <c r="C629" s="2" t="s">
        <v>12</v>
      </c>
      <c r="D629" s="16" t="str" cm="1">
        <f t="array" ref="D629">_xlfn.XLOOKUP(1, (Table1[Project Name]=Table2[[#This Row],[Project ID]])*(Table1[Plot]=Table2[[#This Row],[Plot]]), Table1[Project ID])</f>
        <v>MJ-08</v>
      </c>
      <c r="E629" s="69">
        <v>60</v>
      </c>
      <c r="F629" s="70">
        <v>733</v>
      </c>
      <c r="G629" s="69">
        <f>Table2[[#This Row],[Time Elapsed]]+Table2[[#This Row],[Time Remaining]]</f>
        <v>793</v>
      </c>
      <c r="H629" s="136" t="s">
        <v>854</v>
      </c>
      <c r="I629" s="136" t="s">
        <v>855</v>
      </c>
      <c r="J629" s="13">
        <v>0</v>
      </c>
      <c r="K629" s="137">
        <v>0</v>
      </c>
      <c r="L629" s="13">
        <f>Table2[[#This Row],[Actual %]]-Table2[[#This Row],[Plan %]]</f>
        <v>0</v>
      </c>
      <c r="M629" s="144" t="s">
        <v>645</v>
      </c>
      <c r="N629" s="197">
        <v>46280</v>
      </c>
      <c r="O629" s="197"/>
      <c r="P629" s="197">
        <v>46280</v>
      </c>
      <c r="Q629" s="198">
        <v>45555</v>
      </c>
      <c r="R629" s="136" t="s">
        <v>875</v>
      </c>
      <c r="S629" s="136" t="s">
        <v>876</v>
      </c>
      <c r="T629" s="143" t="s">
        <v>877</v>
      </c>
      <c r="U629" s="151">
        <v>117010730</v>
      </c>
      <c r="V629" s="152"/>
      <c r="W629" s="36">
        <f>Table2[[#This Row],[Construction Contract Amount]]+Table2[[#This Row],[Cumulative Variations]]</f>
        <v>117010730</v>
      </c>
      <c r="X629" s="36">
        <v>3645800</v>
      </c>
      <c r="Y629" s="201"/>
      <c r="Z629" s="36">
        <f>Table2[[#This Row],[Final Contract Value]]+Table2[[#This Row],[Supervision Contract amount]]+Table2[[#This Row],[Authority Cost]]</f>
        <v>120656530</v>
      </c>
      <c r="AA629" s="36"/>
      <c r="AB629" s="36"/>
      <c r="AC629" s="102" t="str">
        <f t="shared" si="32"/>
        <v>https://drive.google.com/thumbnail?id=1ivqBk1OAmLirXhfrxLBzeUL_jJxegxDI&amp;sz=w1000</v>
      </c>
      <c r="AD629" s="90" t="s">
        <v>886</v>
      </c>
      <c r="AE629" s="103" t="str">
        <f t="shared" si="33"/>
        <v>https://drive.google.com/thumbnail?id=1ErzZnaGRbRgYHrCEwMv-7ly4fAk80jPD&amp;sz=w1000</v>
      </c>
      <c r="AF629" s="90" t="s">
        <v>901</v>
      </c>
      <c r="AG629" s="90" t="str">
        <f t="shared" si="34"/>
        <v>https://drive.google.com/thumbnail?id=12tCRalajPMVE-onCQiXS7R_4zEPBFs_C&amp;sz=w1000</v>
      </c>
      <c r="AH629" s="90" t="s">
        <v>916</v>
      </c>
    </row>
    <row r="630" spans="1:34" ht="22.15" customHeight="1">
      <c r="A630" s="30">
        <v>45548</v>
      </c>
      <c r="B630" s="2" t="s">
        <v>101</v>
      </c>
      <c r="C630" s="2" t="s">
        <v>12</v>
      </c>
      <c r="D630" s="16" t="str" cm="1">
        <f t="array" ref="D630">_xlfn.XLOOKUP(1, (Table1[Project Name]=Table2[[#This Row],[Project ID]])*(Table1[Plot]=Table2[[#This Row],[Plot]]), Table1[Project ID])</f>
        <v>MJ-08</v>
      </c>
      <c r="E630" s="69">
        <v>60</v>
      </c>
      <c r="F630" s="70">
        <v>733</v>
      </c>
      <c r="G630" s="69">
        <f>Table2[[#This Row],[Time Elapsed]]+Table2[[#This Row],[Time Remaining]]</f>
        <v>793</v>
      </c>
      <c r="H630" s="136" t="s">
        <v>854</v>
      </c>
      <c r="I630" s="136" t="s">
        <v>855</v>
      </c>
      <c r="J630" s="13">
        <v>0</v>
      </c>
      <c r="K630" s="137">
        <v>0</v>
      </c>
      <c r="L630" s="13">
        <f>Table2[[#This Row],[Actual %]]-Table2[[#This Row],[Plan %]]</f>
        <v>0</v>
      </c>
      <c r="M630" s="144" t="s">
        <v>646</v>
      </c>
      <c r="N630" s="197">
        <v>46227</v>
      </c>
      <c r="O630" s="197"/>
      <c r="P630" s="197">
        <v>46227</v>
      </c>
      <c r="Q630" s="198">
        <v>45555</v>
      </c>
      <c r="R630" s="136" t="s">
        <v>875</v>
      </c>
      <c r="S630" s="136" t="s">
        <v>876</v>
      </c>
      <c r="T630" s="143" t="s">
        <v>877</v>
      </c>
      <c r="U630" s="151">
        <v>117010730</v>
      </c>
      <c r="V630" s="152"/>
      <c r="W630" s="36">
        <f>Table2[[#This Row],[Construction Contract Amount]]+Table2[[#This Row],[Cumulative Variations]]</f>
        <v>117010730</v>
      </c>
      <c r="X630" s="36">
        <v>3645800</v>
      </c>
      <c r="Y630" s="201"/>
      <c r="Z630" s="36">
        <f>Table2[[#This Row],[Final Contract Value]]+Table2[[#This Row],[Supervision Contract amount]]+Table2[[#This Row],[Authority Cost]]</f>
        <v>120656530</v>
      </c>
      <c r="AA630" s="36"/>
      <c r="AB630" s="36"/>
      <c r="AC630" s="102" t="str">
        <f t="shared" si="32"/>
        <v>https://drive.google.com/thumbnail?id=1ivqBk1OAmLirXhfrxLBzeUL_jJxegxDI&amp;sz=w1000</v>
      </c>
      <c r="AD630" s="90" t="s">
        <v>886</v>
      </c>
      <c r="AE630" s="103" t="str">
        <f t="shared" si="33"/>
        <v>https://drive.google.com/thumbnail?id=1ErzZnaGRbRgYHrCEwMv-7ly4fAk80jPD&amp;sz=w1000</v>
      </c>
      <c r="AF630" s="90" t="s">
        <v>901</v>
      </c>
      <c r="AG630" s="90" t="str">
        <f t="shared" si="34"/>
        <v>https://drive.google.com/thumbnail?id=12tCRalajPMVE-onCQiXS7R_4zEPBFs_C&amp;sz=w1000</v>
      </c>
      <c r="AH630" s="90" t="s">
        <v>916</v>
      </c>
    </row>
    <row r="631" spans="1:34" ht="22.15" customHeight="1">
      <c r="A631" s="30">
        <v>45548</v>
      </c>
      <c r="B631" s="2" t="s">
        <v>101</v>
      </c>
      <c r="C631" s="2" t="s">
        <v>12</v>
      </c>
      <c r="D631" s="16" t="str" cm="1">
        <f t="array" ref="D631">_xlfn.XLOOKUP(1, (Table1[Project Name]=Table2[[#This Row],[Project ID]])*(Table1[Plot]=Table2[[#This Row],[Plot]]), Table1[Project ID])</f>
        <v>MJ-08</v>
      </c>
      <c r="E631" s="69">
        <v>60</v>
      </c>
      <c r="F631" s="70">
        <v>733</v>
      </c>
      <c r="G631" s="69">
        <f>Table2[[#This Row],[Time Elapsed]]+Table2[[#This Row],[Time Remaining]]</f>
        <v>793</v>
      </c>
      <c r="H631" s="136" t="s">
        <v>854</v>
      </c>
      <c r="I631" s="136" t="s">
        <v>855</v>
      </c>
      <c r="J631" s="13">
        <v>0</v>
      </c>
      <c r="K631" s="137">
        <v>0</v>
      </c>
      <c r="L631" s="13">
        <f>Table2[[#This Row],[Actual %]]-Table2[[#This Row],[Plan %]]</f>
        <v>0</v>
      </c>
      <c r="M631" s="144" t="s">
        <v>647</v>
      </c>
      <c r="N631" s="197">
        <v>46328</v>
      </c>
      <c r="O631" s="197"/>
      <c r="P631" s="197">
        <v>46328</v>
      </c>
      <c r="Q631" s="198">
        <v>45555</v>
      </c>
      <c r="R631" s="136" t="s">
        <v>875</v>
      </c>
      <c r="S631" s="136" t="s">
        <v>876</v>
      </c>
      <c r="T631" s="143" t="s">
        <v>877</v>
      </c>
      <c r="U631" s="151">
        <v>117010730</v>
      </c>
      <c r="V631" s="152"/>
      <c r="W631" s="36">
        <f>Table2[[#This Row],[Construction Contract Amount]]+Table2[[#This Row],[Cumulative Variations]]</f>
        <v>117010730</v>
      </c>
      <c r="X631" s="36">
        <v>3645800</v>
      </c>
      <c r="Y631" s="201"/>
      <c r="Z631" s="36">
        <f>Table2[[#This Row],[Final Contract Value]]+Table2[[#This Row],[Supervision Contract amount]]+Table2[[#This Row],[Authority Cost]]</f>
        <v>120656530</v>
      </c>
      <c r="AA631" s="36"/>
      <c r="AB631" s="36"/>
      <c r="AC631" s="102" t="str">
        <f t="shared" si="32"/>
        <v>https://drive.google.com/thumbnail?id=1ivqBk1OAmLirXhfrxLBzeUL_jJxegxDI&amp;sz=w1000</v>
      </c>
      <c r="AD631" s="90" t="s">
        <v>886</v>
      </c>
      <c r="AE631" s="103" t="str">
        <f t="shared" si="33"/>
        <v>https://drive.google.com/thumbnail?id=1ErzZnaGRbRgYHrCEwMv-7ly4fAk80jPD&amp;sz=w1000</v>
      </c>
      <c r="AF631" s="90" t="s">
        <v>901</v>
      </c>
      <c r="AG631" s="90" t="str">
        <f t="shared" si="34"/>
        <v>https://drive.google.com/thumbnail?id=12tCRalajPMVE-onCQiXS7R_4zEPBFs_C&amp;sz=w1000</v>
      </c>
      <c r="AH631" s="90" t="s">
        <v>916</v>
      </c>
    </row>
    <row r="632" spans="1:34" ht="22.15" customHeight="1">
      <c r="A632" s="30">
        <v>45548</v>
      </c>
      <c r="B632" s="2" t="s">
        <v>101</v>
      </c>
      <c r="C632" s="2" t="s">
        <v>12</v>
      </c>
      <c r="D632" s="16" t="str" cm="1">
        <f t="array" ref="D632">_xlfn.XLOOKUP(1, (Table1[Project Name]=Table2[[#This Row],[Project ID]])*(Table1[Plot]=Table2[[#This Row],[Plot]]), Table1[Project ID])</f>
        <v>MJ-08</v>
      </c>
      <c r="E632" s="69">
        <v>60</v>
      </c>
      <c r="F632" s="70">
        <v>733</v>
      </c>
      <c r="G632" s="69">
        <f>Table2[[#This Row],[Time Elapsed]]+Table2[[#This Row],[Time Remaining]]</f>
        <v>793</v>
      </c>
      <c r="H632" s="136" t="s">
        <v>854</v>
      </c>
      <c r="I632" s="136" t="s">
        <v>855</v>
      </c>
      <c r="J632" s="13">
        <v>0</v>
      </c>
      <c r="K632" s="137">
        <v>0</v>
      </c>
      <c r="L632" s="13">
        <f>Table2[[#This Row],[Actual %]]-Table2[[#This Row],[Plan %]]</f>
        <v>0</v>
      </c>
      <c r="M632" s="144" t="s">
        <v>648</v>
      </c>
      <c r="N632" s="197">
        <v>45789</v>
      </c>
      <c r="O632" s="197"/>
      <c r="P632" s="197">
        <v>45789</v>
      </c>
      <c r="Q632" s="198">
        <v>45555</v>
      </c>
      <c r="R632" s="136" t="s">
        <v>875</v>
      </c>
      <c r="S632" s="136" t="s">
        <v>876</v>
      </c>
      <c r="T632" s="143" t="s">
        <v>877</v>
      </c>
      <c r="U632" s="151">
        <v>117010730</v>
      </c>
      <c r="V632" s="152"/>
      <c r="W632" s="36">
        <f>Table2[[#This Row],[Construction Contract Amount]]+Table2[[#This Row],[Cumulative Variations]]</f>
        <v>117010730</v>
      </c>
      <c r="X632" s="36">
        <v>3645800</v>
      </c>
      <c r="Y632" s="201"/>
      <c r="Z632" s="36">
        <f>Table2[[#This Row],[Final Contract Value]]+Table2[[#This Row],[Supervision Contract amount]]+Table2[[#This Row],[Authority Cost]]</f>
        <v>120656530</v>
      </c>
      <c r="AA632" s="36"/>
      <c r="AB632" s="36"/>
      <c r="AC632" s="102" t="str">
        <f t="shared" si="32"/>
        <v>https://drive.google.com/thumbnail?id=1ivqBk1OAmLirXhfrxLBzeUL_jJxegxDI&amp;sz=w1000</v>
      </c>
      <c r="AD632" s="90" t="s">
        <v>886</v>
      </c>
      <c r="AE632" s="103" t="str">
        <f t="shared" si="33"/>
        <v>https://drive.google.com/thumbnail?id=1ErzZnaGRbRgYHrCEwMv-7ly4fAk80jPD&amp;sz=w1000</v>
      </c>
      <c r="AF632" s="90" t="s">
        <v>901</v>
      </c>
      <c r="AG632" s="90" t="str">
        <f t="shared" si="34"/>
        <v>https://drive.google.com/thumbnail?id=12tCRalajPMVE-onCQiXS7R_4zEPBFs_C&amp;sz=w1000</v>
      </c>
      <c r="AH632" s="90" t="s">
        <v>916</v>
      </c>
    </row>
    <row r="633" spans="1:34" ht="22.15" customHeight="1">
      <c r="A633" s="30">
        <v>45548</v>
      </c>
      <c r="B633" s="2" t="s">
        <v>101</v>
      </c>
      <c r="C633" s="2" t="s">
        <v>12</v>
      </c>
      <c r="D633" s="16" t="str" cm="1">
        <f t="array" ref="D633">_xlfn.XLOOKUP(1, (Table1[Project Name]=Table2[[#This Row],[Project ID]])*(Table1[Plot]=Table2[[#This Row],[Plot]]), Table1[Project ID])</f>
        <v>MJ-08</v>
      </c>
      <c r="E633" s="69">
        <v>60</v>
      </c>
      <c r="F633" s="70">
        <v>733</v>
      </c>
      <c r="G633" s="69">
        <f>Table2[[#This Row],[Time Elapsed]]+Table2[[#This Row],[Time Remaining]]</f>
        <v>793</v>
      </c>
      <c r="H633" s="136" t="s">
        <v>854</v>
      </c>
      <c r="I633" s="136" t="s">
        <v>855</v>
      </c>
      <c r="J633" s="13">
        <v>0</v>
      </c>
      <c r="K633" s="137">
        <v>0</v>
      </c>
      <c r="L633" s="13">
        <f>Table2[[#This Row],[Actual %]]-Table2[[#This Row],[Plan %]]</f>
        <v>0</v>
      </c>
      <c r="M633" s="144" t="s">
        <v>282</v>
      </c>
      <c r="N633" s="197">
        <v>46126</v>
      </c>
      <c r="O633" s="197"/>
      <c r="P633" s="197">
        <v>46126</v>
      </c>
      <c r="Q633" s="198">
        <v>45555</v>
      </c>
      <c r="R633" s="136" t="s">
        <v>875</v>
      </c>
      <c r="S633" s="136" t="s">
        <v>876</v>
      </c>
      <c r="T633" s="143" t="s">
        <v>877</v>
      </c>
      <c r="U633" s="151">
        <v>117010730</v>
      </c>
      <c r="V633" s="152"/>
      <c r="W633" s="36">
        <f>Table2[[#This Row],[Construction Contract Amount]]+Table2[[#This Row],[Cumulative Variations]]</f>
        <v>117010730</v>
      </c>
      <c r="X633" s="36">
        <v>3645800</v>
      </c>
      <c r="Y633" s="201"/>
      <c r="Z633" s="36">
        <f>Table2[[#This Row],[Final Contract Value]]+Table2[[#This Row],[Supervision Contract amount]]+Table2[[#This Row],[Authority Cost]]</f>
        <v>120656530</v>
      </c>
      <c r="AA633" s="36"/>
      <c r="AB633" s="36"/>
      <c r="AC633" s="102" t="str">
        <f t="shared" si="32"/>
        <v>https://drive.google.com/thumbnail?id=1ivqBk1OAmLirXhfrxLBzeUL_jJxegxDI&amp;sz=w1000</v>
      </c>
      <c r="AD633" s="90" t="s">
        <v>886</v>
      </c>
      <c r="AE633" s="103" t="str">
        <f t="shared" si="33"/>
        <v>https://drive.google.com/thumbnail?id=1ErzZnaGRbRgYHrCEwMv-7ly4fAk80jPD&amp;sz=w1000</v>
      </c>
      <c r="AF633" s="90" t="s">
        <v>901</v>
      </c>
      <c r="AG633" s="90" t="str">
        <f t="shared" si="34"/>
        <v>https://drive.google.com/thumbnail?id=12tCRalajPMVE-onCQiXS7R_4zEPBFs_C&amp;sz=w1000</v>
      </c>
      <c r="AH633" s="90" t="s">
        <v>916</v>
      </c>
    </row>
    <row r="634" spans="1:34" ht="22.15" customHeight="1">
      <c r="A634" s="30">
        <v>45548</v>
      </c>
      <c r="B634" s="2" t="s">
        <v>101</v>
      </c>
      <c r="C634" s="2" t="s">
        <v>12</v>
      </c>
      <c r="D634" s="16" t="str" cm="1">
        <f t="array" ref="D634">_xlfn.XLOOKUP(1, (Table1[Project Name]=Table2[[#This Row],[Project ID]])*(Table1[Plot]=Table2[[#This Row],[Plot]]), Table1[Project ID])</f>
        <v>MJ-08</v>
      </c>
      <c r="E634" s="69">
        <v>60</v>
      </c>
      <c r="F634" s="70">
        <v>733</v>
      </c>
      <c r="G634" s="69">
        <f>Table2[[#This Row],[Time Elapsed]]+Table2[[#This Row],[Time Remaining]]</f>
        <v>793</v>
      </c>
      <c r="H634" s="136" t="s">
        <v>854</v>
      </c>
      <c r="I634" s="136" t="s">
        <v>855</v>
      </c>
      <c r="J634" s="13">
        <v>0</v>
      </c>
      <c r="K634" s="137">
        <v>0</v>
      </c>
      <c r="L634" s="13">
        <f>Table2[[#This Row],[Actual %]]-Table2[[#This Row],[Plan %]]</f>
        <v>0</v>
      </c>
      <c r="M634" s="144" t="s">
        <v>283</v>
      </c>
      <c r="N634" s="197">
        <v>46286</v>
      </c>
      <c r="O634" s="197"/>
      <c r="P634" s="197">
        <v>46286</v>
      </c>
      <c r="Q634" s="198">
        <v>45555</v>
      </c>
      <c r="R634" s="136" t="s">
        <v>875</v>
      </c>
      <c r="S634" s="136" t="s">
        <v>876</v>
      </c>
      <c r="T634" s="143" t="s">
        <v>877</v>
      </c>
      <c r="U634" s="151">
        <v>117010730</v>
      </c>
      <c r="V634" s="152"/>
      <c r="W634" s="36">
        <f>Table2[[#This Row],[Construction Contract Amount]]+Table2[[#This Row],[Cumulative Variations]]</f>
        <v>117010730</v>
      </c>
      <c r="X634" s="36">
        <v>3645800</v>
      </c>
      <c r="Y634" s="201"/>
      <c r="Z634" s="36">
        <f>Table2[[#This Row],[Final Contract Value]]+Table2[[#This Row],[Supervision Contract amount]]+Table2[[#This Row],[Authority Cost]]</f>
        <v>120656530</v>
      </c>
      <c r="AA634" s="36"/>
      <c r="AB634" s="36"/>
      <c r="AC634" s="102" t="str">
        <f t="shared" si="32"/>
        <v>https://drive.google.com/thumbnail?id=1ivqBk1OAmLirXhfrxLBzeUL_jJxegxDI&amp;sz=w1000</v>
      </c>
      <c r="AD634" s="90" t="s">
        <v>886</v>
      </c>
      <c r="AE634" s="103" t="str">
        <f t="shared" si="33"/>
        <v>https://drive.google.com/thumbnail?id=1ErzZnaGRbRgYHrCEwMv-7ly4fAk80jPD&amp;sz=w1000</v>
      </c>
      <c r="AF634" s="90" t="s">
        <v>901</v>
      </c>
      <c r="AG634" s="90" t="str">
        <f t="shared" si="34"/>
        <v>https://drive.google.com/thumbnail?id=12tCRalajPMVE-onCQiXS7R_4zEPBFs_C&amp;sz=w1000</v>
      </c>
      <c r="AH634" s="90" t="s">
        <v>916</v>
      </c>
    </row>
    <row r="635" spans="1:34" ht="22.15" customHeight="1">
      <c r="A635" s="30">
        <v>45548</v>
      </c>
      <c r="B635" s="2" t="s">
        <v>101</v>
      </c>
      <c r="C635" s="2" t="s">
        <v>12</v>
      </c>
      <c r="D635" s="16" t="str" cm="1">
        <f t="array" ref="D635">_xlfn.XLOOKUP(1, (Table1[Project Name]=Table2[[#This Row],[Project ID]])*(Table1[Plot]=Table2[[#This Row],[Plot]]), Table1[Project ID])</f>
        <v>MJ-08</v>
      </c>
      <c r="E635" s="69">
        <v>60</v>
      </c>
      <c r="F635" s="70">
        <v>733</v>
      </c>
      <c r="G635" s="69">
        <f>Table2[[#This Row],[Time Elapsed]]+Table2[[#This Row],[Time Remaining]]</f>
        <v>793</v>
      </c>
      <c r="H635" s="136" t="s">
        <v>854</v>
      </c>
      <c r="I635" s="136" t="s">
        <v>855</v>
      </c>
      <c r="J635" s="13">
        <v>0</v>
      </c>
      <c r="K635" s="137">
        <v>0</v>
      </c>
      <c r="L635" s="13">
        <f>Table2[[#This Row],[Actual %]]-Table2[[#This Row],[Plan %]]</f>
        <v>0</v>
      </c>
      <c r="M635" s="144" t="s">
        <v>649</v>
      </c>
      <c r="N635" s="197">
        <v>46304</v>
      </c>
      <c r="O635" s="197"/>
      <c r="P635" s="197">
        <v>46304</v>
      </c>
      <c r="Q635" s="198">
        <v>45555</v>
      </c>
      <c r="R635" s="136" t="s">
        <v>875</v>
      </c>
      <c r="S635" s="136" t="s">
        <v>876</v>
      </c>
      <c r="T635" s="143" t="s">
        <v>877</v>
      </c>
      <c r="U635" s="151">
        <v>117010730</v>
      </c>
      <c r="V635" s="152"/>
      <c r="W635" s="36">
        <f>Table2[[#This Row],[Construction Contract Amount]]+Table2[[#This Row],[Cumulative Variations]]</f>
        <v>117010730</v>
      </c>
      <c r="X635" s="36">
        <v>3645800</v>
      </c>
      <c r="Y635" s="201"/>
      <c r="Z635" s="36">
        <f>Table2[[#This Row],[Final Contract Value]]+Table2[[#This Row],[Supervision Contract amount]]+Table2[[#This Row],[Authority Cost]]</f>
        <v>120656530</v>
      </c>
      <c r="AA635" s="36"/>
      <c r="AB635" s="36"/>
      <c r="AC635" s="102" t="str">
        <f t="shared" si="32"/>
        <v>https://drive.google.com/thumbnail?id=1ivqBk1OAmLirXhfrxLBzeUL_jJxegxDI&amp;sz=w1000</v>
      </c>
      <c r="AD635" s="90" t="s">
        <v>886</v>
      </c>
      <c r="AE635" s="103" t="str">
        <f t="shared" si="33"/>
        <v>https://drive.google.com/thumbnail?id=1ErzZnaGRbRgYHrCEwMv-7ly4fAk80jPD&amp;sz=w1000</v>
      </c>
      <c r="AF635" s="90" t="s">
        <v>901</v>
      </c>
      <c r="AG635" s="90" t="str">
        <f t="shared" si="34"/>
        <v>https://drive.google.com/thumbnail?id=12tCRalajPMVE-onCQiXS7R_4zEPBFs_C&amp;sz=w1000</v>
      </c>
      <c r="AH635" s="90" t="s">
        <v>916</v>
      </c>
    </row>
    <row r="636" spans="1:34" ht="22.15" customHeight="1">
      <c r="A636" s="30">
        <v>45548</v>
      </c>
      <c r="B636" s="2" t="s">
        <v>101</v>
      </c>
      <c r="C636" s="2" t="s">
        <v>12</v>
      </c>
      <c r="D636" s="16" t="str" cm="1">
        <f t="array" ref="D636">_xlfn.XLOOKUP(1, (Table1[Project Name]=Table2[[#This Row],[Project ID]])*(Table1[Plot]=Table2[[#This Row],[Plot]]), Table1[Project ID])</f>
        <v>MJ-08</v>
      </c>
      <c r="E636" s="69">
        <v>60</v>
      </c>
      <c r="F636" s="70">
        <v>733</v>
      </c>
      <c r="G636" s="69">
        <f>Table2[[#This Row],[Time Elapsed]]+Table2[[#This Row],[Time Remaining]]</f>
        <v>793</v>
      </c>
      <c r="H636" s="136" t="s">
        <v>854</v>
      </c>
      <c r="I636" s="136" t="s">
        <v>855</v>
      </c>
      <c r="J636" s="13">
        <v>0</v>
      </c>
      <c r="K636" s="137">
        <v>0</v>
      </c>
      <c r="L636" s="13">
        <f>Table2[[#This Row],[Actual %]]-Table2[[#This Row],[Plan %]]</f>
        <v>0</v>
      </c>
      <c r="M636" s="144" t="s">
        <v>284</v>
      </c>
      <c r="N636" s="197">
        <v>46288</v>
      </c>
      <c r="O636" s="197"/>
      <c r="P636" s="197">
        <v>46288</v>
      </c>
      <c r="Q636" s="198">
        <v>45555</v>
      </c>
      <c r="R636" s="136" t="s">
        <v>875</v>
      </c>
      <c r="S636" s="136" t="s">
        <v>876</v>
      </c>
      <c r="T636" s="143" t="s">
        <v>877</v>
      </c>
      <c r="U636" s="151">
        <v>117010730</v>
      </c>
      <c r="V636" s="152"/>
      <c r="W636" s="36">
        <f>Table2[[#This Row],[Construction Contract Amount]]+Table2[[#This Row],[Cumulative Variations]]</f>
        <v>117010730</v>
      </c>
      <c r="X636" s="36">
        <v>3645800</v>
      </c>
      <c r="Y636" s="201"/>
      <c r="Z636" s="36">
        <f>Table2[[#This Row],[Final Contract Value]]+Table2[[#This Row],[Supervision Contract amount]]+Table2[[#This Row],[Authority Cost]]</f>
        <v>120656530</v>
      </c>
      <c r="AA636" s="36"/>
      <c r="AB636" s="36"/>
      <c r="AC636" s="102" t="str">
        <f t="shared" si="32"/>
        <v>https://drive.google.com/thumbnail?id=1ivqBk1OAmLirXhfrxLBzeUL_jJxegxDI&amp;sz=w1000</v>
      </c>
      <c r="AD636" s="90" t="s">
        <v>886</v>
      </c>
      <c r="AE636" s="103" t="str">
        <f t="shared" si="33"/>
        <v>https://drive.google.com/thumbnail?id=1ErzZnaGRbRgYHrCEwMv-7ly4fAk80jPD&amp;sz=w1000</v>
      </c>
      <c r="AF636" s="90" t="s">
        <v>901</v>
      </c>
      <c r="AG636" s="90" t="str">
        <f t="shared" si="34"/>
        <v>https://drive.google.com/thumbnail?id=12tCRalajPMVE-onCQiXS7R_4zEPBFs_C&amp;sz=w1000</v>
      </c>
      <c r="AH636" s="90" t="s">
        <v>916</v>
      </c>
    </row>
    <row r="637" spans="1:34" ht="22.15" customHeight="1">
      <c r="A637" s="30">
        <v>45548</v>
      </c>
      <c r="B637" s="2" t="s">
        <v>106</v>
      </c>
      <c r="C637" s="2" t="s">
        <v>109</v>
      </c>
      <c r="D637" s="16" t="str" cm="1">
        <f t="array" ref="D637">_xlfn.XLOOKUP(1, (Table1[Project Name]=Table2[[#This Row],[Project ID]])*(Table1[Plot]=Table2[[#This Row],[Plot]]), Table1[Project ID])</f>
        <v>MJ-09</v>
      </c>
      <c r="E637" s="69">
        <v>60</v>
      </c>
      <c r="F637" s="70">
        <v>733</v>
      </c>
      <c r="G637" s="69">
        <f>Table2[[#This Row],[Time Elapsed]]+Table2[[#This Row],[Time Remaining]]</f>
        <v>793</v>
      </c>
      <c r="H637" s="136" t="s">
        <v>856</v>
      </c>
      <c r="I637" s="136" t="s">
        <v>855</v>
      </c>
      <c r="J637" s="13">
        <v>0</v>
      </c>
      <c r="K637" s="137">
        <v>0</v>
      </c>
      <c r="L637" s="13">
        <f>Table2[[#This Row],[Actual %]]-Table2[[#This Row],[Plan %]]</f>
        <v>0</v>
      </c>
      <c r="M637" s="142" t="s">
        <v>639</v>
      </c>
      <c r="N637" s="195">
        <v>45496</v>
      </c>
      <c r="O637" s="197">
        <v>45496</v>
      </c>
      <c r="P637" s="12"/>
      <c r="Q637" s="198">
        <v>45555</v>
      </c>
      <c r="R637" s="136" t="s">
        <v>774</v>
      </c>
      <c r="S637" s="136" t="s">
        <v>775</v>
      </c>
      <c r="T637" s="143" t="s">
        <v>878</v>
      </c>
      <c r="U637" s="151">
        <v>356759501</v>
      </c>
      <c r="V637" s="152"/>
      <c r="W637" s="36">
        <f>Table2[[#This Row],[Construction Contract Amount]]+Table2[[#This Row],[Cumulative Variations]]</f>
        <v>356759501</v>
      </c>
      <c r="X637" s="36">
        <v>3645800</v>
      </c>
      <c r="Y637" s="201"/>
      <c r="Z637" s="36">
        <f>Table2[[#This Row],[Final Contract Value]]+Table2[[#This Row],[Supervision Contract amount]]+Table2[[#This Row],[Authority Cost]]</f>
        <v>360405301</v>
      </c>
      <c r="AA637" s="36"/>
      <c r="AB637" s="36"/>
      <c r="AC637" s="102" t="str">
        <f t="shared" ref="AC637:AC644" si="36">CONCATENATE("https://drive.google.com/thumbnail?id=", MID(AD637, FIND("/d/", AD637) + 3, FIND("/view", AD637) - FIND("/d/", AD637) - 3), "&amp;sz=w1000")</f>
        <v>https://drive.google.com/thumbnail?id=1fUENaPvI5EGQBpB2AP1I0ESrESO08iWA&amp;sz=w1000</v>
      </c>
      <c r="AD637" s="90" t="s">
        <v>887</v>
      </c>
      <c r="AE637" s="103" t="str">
        <f t="shared" ref="AE637:AE644" si="37">CONCATENATE("https://drive.google.com/thumbnail?id=", MID(AF637, FIND("/d/", AF637) + 3, FIND("/view", AF637) - FIND("/d/", AF637) - 3), "&amp;sz=w1000")</f>
        <v>https://drive.google.com/thumbnail?id=1YiebLoAQwQ3DDXk7k09Eme9jE5xzfvGC&amp;sz=w1000</v>
      </c>
      <c r="AF637" s="90" t="s">
        <v>902</v>
      </c>
      <c r="AG637" s="90" t="str">
        <f t="shared" ref="AG637:AG644" si="38">CONCATENATE("https://drive.google.com/thumbnail?id=", MID(AH637, FIND("/d/", AH637) + 3, FIND("/view", AH637) - FIND("/d/", AH637) - 3), "&amp;sz=w1000")</f>
        <v>https://drive.google.com/thumbnail?id=1Si-fSzjLqtub6Ffxa9vP4q5-r_GljdPA&amp;sz=w1000</v>
      </c>
      <c r="AH637" s="90" t="s">
        <v>917</v>
      </c>
    </row>
    <row r="638" spans="1:34" ht="22.15" customHeight="1">
      <c r="A638" s="30">
        <v>45548</v>
      </c>
      <c r="B638" s="2" t="s">
        <v>106</v>
      </c>
      <c r="C638" s="2" t="s">
        <v>109</v>
      </c>
      <c r="D638" s="16" t="str" cm="1">
        <f t="array" ref="D638">_xlfn.XLOOKUP(1, (Table1[Project Name]=Table2[[#This Row],[Project ID]])*(Table1[Plot]=Table2[[#This Row],[Plot]]), Table1[Project ID])</f>
        <v>MJ-09</v>
      </c>
      <c r="E638" s="69">
        <v>60</v>
      </c>
      <c r="F638" s="70">
        <v>733</v>
      </c>
      <c r="G638" s="69">
        <f>Table2[[#This Row],[Time Elapsed]]+Table2[[#This Row],[Time Remaining]]</f>
        <v>793</v>
      </c>
      <c r="H638" s="136" t="s">
        <v>856</v>
      </c>
      <c r="I638" s="136" t="s">
        <v>855</v>
      </c>
      <c r="J638" s="13">
        <v>0</v>
      </c>
      <c r="K638" s="137">
        <v>0</v>
      </c>
      <c r="L638" s="13">
        <f>Table2[[#This Row],[Actual %]]-Table2[[#This Row],[Plan %]]</f>
        <v>0</v>
      </c>
      <c r="M638" s="142" t="s">
        <v>642</v>
      </c>
      <c r="N638" s="195">
        <v>45519</v>
      </c>
      <c r="O638" s="195">
        <v>45519</v>
      </c>
      <c r="P638" s="195"/>
      <c r="Q638" s="198">
        <v>45555</v>
      </c>
      <c r="R638" s="136" t="s">
        <v>774</v>
      </c>
      <c r="S638" s="136" t="s">
        <v>775</v>
      </c>
      <c r="T638" s="143" t="s">
        <v>878</v>
      </c>
      <c r="U638" s="151">
        <v>356759501</v>
      </c>
      <c r="V638" s="152"/>
      <c r="W638" s="36">
        <f>Table2[[#This Row],[Construction Contract Amount]]+Table2[[#This Row],[Cumulative Variations]]</f>
        <v>356759501</v>
      </c>
      <c r="X638" s="36">
        <v>3645800</v>
      </c>
      <c r="Y638" s="201"/>
      <c r="Z638" s="36">
        <f>Table2[[#This Row],[Final Contract Value]]+Table2[[#This Row],[Supervision Contract amount]]+Table2[[#This Row],[Authority Cost]]</f>
        <v>360405301</v>
      </c>
      <c r="AA638" s="36"/>
      <c r="AB638" s="36"/>
      <c r="AC638" s="102" t="str">
        <f t="shared" si="36"/>
        <v>https://drive.google.com/thumbnail?id=1fUENaPvI5EGQBpB2AP1I0ESrESO08iWA&amp;sz=w1000</v>
      </c>
      <c r="AD638" s="90" t="s">
        <v>887</v>
      </c>
      <c r="AE638" s="103" t="str">
        <f t="shared" si="37"/>
        <v>https://drive.google.com/thumbnail?id=1YiebLoAQwQ3DDXk7k09Eme9jE5xzfvGC&amp;sz=w1000</v>
      </c>
      <c r="AF638" s="90" t="s">
        <v>902</v>
      </c>
      <c r="AG638" s="90" t="str">
        <f t="shared" si="38"/>
        <v>https://drive.google.com/thumbnail?id=1Si-fSzjLqtub6Ffxa9vP4q5-r_GljdPA&amp;sz=w1000</v>
      </c>
      <c r="AH638" s="90" t="s">
        <v>917</v>
      </c>
    </row>
    <row r="639" spans="1:34" ht="22.15" customHeight="1">
      <c r="A639" s="30">
        <v>45548</v>
      </c>
      <c r="B639" s="2" t="s">
        <v>106</v>
      </c>
      <c r="C639" s="2" t="s">
        <v>109</v>
      </c>
      <c r="D639" s="16" t="str" cm="1">
        <f t="array" ref="D639">_xlfn.XLOOKUP(1, (Table1[Project Name]=Table2[[#This Row],[Project ID]])*(Table1[Plot]=Table2[[#This Row],[Plot]]), Table1[Project ID])</f>
        <v>MJ-09</v>
      </c>
      <c r="E639" s="69">
        <v>60</v>
      </c>
      <c r="F639" s="70">
        <v>733</v>
      </c>
      <c r="G639" s="69">
        <f>Table2[[#This Row],[Time Elapsed]]+Table2[[#This Row],[Time Remaining]]</f>
        <v>793</v>
      </c>
      <c r="H639" s="136" t="s">
        <v>856</v>
      </c>
      <c r="I639" s="136" t="s">
        <v>855</v>
      </c>
      <c r="J639" s="13">
        <v>0</v>
      </c>
      <c r="K639" s="137">
        <v>0</v>
      </c>
      <c r="L639" s="13">
        <f>Table2[[#This Row],[Actual %]]-Table2[[#This Row],[Plan %]]</f>
        <v>0</v>
      </c>
      <c r="M639" s="142" t="s">
        <v>643</v>
      </c>
      <c r="N639" s="195">
        <v>46285</v>
      </c>
      <c r="O639" s="195"/>
      <c r="P639" s="195">
        <v>46285</v>
      </c>
      <c r="Q639" s="198">
        <v>45555</v>
      </c>
      <c r="R639" s="136" t="s">
        <v>774</v>
      </c>
      <c r="S639" s="136" t="s">
        <v>775</v>
      </c>
      <c r="T639" s="143" t="s">
        <v>878</v>
      </c>
      <c r="U639" s="151">
        <v>356759501</v>
      </c>
      <c r="V639" s="152"/>
      <c r="W639" s="36">
        <f>Table2[[#This Row],[Construction Contract Amount]]+Table2[[#This Row],[Cumulative Variations]]</f>
        <v>356759501</v>
      </c>
      <c r="X639" s="36">
        <v>3645800</v>
      </c>
      <c r="Y639" s="201"/>
      <c r="Z639" s="36">
        <f>Table2[[#This Row],[Final Contract Value]]+Table2[[#This Row],[Supervision Contract amount]]+Table2[[#This Row],[Authority Cost]]</f>
        <v>360405301</v>
      </c>
      <c r="AA639" s="36"/>
      <c r="AB639" s="36"/>
      <c r="AC639" s="102" t="str">
        <f t="shared" si="36"/>
        <v>https://drive.google.com/thumbnail?id=1fUENaPvI5EGQBpB2AP1I0ESrESO08iWA&amp;sz=w1000</v>
      </c>
      <c r="AD639" s="90" t="s">
        <v>887</v>
      </c>
      <c r="AE639" s="103" t="str">
        <f t="shared" si="37"/>
        <v>https://drive.google.com/thumbnail?id=1YiebLoAQwQ3DDXk7k09Eme9jE5xzfvGC&amp;sz=w1000</v>
      </c>
      <c r="AF639" s="90" t="s">
        <v>902</v>
      </c>
      <c r="AG639" s="90" t="str">
        <f t="shared" si="38"/>
        <v>https://drive.google.com/thumbnail?id=1Si-fSzjLqtub6Ffxa9vP4q5-r_GljdPA&amp;sz=w1000</v>
      </c>
      <c r="AH639" s="90" t="s">
        <v>917</v>
      </c>
    </row>
    <row r="640" spans="1:34" ht="22.15" customHeight="1">
      <c r="A640" s="30">
        <v>45548</v>
      </c>
      <c r="B640" s="2" t="s">
        <v>106</v>
      </c>
      <c r="C640" s="2" t="s">
        <v>109</v>
      </c>
      <c r="D640" s="16" t="str" cm="1">
        <f t="array" ref="D640">_xlfn.XLOOKUP(1, (Table1[Project Name]=Table2[[#This Row],[Project ID]])*(Table1[Plot]=Table2[[#This Row],[Plot]]), Table1[Project ID])</f>
        <v>MJ-09</v>
      </c>
      <c r="E640" s="69">
        <v>60</v>
      </c>
      <c r="F640" s="70">
        <v>733</v>
      </c>
      <c r="G640" s="69">
        <f>Table2[[#This Row],[Time Elapsed]]+Table2[[#This Row],[Time Remaining]]</f>
        <v>793</v>
      </c>
      <c r="H640" s="136" t="s">
        <v>856</v>
      </c>
      <c r="I640" s="136" t="s">
        <v>855</v>
      </c>
      <c r="J640" s="13">
        <v>0</v>
      </c>
      <c r="K640" s="137">
        <v>0</v>
      </c>
      <c r="L640" s="13">
        <f>Table2[[#This Row],[Actual %]]-Table2[[#This Row],[Plan %]]</f>
        <v>0</v>
      </c>
      <c r="M640" s="142" t="s">
        <v>644</v>
      </c>
      <c r="N640" s="195">
        <v>46053</v>
      </c>
      <c r="O640" s="195"/>
      <c r="P640" s="195">
        <v>46053</v>
      </c>
      <c r="Q640" s="198">
        <v>45555</v>
      </c>
      <c r="R640" s="136" t="s">
        <v>774</v>
      </c>
      <c r="S640" s="136" t="s">
        <v>775</v>
      </c>
      <c r="T640" s="143" t="s">
        <v>878</v>
      </c>
      <c r="U640" s="151">
        <v>356759501</v>
      </c>
      <c r="V640" s="152"/>
      <c r="W640" s="36">
        <f>Table2[[#This Row],[Construction Contract Amount]]+Table2[[#This Row],[Cumulative Variations]]</f>
        <v>356759501</v>
      </c>
      <c r="X640" s="36">
        <v>3645800</v>
      </c>
      <c r="Y640" s="201"/>
      <c r="Z640" s="36">
        <f>Table2[[#This Row],[Final Contract Value]]+Table2[[#This Row],[Supervision Contract amount]]+Table2[[#This Row],[Authority Cost]]</f>
        <v>360405301</v>
      </c>
      <c r="AA640" s="36"/>
      <c r="AB640" s="36"/>
      <c r="AC640" s="102" t="str">
        <f t="shared" si="36"/>
        <v>https://drive.google.com/thumbnail?id=1fUENaPvI5EGQBpB2AP1I0ESrESO08iWA&amp;sz=w1000</v>
      </c>
      <c r="AD640" s="90" t="s">
        <v>887</v>
      </c>
      <c r="AE640" s="103" t="str">
        <f t="shared" si="37"/>
        <v>https://drive.google.com/thumbnail?id=1YiebLoAQwQ3DDXk7k09Eme9jE5xzfvGC&amp;sz=w1000</v>
      </c>
      <c r="AF640" s="90" t="s">
        <v>902</v>
      </c>
      <c r="AG640" s="90" t="str">
        <f t="shared" si="38"/>
        <v>https://drive.google.com/thumbnail?id=1Si-fSzjLqtub6Ffxa9vP4q5-r_GljdPA&amp;sz=w1000</v>
      </c>
      <c r="AH640" s="90" t="s">
        <v>917</v>
      </c>
    </row>
    <row r="641" spans="1:34" ht="22.15" customHeight="1">
      <c r="A641" s="30">
        <v>45548</v>
      </c>
      <c r="B641" s="2" t="s">
        <v>106</v>
      </c>
      <c r="C641" s="2" t="s">
        <v>109</v>
      </c>
      <c r="D641" s="16" t="str" cm="1">
        <f t="array" ref="D641">_xlfn.XLOOKUP(1, (Table1[Project Name]=Table2[[#This Row],[Project ID]])*(Table1[Plot]=Table2[[#This Row],[Plot]]), Table1[Project ID])</f>
        <v>MJ-09</v>
      </c>
      <c r="E641" s="69">
        <v>60</v>
      </c>
      <c r="F641" s="70">
        <v>733</v>
      </c>
      <c r="G641" s="69">
        <f>Table2[[#This Row],[Time Elapsed]]+Table2[[#This Row],[Time Remaining]]</f>
        <v>793</v>
      </c>
      <c r="H641" s="136" t="s">
        <v>856</v>
      </c>
      <c r="I641" s="136" t="s">
        <v>855</v>
      </c>
      <c r="J641" s="13">
        <v>0</v>
      </c>
      <c r="K641" s="137">
        <v>0</v>
      </c>
      <c r="L641" s="13">
        <f>Table2[[#This Row],[Actual %]]-Table2[[#This Row],[Plan %]]</f>
        <v>0</v>
      </c>
      <c r="M641" s="142" t="s">
        <v>650</v>
      </c>
      <c r="N641" s="195">
        <v>46280</v>
      </c>
      <c r="O641" s="195"/>
      <c r="P641" s="195">
        <v>46280</v>
      </c>
      <c r="Q641" s="198">
        <v>45555</v>
      </c>
      <c r="R641" s="136" t="s">
        <v>774</v>
      </c>
      <c r="S641" s="136" t="s">
        <v>775</v>
      </c>
      <c r="T641" s="143" t="s">
        <v>878</v>
      </c>
      <c r="U641" s="151">
        <v>356759501</v>
      </c>
      <c r="V641" s="152"/>
      <c r="W641" s="36">
        <f>Table2[[#This Row],[Construction Contract Amount]]+Table2[[#This Row],[Cumulative Variations]]</f>
        <v>356759501</v>
      </c>
      <c r="X641" s="36">
        <v>3645800</v>
      </c>
      <c r="Y641" s="201"/>
      <c r="Z641" s="36">
        <f>Table2[[#This Row],[Final Contract Value]]+Table2[[#This Row],[Supervision Contract amount]]+Table2[[#This Row],[Authority Cost]]</f>
        <v>360405301</v>
      </c>
      <c r="AA641" s="36"/>
      <c r="AB641" s="36"/>
      <c r="AC641" s="102" t="str">
        <f t="shared" si="36"/>
        <v>https://drive.google.com/thumbnail?id=1fUENaPvI5EGQBpB2AP1I0ESrESO08iWA&amp;sz=w1000</v>
      </c>
      <c r="AD641" s="90" t="s">
        <v>887</v>
      </c>
      <c r="AE641" s="103" t="str">
        <f t="shared" si="37"/>
        <v>https://drive.google.com/thumbnail?id=1YiebLoAQwQ3DDXk7k09Eme9jE5xzfvGC&amp;sz=w1000</v>
      </c>
      <c r="AF641" s="90" t="s">
        <v>902</v>
      </c>
      <c r="AG641" s="90" t="str">
        <f t="shared" si="38"/>
        <v>https://drive.google.com/thumbnail?id=1Si-fSzjLqtub6Ffxa9vP4q5-r_GljdPA&amp;sz=w1000</v>
      </c>
      <c r="AH641" s="90" t="s">
        <v>917</v>
      </c>
    </row>
    <row r="642" spans="1:34" ht="22.15" customHeight="1">
      <c r="A642" s="30">
        <v>45548</v>
      </c>
      <c r="B642" s="2" t="s">
        <v>106</v>
      </c>
      <c r="C642" s="2" t="s">
        <v>109</v>
      </c>
      <c r="D642" s="16" t="str" cm="1">
        <f t="array" ref="D642">_xlfn.XLOOKUP(1, (Table1[Project Name]=Table2[[#This Row],[Project ID]])*(Table1[Plot]=Table2[[#This Row],[Plot]]), Table1[Project ID])</f>
        <v>MJ-09</v>
      </c>
      <c r="E642" s="69">
        <v>60</v>
      </c>
      <c r="F642" s="70">
        <v>733</v>
      </c>
      <c r="G642" s="69">
        <f>Table2[[#This Row],[Time Elapsed]]+Table2[[#This Row],[Time Remaining]]</f>
        <v>793</v>
      </c>
      <c r="H642" s="136" t="s">
        <v>856</v>
      </c>
      <c r="I642" s="136" t="s">
        <v>855</v>
      </c>
      <c r="J642" s="13">
        <v>0</v>
      </c>
      <c r="K642" s="137">
        <v>0</v>
      </c>
      <c r="L642" s="13">
        <f>Table2[[#This Row],[Actual %]]-Table2[[#This Row],[Plan %]]</f>
        <v>0</v>
      </c>
      <c r="M642" s="142" t="s">
        <v>651</v>
      </c>
      <c r="N642" s="195">
        <v>46090</v>
      </c>
      <c r="O642" s="195"/>
      <c r="P642" s="195">
        <v>46090</v>
      </c>
      <c r="Q642" s="198">
        <v>45555</v>
      </c>
      <c r="R642" s="136" t="s">
        <v>774</v>
      </c>
      <c r="S642" s="136" t="s">
        <v>775</v>
      </c>
      <c r="T642" s="143" t="s">
        <v>878</v>
      </c>
      <c r="U642" s="151">
        <v>356759501</v>
      </c>
      <c r="V642" s="152"/>
      <c r="W642" s="36">
        <f>Table2[[#This Row],[Construction Contract Amount]]+Table2[[#This Row],[Cumulative Variations]]</f>
        <v>356759501</v>
      </c>
      <c r="X642" s="36">
        <v>3645800</v>
      </c>
      <c r="Y642" s="201"/>
      <c r="Z642" s="36">
        <f>Table2[[#This Row],[Final Contract Value]]+Table2[[#This Row],[Supervision Contract amount]]+Table2[[#This Row],[Authority Cost]]</f>
        <v>360405301</v>
      </c>
      <c r="AA642" s="36"/>
      <c r="AB642" s="36"/>
      <c r="AC642" s="102" t="str">
        <f t="shared" si="36"/>
        <v>https://drive.google.com/thumbnail?id=1fUENaPvI5EGQBpB2AP1I0ESrESO08iWA&amp;sz=w1000</v>
      </c>
      <c r="AD642" s="90" t="s">
        <v>887</v>
      </c>
      <c r="AE642" s="103" t="str">
        <f t="shared" si="37"/>
        <v>https://drive.google.com/thumbnail?id=1YiebLoAQwQ3DDXk7k09Eme9jE5xzfvGC&amp;sz=w1000</v>
      </c>
      <c r="AF642" s="90" t="s">
        <v>902</v>
      </c>
      <c r="AG642" s="90" t="str">
        <f t="shared" si="38"/>
        <v>https://drive.google.com/thumbnail?id=1Si-fSzjLqtub6Ffxa9vP4q5-r_GljdPA&amp;sz=w1000</v>
      </c>
      <c r="AH642" s="90" t="s">
        <v>917</v>
      </c>
    </row>
    <row r="643" spans="1:34" ht="22.15" customHeight="1">
      <c r="A643" s="30">
        <v>45548</v>
      </c>
      <c r="B643" s="2" t="s">
        <v>106</v>
      </c>
      <c r="C643" s="2" t="s">
        <v>109</v>
      </c>
      <c r="D643" s="16" t="str" cm="1">
        <f t="array" ref="D643">_xlfn.XLOOKUP(1, (Table1[Project Name]=Table2[[#This Row],[Project ID]])*(Table1[Plot]=Table2[[#This Row],[Plot]]), Table1[Project ID])</f>
        <v>MJ-09</v>
      </c>
      <c r="E643" s="69">
        <v>60</v>
      </c>
      <c r="F643" s="70">
        <v>733</v>
      </c>
      <c r="G643" s="69">
        <f>Table2[[#This Row],[Time Elapsed]]+Table2[[#This Row],[Time Remaining]]</f>
        <v>793</v>
      </c>
      <c r="H643" s="136" t="s">
        <v>856</v>
      </c>
      <c r="I643" s="136" t="s">
        <v>855</v>
      </c>
      <c r="J643" s="13">
        <v>0</v>
      </c>
      <c r="K643" s="137">
        <v>0</v>
      </c>
      <c r="L643" s="13">
        <f>Table2[[#This Row],[Actual %]]-Table2[[#This Row],[Plan %]]</f>
        <v>0</v>
      </c>
      <c r="M643" s="142" t="s">
        <v>652</v>
      </c>
      <c r="N643" s="195">
        <v>46212</v>
      </c>
      <c r="O643" s="195"/>
      <c r="P643" s="195">
        <v>46212</v>
      </c>
      <c r="Q643" s="198">
        <v>45555</v>
      </c>
      <c r="R643" s="136" t="s">
        <v>774</v>
      </c>
      <c r="S643" s="136" t="s">
        <v>775</v>
      </c>
      <c r="T643" s="143" t="s">
        <v>878</v>
      </c>
      <c r="U643" s="151">
        <v>356759501</v>
      </c>
      <c r="V643" s="152"/>
      <c r="W643" s="36">
        <f>Table2[[#This Row],[Construction Contract Amount]]+Table2[[#This Row],[Cumulative Variations]]</f>
        <v>356759501</v>
      </c>
      <c r="X643" s="36">
        <v>3645800</v>
      </c>
      <c r="Y643" s="201"/>
      <c r="Z643" s="36">
        <f>Table2[[#This Row],[Final Contract Value]]+Table2[[#This Row],[Supervision Contract amount]]+Table2[[#This Row],[Authority Cost]]</f>
        <v>360405301</v>
      </c>
      <c r="AA643" s="36"/>
      <c r="AB643" s="36"/>
      <c r="AC643" s="102" t="str">
        <f t="shared" si="36"/>
        <v>https://drive.google.com/thumbnail?id=1fUENaPvI5EGQBpB2AP1I0ESrESO08iWA&amp;sz=w1000</v>
      </c>
      <c r="AD643" s="90" t="s">
        <v>887</v>
      </c>
      <c r="AE643" s="103" t="str">
        <f t="shared" si="37"/>
        <v>https://drive.google.com/thumbnail?id=1YiebLoAQwQ3DDXk7k09Eme9jE5xzfvGC&amp;sz=w1000</v>
      </c>
      <c r="AF643" s="90" t="s">
        <v>902</v>
      </c>
      <c r="AG643" s="90" t="str">
        <f t="shared" si="38"/>
        <v>https://drive.google.com/thumbnail?id=1Si-fSzjLqtub6Ffxa9vP4q5-r_GljdPA&amp;sz=w1000</v>
      </c>
      <c r="AH643" s="90" t="s">
        <v>917</v>
      </c>
    </row>
    <row r="644" spans="1:34" ht="22.15" customHeight="1">
      <c r="A644" s="30">
        <v>45548</v>
      </c>
      <c r="B644" s="2" t="s">
        <v>106</v>
      </c>
      <c r="C644" s="2" t="s">
        <v>109</v>
      </c>
      <c r="D644" s="16" t="str" cm="1">
        <f t="array" ref="D644">_xlfn.XLOOKUP(1, (Table1[Project Name]=Table2[[#This Row],[Project ID]])*(Table1[Plot]=Table2[[#This Row],[Plot]]), Table1[Project ID])</f>
        <v>MJ-09</v>
      </c>
      <c r="E644" s="69">
        <v>60</v>
      </c>
      <c r="F644" s="70">
        <v>733</v>
      </c>
      <c r="G644" s="69">
        <f>Table2[[#This Row],[Time Elapsed]]+Table2[[#This Row],[Time Remaining]]</f>
        <v>793</v>
      </c>
      <c r="H644" s="136" t="s">
        <v>856</v>
      </c>
      <c r="I644" s="136" t="s">
        <v>855</v>
      </c>
      <c r="J644" s="13">
        <v>0</v>
      </c>
      <c r="K644" s="137">
        <v>0</v>
      </c>
      <c r="L644" s="13">
        <f>Table2[[#This Row],[Actual %]]-Table2[[#This Row],[Plan %]]</f>
        <v>0</v>
      </c>
      <c r="M644" s="142" t="s">
        <v>653</v>
      </c>
      <c r="N644" s="195">
        <v>46031</v>
      </c>
      <c r="O644" s="195"/>
      <c r="P644" s="195">
        <v>46031</v>
      </c>
      <c r="Q644" s="198">
        <v>45555</v>
      </c>
      <c r="R644" s="136" t="s">
        <v>774</v>
      </c>
      <c r="S644" s="136" t="s">
        <v>775</v>
      </c>
      <c r="T644" s="143" t="s">
        <v>878</v>
      </c>
      <c r="U644" s="151">
        <v>356759501</v>
      </c>
      <c r="V644" s="152"/>
      <c r="W644" s="36">
        <f>Table2[[#This Row],[Construction Contract Amount]]+Table2[[#This Row],[Cumulative Variations]]</f>
        <v>356759501</v>
      </c>
      <c r="X644" s="36">
        <v>3645800</v>
      </c>
      <c r="Y644" s="201"/>
      <c r="Z644" s="36">
        <f>Table2[[#This Row],[Final Contract Value]]+Table2[[#This Row],[Supervision Contract amount]]+Table2[[#This Row],[Authority Cost]]</f>
        <v>360405301</v>
      </c>
      <c r="AA644" s="36"/>
      <c r="AB644" s="36"/>
      <c r="AC644" s="102" t="str">
        <f t="shared" si="36"/>
        <v>https://drive.google.com/thumbnail?id=1fUENaPvI5EGQBpB2AP1I0ESrESO08iWA&amp;sz=w1000</v>
      </c>
      <c r="AD644" s="90" t="s">
        <v>887</v>
      </c>
      <c r="AE644" s="103" t="str">
        <f t="shared" si="37"/>
        <v>https://drive.google.com/thumbnail?id=1YiebLoAQwQ3DDXk7k09Eme9jE5xzfvGC&amp;sz=w1000</v>
      </c>
      <c r="AF644" s="90" t="s">
        <v>902</v>
      </c>
      <c r="AG644" s="90" t="str">
        <f t="shared" si="38"/>
        <v>https://drive.google.com/thumbnail?id=1Si-fSzjLqtub6Ffxa9vP4q5-r_GljdPA&amp;sz=w1000</v>
      </c>
      <c r="AH644" s="90" t="s">
        <v>917</v>
      </c>
    </row>
    <row r="645" spans="1:34" ht="22.15" customHeight="1">
      <c r="A645" s="30">
        <v>45548</v>
      </c>
      <c r="B645" s="2" t="s">
        <v>106</v>
      </c>
      <c r="C645" s="2" t="s">
        <v>109</v>
      </c>
      <c r="D645" s="16" t="str" cm="1">
        <f t="array" ref="D645">_xlfn.XLOOKUP(1, (Table1[Project Name]=Table2[[#This Row],[Project ID]])*(Table1[Plot]=Table2[[#This Row],[Plot]]), Table1[Project ID])</f>
        <v>MJ-09</v>
      </c>
      <c r="E645" s="69">
        <v>60</v>
      </c>
      <c r="F645" s="70">
        <v>733</v>
      </c>
      <c r="G645" s="69">
        <f>Table2[[#This Row],[Time Elapsed]]+Table2[[#This Row],[Time Remaining]]</f>
        <v>793</v>
      </c>
      <c r="H645" s="136" t="s">
        <v>856</v>
      </c>
      <c r="I645" s="136" t="s">
        <v>855</v>
      </c>
      <c r="J645" s="13">
        <v>0</v>
      </c>
      <c r="K645" s="137">
        <v>0</v>
      </c>
      <c r="L645" s="13">
        <f>Table2[[#This Row],[Actual %]]-Table2[[#This Row],[Plan %]]</f>
        <v>0</v>
      </c>
      <c r="M645" s="142" t="s">
        <v>654</v>
      </c>
      <c r="N645" s="195">
        <v>46225</v>
      </c>
      <c r="O645" s="195"/>
      <c r="P645" s="195">
        <v>46225</v>
      </c>
      <c r="Q645" s="198">
        <v>45555</v>
      </c>
      <c r="R645" s="136" t="s">
        <v>774</v>
      </c>
      <c r="S645" s="136" t="s">
        <v>775</v>
      </c>
      <c r="T645" s="143" t="s">
        <v>878</v>
      </c>
      <c r="U645" s="151">
        <v>356759501</v>
      </c>
      <c r="V645" s="152"/>
      <c r="W645" s="36">
        <f>Table2[[#This Row],[Construction Contract Amount]]+Table2[[#This Row],[Cumulative Variations]]</f>
        <v>356759501</v>
      </c>
      <c r="X645" s="36">
        <v>3645800</v>
      </c>
      <c r="Y645" s="201"/>
      <c r="Z645" s="36">
        <f>Table2[[#This Row],[Final Contract Value]]+Table2[[#This Row],[Supervision Contract amount]]+Table2[[#This Row],[Authority Cost]]</f>
        <v>360405301</v>
      </c>
      <c r="AA645" s="36"/>
      <c r="AB645" s="36"/>
      <c r="AC645" s="102" t="str">
        <f t="shared" ref="AC645:AC676" si="39">CONCATENATE("https://drive.google.com/thumbnail?id=", MID(AD645, FIND("/d/", AD645) + 3, FIND("/view", AD645) - FIND("/d/", AD645) - 3), "&amp;sz=w1000")</f>
        <v>https://drive.google.com/thumbnail?id=1fUENaPvI5EGQBpB2AP1I0ESrESO08iWA&amp;sz=w1000</v>
      </c>
      <c r="AD645" s="90" t="s">
        <v>887</v>
      </c>
      <c r="AE645" s="103" t="str">
        <f t="shared" ref="AE645:AE676" si="40">CONCATENATE("https://drive.google.com/thumbnail?id=", MID(AF645, FIND("/d/", AF645) + 3, FIND("/view", AF645) - FIND("/d/", AF645) - 3), "&amp;sz=w1000")</f>
        <v>https://drive.google.com/thumbnail?id=1YiebLoAQwQ3DDXk7k09Eme9jE5xzfvGC&amp;sz=w1000</v>
      </c>
      <c r="AF645" s="90" t="s">
        <v>902</v>
      </c>
      <c r="AG645" s="90" t="str">
        <f t="shared" ref="AG645:AG676" si="41">CONCATENATE("https://drive.google.com/thumbnail?id=", MID(AH645, FIND("/d/", AH645) + 3, FIND("/view", AH645) - FIND("/d/", AH645) - 3), "&amp;sz=w1000")</f>
        <v>https://drive.google.com/thumbnail?id=1Si-fSzjLqtub6Ffxa9vP4q5-r_GljdPA&amp;sz=w1000</v>
      </c>
      <c r="AH645" s="90" t="s">
        <v>917</v>
      </c>
    </row>
    <row r="646" spans="1:34" ht="22.15" customHeight="1">
      <c r="A646" s="30">
        <v>45548</v>
      </c>
      <c r="B646" s="2" t="s">
        <v>106</v>
      </c>
      <c r="C646" s="2" t="s">
        <v>109</v>
      </c>
      <c r="D646" s="16" t="str" cm="1">
        <f t="array" ref="D646">_xlfn.XLOOKUP(1, (Table1[Project Name]=Table2[[#This Row],[Project ID]])*(Table1[Plot]=Table2[[#This Row],[Plot]]), Table1[Project ID])</f>
        <v>MJ-09</v>
      </c>
      <c r="E646" s="69">
        <v>60</v>
      </c>
      <c r="F646" s="70">
        <v>733</v>
      </c>
      <c r="G646" s="69">
        <f>Table2[[#This Row],[Time Elapsed]]+Table2[[#This Row],[Time Remaining]]</f>
        <v>793</v>
      </c>
      <c r="H646" s="136" t="s">
        <v>856</v>
      </c>
      <c r="I646" s="136" t="s">
        <v>855</v>
      </c>
      <c r="J646" s="13">
        <v>0</v>
      </c>
      <c r="K646" s="137">
        <v>0</v>
      </c>
      <c r="L646" s="13">
        <f>Table2[[#This Row],[Actual %]]-Table2[[#This Row],[Plan %]]</f>
        <v>0</v>
      </c>
      <c r="M646" s="142" t="s">
        <v>655</v>
      </c>
      <c r="N646" s="195">
        <v>46234</v>
      </c>
      <c r="O646" s="195"/>
      <c r="P646" s="195">
        <v>46234</v>
      </c>
      <c r="Q646" s="198">
        <v>45555</v>
      </c>
      <c r="R646" s="136" t="s">
        <v>774</v>
      </c>
      <c r="S646" s="136" t="s">
        <v>775</v>
      </c>
      <c r="T646" s="143" t="s">
        <v>878</v>
      </c>
      <c r="U646" s="151">
        <v>356759501</v>
      </c>
      <c r="V646" s="152"/>
      <c r="W646" s="36">
        <f>Table2[[#This Row],[Construction Contract Amount]]+Table2[[#This Row],[Cumulative Variations]]</f>
        <v>356759501</v>
      </c>
      <c r="X646" s="36">
        <v>3645800</v>
      </c>
      <c r="Y646" s="201"/>
      <c r="Z646" s="36">
        <f>Table2[[#This Row],[Final Contract Value]]+Table2[[#This Row],[Supervision Contract amount]]+Table2[[#This Row],[Authority Cost]]</f>
        <v>360405301</v>
      </c>
      <c r="AA646" s="36"/>
      <c r="AB646" s="36"/>
      <c r="AC646" s="102" t="str">
        <f t="shared" si="39"/>
        <v>https://drive.google.com/thumbnail?id=1fUENaPvI5EGQBpB2AP1I0ESrESO08iWA&amp;sz=w1000</v>
      </c>
      <c r="AD646" s="90" t="s">
        <v>887</v>
      </c>
      <c r="AE646" s="103" t="str">
        <f t="shared" si="40"/>
        <v>https://drive.google.com/thumbnail?id=1YiebLoAQwQ3DDXk7k09Eme9jE5xzfvGC&amp;sz=w1000</v>
      </c>
      <c r="AF646" s="90" t="s">
        <v>902</v>
      </c>
      <c r="AG646" s="90" t="str">
        <f t="shared" si="41"/>
        <v>https://drive.google.com/thumbnail?id=1Si-fSzjLqtub6Ffxa9vP4q5-r_GljdPA&amp;sz=w1000</v>
      </c>
      <c r="AH646" s="90" t="s">
        <v>917</v>
      </c>
    </row>
    <row r="647" spans="1:34" ht="22.15" customHeight="1">
      <c r="A647" s="30">
        <v>45548</v>
      </c>
      <c r="B647" s="2" t="s">
        <v>106</v>
      </c>
      <c r="C647" s="2" t="s">
        <v>109</v>
      </c>
      <c r="D647" s="16" t="str" cm="1">
        <f t="array" ref="D647">_xlfn.XLOOKUP(1, (Table1[Project Name]=Table2[[#This Row],[Project ID]])*(Table1[Plot]=Table2[[#This Row],[Plot]]), Table1[Project ID])</f>
        <v>MJ-09</v>
      </c>
      <c r="E647" s="69">
        <v>60</v>
      </c>
      <c r="F647" s="70">
        <v>733</v>
      </c>
      <c r="G647" s="69">
        <f>Table2[[#This Row],[Time Elapsed]]+Table2[[#This Row],[Time Remaining]]</f>
        <v>793</v>
      </c>
      <c r="H647" s="136" t="s">
        <v>856</v>
      </c>
      <c r="I647" s="136" t="s">
        <v>855</v>
      </c>
      <c r="J647" s="13">
        <v>0</v>
      </c>
      <c r="K647" s="137">
        <v>0</v>
      </c>
      <c r="L647" s="13">
        <f>Table2[[#This Row],[Actual %]]-Table2[[#This Row],[Plan %]]</f>
        <v>0</v>
      </c>
      <c r="M647" s="142" t="s">
        <v>656</v>
      </c>
      <c r="N647" s="195">
        <v>45789</v>
      </c>
      <c r="O647" s="195"/>
      <c r="P647" s="195">
        <v>45789</v>
      </c>
      <c r="Q647" s="198">
        <v>45555</v>
      </c>
      <c r="R647" s="136" t="s">
        <v>774</v>
      </c>
      <c r="S647" s="136" t="s">
        <v>775</v>
      </c>
      <c r="T647" s="143" t="s">
        <v>878</v>
      </c>
      <c r="U647" s="151">
        <v>356759501</v>
      </c>
      <c r="V647" s="152"/>
      <c r="W647" s="36">
        <f>Table2[[#This Row],[Construction Contract Amount]]+Table2[[#This Row],[Cumulative Variations]]</f>
        <v>356759501</v>
      </c>
      <c r="X647" s="36">
        <v>3645800</v>
      </c>
      <c r="Y647" s="201"/>
      <c r="Z647" s="36">
        <f>Table2[[#This Row],[Final Contract Value]]+Table2[[#This Row],[Supervision Contract amount]]+Table2[[#This Row],[Authority Cost]]</f>
        <v>360405301</v>
      </c>
      <c r="AA647" s="36"/>
      <c r="AB647" s="36"/>
      <c r="AC647" s="102" t="str">
        <f t="shared" si="39"/>
        <v>https://drive.google.com/thumbnail?id=1fUENaPvI5EGQBpB2AP1I0ESrESO08iWA&amp;sz=w1000</v>
      </c>
      <c r="AD647" s="90" t="s">
        <v>887</v>
      </c>
      <c r="AE647" s="103" t="str">
        <f t="shared" si="40"/>
        <v>https://drive.google.com/thumbnail?id=1YiebLoAQwQ3DDXk7k09Eme9jE5xzfvGC&amp;sz=w1000</v>
      </c>
      <c r="AF647" s="90" t="s">
        <v>902</v>
      </c>
      <c r="AG647" s="90" t="str">
        <f t="shared" si="41"/>
        <v>https://drive.google.com/thumbnail?id=1Si-fSzjLqtub6Ffxa9vP4q5-r_GljdPA&amp;sz=w1000</v>
      </c>
      <c r="AH647" s="90" t="s">
        <v>917</v>
      </c>
    </row>
    <row r="648" spans="1:34" ht="22.15" customHeight="1">
      <c r="A648" s="30">
        <v>45548</v>
      </c>
      <c r="B648" s="2" t="s">
        <v>106</v>
      </c>
      <c r="C648" s="2" t="s">
        <v>109</v>
      </c>
      <c r="D648" s="16" t="str" cm="1">
        <f t="array" ref="D648">_xlfn.XLOOKUP(1, (Table1[Project Name]=Table2[[#This Row],[Project ID]])*(Table1[Plot]=Table2[[#This Row],[Plot]]), Table1[Project ID])</f>
        <v>MJ-09</v>
      </c>
      <c r="E648" s="69">
        <v>60</v>
      </c>
      <c r="F648" s="70">
        <v>733</v>
      </c>
      <c r="G648" s="69">
        <f>Table2[[#This Row],[Time Elapsed]]+Table2[[#This Row],[Time Remaining]]</f>
        <v>793</v>
      </c>
      <c r="H648" s="136" t="s">
        <v>856</v>
      </c>
      <c r="I648" s="136" t="s">
        <v>855</v>
      </c>
      <c r="J648" s="13">
        <v>0</v>
      </c>
      <c r="K648" s="137">
        <v>0</v>
      </c>
      <c r="L648" s="13">
        <f>Table2[[#This Row],[Actual %]]-Table2[[#This Row],[Plan %]]</f>
        <v>0</v>
      </c>
      <c r="M648" s="142" t="s">
        <v>282</v>
      </c>
      <c r="N648" s="195">
        <v>46126</v>
      </c>
      <c r="O648" s="195"/>
      <c r="P648" s="195">
        <v>46126</v>
      </c>
      <c r="Q648" s="198">
        <v>45555</v>
      </c>
      <c r="R648" s="136" t="s">
        <v>774</v>
      </c>
      <c r="S648" s="136" t="s">
        <v>775</v>
      </c>
      <c r="T648" s="143" t="s">
        <v>878</v>
      </c>
      <c r="U648" s="151">
        <v>356759501</v>
      </c>
      <c r="V648" s="152"/>
      <c r="W648" s="36">
        <f>Table2[[#This Row],[Construction Contract Amount]]+Table2[[#This Row],[Cumulative Variations]]</f>
        <v>356759501</v>
      </c>
      <c r="X648" s="36">
        <v>3645800</v>
      </c>
      <c r="Y648" s="201"/>
      <c r="Z648" s="36">
        <f>Table2[[#This Row],[Final Contract Value]]+Table2[[#This Row],[Supervision Contract amount]]+Table2[[#This Row],[Authority Cost]]</f>
        <v>360405301</v>
      </c>
      <c r="AA648" s="36"/>
      <c r="AB648" s="36"/>
      <c r="AC648" s="102" t="str">
        <f t="shared" si="39"/>
        <v>https://drive.google.com/thumbnail?id=1fUENaPvI5EGQBpB2AP1I0ESrESO08iWA&amp;sz=w1000</v>
      </c>
      <c r="AD648" s="90" t="s">
        <v>887</v>
      </c>
      <c r="AE648" s="103" t="str">
        <f t="shared" si="40"/>
        <v>https://drive.google.com/thumbnail?id=1YiebLoAQwQ3DDXk7k09Eme9jE5xzfvGC&amp;sz=w1000</v>
      </c>
      <c r="AF648" s="90" t="s">
        <v>902</v>
      </c>
      <c r="AG648" s="90" t="str">
        <f t="shared" si="41"/>
        <v>https://drive.google.com/thumbnail?id=1Si-fSzjLqtub6Ffxa9vP4q5-r_GljdPA&amp;sz=w1000</v>
      </c>
      <c r="AH648" s="90" t="s">
        <v>917</v>
      </c>
    </row>
    <row r="649" spans="1:34" ht="22.15" customHeight="1">
      <c r="A649" s="30">
        <v>45548</v>
      </c>
      <c r="B649" s="2" t="s">
        <v>106</v>
      </c>
      <c r="C649" s="2" t="s">
        <v>109</v>
      </c>
      <c r="D649" s="16" t="str" cm="1">
        <f t="array" ref="D649">_xlfn.XLOOKUP(1, (Table1[Project Name]=Table2[[#This Row],[Project ID]])*(Table1[Plot]=Table2[[#This Row],[Plot]]), Table1[Project ID])</f>
        <v>MJ-09</v>
      </c>
      <c r="E649" s="69">
        <v>60</v>
      </c>
      <c r="F649" s="70">
        <v>733</v>
      </c>
      <c r="G649" s="69">
        <f>Table2[[#This Row],[Time Elapsed]]+Table2[[#This Row],[Time Remaining]]</f>
        <v>793</v>
      </c>
      <c r="H649" s="136" t="s">
        <v>856</v>
      </c>
      <c r="I649" s="136" t="s">
        <v>855</v>
      </c>
      <c r="J649" s="13">
        <v>0</v>
      </c>
      <c r="K649" s="137">
        <v>0</v>
      </c>
      <c r="L649" s="13">
        <f>Table2[[#This Row],[Actual %]]-Table2[[#This Row],[Plan %]]</f>
        <v>0</v>
      </c>
      <c r="M649" s="142" t="s">
        <v>283</v>
      </c>
      <c r="N649" s="195">
        <v>46286</v>
      </c>
      <c r="O649" s="195"/>
      <c r="P649" s="195">
        <v>46286</v>
      </c>
      <c r="Q649" s="198">
        <v>45555</v>
      </c>
      <c r="R649" s="136" t="s">
        <v>774</v>
      </c>
      <c r="S649" s="136" t="s">
        <v>775</v>
      </c>
      <c r="T649" s="143" t="s">
        <v>878</v>
      </c>
      <c r="U649" s="151">
        <v>356759501</v>
      </c>
      <c r="V649" s="152"/>
      <c r="W649" s="36">
        <f>Table2[[#This Row],[Construction Contract Amount]]+Table2[[#This Row],[Cumulative Variations]]</f>
        <v>356759501</v>
      </c>
      <c r="X649" s="36">
        <v>3645800</v>
      </c>
      <c r="Y649" s="201"/>
      <c r="Z649" s="36">
        <f>Table2[[#This Row],[Final Contract Value]]+Table2[[#This Row],[Supervision Contract amount]]+Table2[[#This Row],[Authority Cost]]</f>
        <v>360405301</v>
      </c>
      <c r="AA649" s="36"/>
      <c r="AB649" s="36"/>
      <c r="AC649" s="102" t="str">
        <f t="shared" si="39"/>
        <v>https://drive.google.com/thumbnail?id=1fUENaPvI5EGQBpB2AP1I0ESrESO08iWA&amp;sz=w1000</v>
      </c>
      <c r="AD649" s="90" t="s">
        <v>887</v>
      </c>
      <c r="AE649" s="103" t="str">
        <f t="shared" si="40"/>
        <v>https://drive.google.com/thumbnail?id=1YiebLoAQwQ3DDXk7k09Eme9jE5xzfvGC&amp;sz=w1000</v>
      </c>
      <c r="AF649" s="90" t="s">
        <v>902</v>
      </c>
      <c r="AG649" s="90" t="str">
        <f t="shared" si="41"/>
        <v>https://drive.google.com/thumbnail?id=1Si-fSzjLqtub6Ffxa9vP4q5-r_GljdPA&amp;sz=w1000</v>
      </c>
      <c r="AH649" s="90" t="s">
        <v>917</v>
      </c>
    </row>
    <row r="650" spans="1:34" ht="22.15" customHeight="1">
      <c r="A650" s="30">
        <v>45548</v>
      </c>
      <c r="B650" s="2" t="s">
        <v>106</v>
      </c>
      <c r="C650" s="2" t="s">
        <v>109</v>
      </c>
      <c r="D650" s="16" t="str" cm="1">
        <f t="array" ref="D650">_xlfn.XLOOKUP(1, (Table1[Project Name]=Table2[[#This Row],[Project ID]])*(Table1[Plot]=Table2[[#This Row],[Plot]]), Table1[Project ID])</f>
        <v>MJ-09</v>
      </c>
      <c r="E650" s="69">
        <v>60</v>
      </c>
      <c r="F650" s="70">
        <v>733</v>
      </c>
      <c r="G650" s="69">
        <f>Table2[[#This Row],[Time Elapsed]]+Table2[[#This Row],[Time Remaining]]</f>
        <v>793</v>
      </c>
      <c r="H650" s="136" t="s">
        <v>856</v>
      </c>
      <c r="I650" s="136" t="s">
        <v>855</v>
      </c>
      <c r="J650" s="13">
        <v>0</v>
      </c>
      <c r="K650" s="137">
        <v>0</v>
      </c>
      <c r="L650" s="13">
        <f>Table2[[#This Row],[Actual %]]-Table2[[#This Row],[Plan %]]</f>
        <v>0</v>
      </c>
      <c r="M650" s="142" t="s">
        <v>649</v>
      </c>
      <c r="N650" s="195">
        <v>46304</v>
      </c>
      <c r="O650" s="195"/>
      <c r="P650" s="195">
        <v>46304</v>
      </c>
      <c r="Q650" s="198">
        <v>45555</v>
      </c>
      <c r="R650" s="136" t="s">
        <v>774</v>
      </c>
      <c r="S650" s="136" t="s">
        <v>775</v>
      </c>
      <c r="T650" s="143" t="s">
        <v>878</v>
      </c>
      <c r="U650" s="151">
        <v>356759501</v>
      </c>
      <c r="V650" s="152"/>
      <c r="W650" s="36">
        <f>Table2[[#This Row],[Construction Contract Amount]]+Table2[[#This Row],[Cumulative Variations]]</f>
        <v>356759501</v>
      </c>
      <c r="X650" s="36">
        <v>3645800</v>
      </c>
      <c r="Y650" s="201"/>
      <c r="Z650" s="36">
        <f>Table2[[#This Row],[Final Contract Value]]+Table2[[#This Row],[Supervision Contract amount]]+Table2[[#This Row],[Authority Cost]]</f>
        <v>360405301</v>
      </c>
      <c r="AA650" s="36"/>
      <c r="AB650" s="36"/>
      <c r="AC650" s="102" t="str">
        <f t="shared" si="39"/>
        <v>https://drive.google.com/thumbnail?id=1fUENaPvI5EGQBpB2AP1I0ESrESO08iWA&amp;sz=w1000</v>
      </c>
      <c r="AD650" s="90" t="s">
        <v>887</v>
      </c>
      <c r="AE650" s="103" t="str">
        <f t="shared" si="40"/>
        <v>https://drive.google.com/thumbnail?id=1YiebLoAQwQ3DDXk7k09Eme9jE5xzfvGC&amp;sz=w1000</v>
      </c>
      <c r="AF650" s="90" t="s">
        <v>902</v>
      </c>
      <c r="AG650" s="90" t="str">
        <f t="shared" si="41"/>
        <v>https://drive.google.com/thumbnail?id=1Si-fSzjLqtub6Ffxa9vP4q5-r_GljdPA&amp;sz=w1000</v>
      </c>
      <c r="AH650" s="90" t="s">
        <v>917</v>
      </c>
    </row>
    <row r="651" spans="1:34" ht="22.15" customHeight="1">
      <c r="A651" s="30">
        <v>45548</v>
      </c>
      <c r="B651" s="2" t="s">
        <v>106</v>
      </c>
      <c r="C651" s="2" t="s">
        <v>109</v>
      </c>
      <c r="D651" s="16" t="str" cm="1">
        <f t="array" ref="D651">_xlfn.XLOOKUP(1, (Table1[Project Name]=Table2[[#This Row],[Project ID]])*(Table1[Plot]=Table2[[#This Row],[Plot]]), Table1[Project ID])</f>
        <v>MJ-09</v>
      </c>
      <c r="E651" s="69">
        <v>60</v>
      </c>
      <c r="F651" s="70">
        <v>733</v>
      </c>
      <c r="G651" s="69">
        <f>Table2[[#This Row],[Time Elapsed]]+Table2[[#This Row],[Time Remaining]]</f>
        <v>793</v>
      </c>
      <c r="H651" s="136" t="s">
        <v>856</v>
      </c>
      <c r="I651" s="136" t="s">
        <v>855</v>
      </c>
      <c r="J651" s="13">
        <v>0</v>
      </c>
      <c r="K651" s="137">
        <v>0</v>
      </c>
      <c r="L651" s="13">
        <f>Table2[[#This Row],[Actual %]]-Table2[[#This Row],[Plan %]]</f>
        <v>0</v>
      </c>
      <c r="M651" s="142" t="s">
        <v>284</v>
      </c>
      <c r="N651" s="195">
        <v>46288</v>
      </c>
      <c r="O651" s="195"/>
      <c r="P651" s="195">
        <v>46288</v>
      </c>
      <c r="Q651" s="198">
        <v>45555</v>
      </c>
      <c r="R651" s="136" t="s">
        <v>774</v>
      </c>
      <c r="S651" s="136" t="s">
        <v>775</v>
      </c>
      <c r="T651" s="143" t="s">
        <v>878</v>
      </c>
      <c r="U651" s="151">
        <v>356759501</v>
      </c>
      <c r="V651" s="152"/>
      <c r="W651" s="36">
        <f>Table2[[#This Row],[Construction Contract Amount]]+Table2[[#This Row],[Cumulative Variations]]</f>
        <v>356759501</v>
      </c>
      <c r="X651" s="36">
        <v>3645800</v>
      </c>
      <c r="Y651" s="201"/>
      <c r="Z651" s="36">
        <f>Table2[[#This Row],[Final Contract Value]]+Table2[[#This Row],[Supervision Contract amount]]+Table2[[#This Row],[Authority Cost]]</f>
        <v>360405301</v>
      </c>
      <c r="AA651" s="36"/>
      <c r="AB651" s="36"/>
      <c r="AC651" s="102" t="str">
        <f t="shared" si="39"/>
        <v>https://drive.google.com/thumbnail?id=1fUENaPvI5EGQBpB2AP1I0ESrESO08iWA&amp;sz=w1000</v>
      </c>
      <c r="AD651" s="90" t="s">
        <v>887</v>
      </c>
      <c r="AE651" s="103" t="str">
        <f t="shared" si="40"/>
        <v>https://drive.google.com/thumbnail?id=1YiebLoAQwQ3DDXk7k09Eme9jE5xzfvGC&amp;sz=w1000</v>
      </c>
      <c r="AF651" s="90" t="s">
        <v>902</v>
      </c>
      <c r="AG651" s="90" t="str">
        <f t="shared" si="41"/>
        <v>https://drive.google.com/thumbnail?id=1Si-fSzjLqtub6Ffxa9vP4q5-r_GljdPA&amp;sz=w1000</v>
      </c>
      <c r="AH651" s="90" t="s">
        <v>917</v>
      </c>
    </row>
    <row r="652" spans="1:34" ht="22.15" customHeight="1">
      <c r="A652" s="30">
        <v>45548</v>
      </c>
      <c r="B652" s="2" t="s">
        <v>237</v>
      </c>
      <c r="C652" s="2" t="s">
        <v>239</v>
      </c>
      <c r="D652" s="16" t="str" cm="1">
        <f t="array" ref="D652">_xlfn.XLOOKUP(1, (Table1[Project Name]=Table2[[#This Row],[Project ID]])*(Table1[Plot]=Table2[[#This Row],[Plot]]), Table1[Project ID])</f>
        <v>SC-01</v>
      </c>
      <c r="E652" s="69">
        <v>193</v>
      </c>
      <c r="F652" s="70">
        <v>356</v>
      </c>
      <c r="G652" s="69">
        <f>Table2[[#This Row],[Time Elapsed]]+Table2[[#This Row],[Time Remaining]]</f>
        <v>549</v>
      </c>
      <c r="H652" s="159" t="s">
        <v>857</v>
      </c>
      <c r="I652" s="159" t="s">
        <v>693</v>
      </c>
      <c r="J652" s="160">
        <v>3.8399999999999997E-2</v>
      </c>
      <c r="K652" s="161">
        <v>0.1653</v>
      </c>
      <c r="L652" s="13">
        <f>Table2[[#This Row],[Actual %]]-Table2[[#This Row],[Plan %]]</f>
        <v>0.12690000000000001</v>
      </c>
      <c r="M652" s="163" t="s">
        <v>285</v>
      </c>
      <c r="N652" s="195">
        <v>45356</v>
      </c>
      <c r="O652" s="195">
        <v>45356</v>
      </c>
      <c r="P652" s="195" t="s">
        <v>796</v>
      </c>
      <c r="Q652" s="198">
        <v>45555</v>
      </c>
      <c r="R652" s="159" t="s">
        <v>879</v>
      </c>
      <c r="S652" s="159" t="s">
        <v>701</v>
      </c>
      <c r="T652" s="164" t="s">
        <v>797</v>
      </c>
      <c r="U652" s="122">
        <v>78077600</v>
      </c>
      <c r="V652" s="123">
        <v>0</v>
      </c>
      <c r="W652" s="36">
        <f>Table2[[#This Row],[Construction Contract Amount]]+Table2[[#This Row],[Cumulative Variations]]</f>
        <v>78077600</v>
      </c>
      <c r="X652" s="36">
        <v>1576709</v>
      </c>
      <c r="Y652" s="201">
        <v>0</v>
      </c>
      <c r="Z652" s="36">
        <f>Table2[[#This Row],[Final Contract Value]]+Table2[[#This Row],[Supervision Contract amount]]+Table2[[#This Row],[Authority Cost]]</f>
        <v>79654309</v>
      </c>
      <c r="AA652" s="36">
        <v>8897764.4964881185</v>
      </c>
      <c r="AB652" s="36">
        <v>180000</v>
      </c>
      <c r="AC652" s="102" t="str">
        <f t="shared" si="39"/>
        <v>https://drive.google.com/thumbnail?id=1nd2LuxXC_tnKKOUoZp-2rCmz6m31uExe&amp;sz=w1000</v>
      </c>
      <c r="AD652" s="90" t="s">
        <v>888</v>
      </c>
      <c r="AE652" s="103" t="str">
        <f t="shared" si="40"/>
        <v>https://drive.google.com/thumbnail?id=18gvd1UBIqDir1Ui4hKFDzLdKhiyxJeTK&amp;sz=w1000</v>
      </c>
      <c r="AF652" s="90" t="s">
        <v>903</v>
      </c>
      <c r="AG652" s="90" t="str">
        <f t="shared" si="41"/>
        <v>https://drive.google.com/thumbnail?id=1oKDXnxtrdsnKiXx-rE-IOxBOcPslLQ0_&amp;sz=w1000</v>
      </c>
      <c r="AH652" s="90" t="s">
        <v>918</v>
      </c>
    </row>
    <row r="653" spans="1:34" ht="22.15" customHeight="1">
      <c r="A653" s="30">
        <v>45548</v>
      </c>
      <c r="B653" s="2" t="s">
        <v>237</v>
      </c>
      <c r="C653" s="2" t="s">
        <v>239</v>
      </c>
      <c r="D653" s="16" t="str" cm="1">
        <f t="array" ref="D653">_xlfn.XLOOKUP(1, (Table1[Project Name]=Table2[[#This Row],[Project ID]])*(Table1[Plot]=Table2[[#This Row],[Plot]]), Table1[Project ID])</f>
        <v>SC-01</v>
      </c>
      <c r="E653" s="69">
        <v>193</v>
      </c>
      <c r="F653" s="70">
        <v>356</v>
      </c>
      <c r="G653" s="69">
        <f>Table2[[#This Row],[Time Elapsed]]+Table2[[#This Row],[Time Remaining]]</f>
        <v>549</v>
      </c>
      <c r="H653" s="159" t="s">
        <v>857</v>
      </c>
      <c r="I653" s="159" t="s">
        <v>693</v>
      </c>
      <c r="J653" s="160">
        <v>3.8399999999999997E-2</v>
      </c>
      <c r="K653" s="161">
        <v>0.1653</v>
      </c>
      <c r="L653" s="13">
        <f>Table2[[#This Row],[Actual %]]-Table2[[#This Row],[Plan %]]</f>
        <v>0.12690000000000001</v>
      </c>
      <c r="M653" s="165" t="s">
        <v>51</v>
      </c>
      <c r="N653" s="195">
        <v>45391</v>
      </c>
      <c r="O653" s="195">
        <v>45430</v>
      </c>
      <c r="P653" s="195" t="s">
        <v>796</v>
      </c>
      <c r="Q653" s="198">
        <v>45555</v>
      </c>
      <c r="R653" s="159" t="s">
        <v>879</v>
      </c>
      <c r="S653" s="159" t="s">
        <v>701</v>
      </c>
      <c r="T653" s="164" t="s">
        <v>797</v>
      </c>
      <c r="U653" s="122">
        <v>78077600</v>
      </c>
      <c r="V653" s="123">
        <v>0</v>
      </c>
      <c r="W653" s="36">
        <f>Table2[[#This Row],[Construction Contract Amount]]+Table2[[#This Row],[Cumulative Variations]]</f>
        <v>78077600</v>
      </c>
      <c r="X653" s="36">
        <v>1576709</v>
      </c>
      <c r="Y653" s="201">
        <v>0</v>
      </c>
      <c r="Z653" s="36">
        <f>Table2[[#This Row],[Final Contract Value]]+Table2[[#This Row],[Supervision Contract amount]]+Table2[[#This Row],[Authority Cost]]</f>
        <v>79654309</v>
      </c>
      <c r="AA653" s="36">
        <v>8897764.4964881185</v>
      </c>
      <c r="AB653" s="36">
        <v>180000</v>
      </c>
      <c r="AC653" s="102" t="str">
        <f t="shared" si="39"/>
        <v>https://drive.google.com/thumbnail?id=1nd2LuxXC_tnKKOUoZp-2rCmz6m31uExe&amp;sz=w1000</v>
      </c>
      <c r="AD653" s="90" t="s">
        <v>888</v>
      </c>
      <c r="AE653" s="103" t="str">
        <f t="shared" si="40"/>
        <v>https://drive.google.com/thumbnail?id=18gvd1UBIqDir1Ui4hKFDzLdKhiyxJeTK&amp;sz=w1000</v>
      </c>
      <c r="AF653" s="90" t="s">
        <v>903</v>
      </c>
      <c r="AG653" s="90" t="str">
        <f t="shared" si="41"/>
        <v>https://drive.google.com/thumbnail?id=1oKDXnxtrdsnKiXx-rE-IOxBOcPslLQ0_&amp;sz=w1000</v>
      </c>
      <c r="AH653" s="90" t="s">
        <v>918</v>
      </c>
    </row>
    <row r="654" spans="1:34" ht="22.15" customHeight="1">
      <c r="A654" s="30">
        <v>45548</v>
      </c>
      <c r="B654" s="2" t="s">
        <v>237</v>
      </c>
      <c r="C654" s="2" t="s">
        <v>239</v>
      </c>
      <c r="D654" s="16" t="str" cm="1">
        <f t="array" ref="D654">_xlfn.XLOOKUP(1, (Table1[Project Name]=Table2[[#This Row],[Project ID]])*(Table1[Plot]=Table2[[#This Row],[Plot]]), Table1[Project ID])</f>
        <v>SC-01</v>
      </c>
      <c r="E654" s="69">
        <v>193</v>
      </c>
      <c r="F654" s="70">
        <v>356</v>
      </c>
      <c r="G654" s="69">
        <f>Table2[[#This Row],[Time Elapsed]]+Table2[[#This Row],[Time Remaining]]</f>
        <v>549</v>
      </c>
      <c r="H654" s="159" t="s">
        <v>857</v>
      </c>
      <c r="I654" s="159" t="s">
        <v>693</v>
      </c>
      <c r="J654" s="160">
        <v>3.8399999999999997E-2</v>
      </c>
      <c r="K654" s="161">
        <v>0.1653</v>
      </c>
      <c r="L654" s="13">
        <f>Table2[[#This Row],[Actual %]]-Table2[[#This Row],[Plan %]]</f>
        <v>0.12690000000000001</v>
      </c>
      <c r="M654" s="165" t="s">
        <v>287</v>
      </c>
      <c r="N654" s="195">
        <v>45597</v>
      </c>
      <c r="O654" s="195">
        <v>45510</v>
      </c>
      <c r="P654" s="195" t="s">
        <v>796</v>
      </c>
      <c r="Q654" s="198">
        <v>45555</v>
      </c>
      <c r="R654" s="159" t="s">
        <v>879</v>
      </c>
      <c r="S654" s="159" t="s">
        <v>701</v>
      </c>
      <c r="T654" s="164" t="s">
        <v>797</v>
      </c>
      <c r="U654" s="122">
        <v>78077600</v>
      </c>
      <c r="V654" s="123">
        <v>0</v>
      </c>
      <c r="W654" s="36">
        <f>Table2[[#This Row],[Construction Contract Amount]]+Table2[[#This Row],[Cumulative Variations]]</f>
        <v>78077600</v>
      </c>
      <c r="X654" s="36">
        <v>1576709</v>
      </c>
      <c r="Y654" s="201">
        <v>0</v>
      </c>
      <c r="Z654" s="36">
        <f>Table2[[#This Row],[Final Contract Value]]+Table2[[#This Row],[Supervision Contract amount]]+Table2[[#This Row],[Authority Cost]]</f>
        <v>79654309</v>
      </c>
      <c r="AA654" s="36">
        <v>8897764.4964881185</v>
      </c>
      <c r="AB654" s="36">
        <v>180000</v>
      </c>
      <c r="AC654" s="102" t="str">
        <f t="shared" si="39"/>
        <v>https://drive.google.com/thumbnail?id=1nd2LuxXC_tnKKOUoZp-2rCmz6m31uExe&amp;sz=w1000</v>
      </c>
      <c r="AD654" s="90" t="s">
        <v>888</v>
      </c>
      <c r="AE654" s="103" t="str">
        <f t="shared" si="40"/>
        <v>https://drive.google.com/thumbnail?id=18gvd1UBIqDir1Ui4hKFDzLdKhiyxJeTK&amp;sz=w1000</v>
      </c>
      <c r="AF654" s="90" t="s">
        <v>903</v>
      </c>
      <c r="AG654" s="90" t="str">
        <f t="shared" si="41"/>
        <v>https://drive.google.com/thumbnail?id=1oKDXnxtrdsnKiXx-rE-IOxBOcPslLQ0_&amp;sz=w1000</v>
      </c>
      <c r="AH654" s="90" t="s">
        <v>918</v>
      </c>
    </row>
    <row r="655" spans="1:34" ht="22.15" customHeight="1">
      <c r="A655" s="30">
        <v>45548</v>
      </c>
      <c r="B655" s="2" t="s">
        <v>237</v>
      </c>
      <c r="C655" s="2" t="s">
        <v>239</v>
      </c>
      <c r="D655" s="16" t="str" cm="1">
        <f t="array" ref="D655">_xlfn.XLOOKUP(1, (Table1[Project Name]=Table2[[#This Row],[Project ID]])*(Table1[Plot]=Table2[[#This Row],[Plot]]), Table1[Project ID])</f>
        <v>SC-01</v>
      </c>
      <c r="E655" s="69">
        <v>193</v>
      </c>
      <c r="F655" s="70">
        <v>356</v>
      </c>
      <c r="G655" s="69">
        <f>Table2[[#This Row],[Time Elapsed]]+Table2[[#This Row],[Time Remaining]]</f>
        <v>549</v>
      </c>
      <c r="H655" s="159" t="s">
        <v>857</v>
      </c>
      <c r="I655" s="159" t="s">
        <v>693</v>
      </c>
      <c r="J655" s="160">
        <v>3.8399999999999997E-2</v>
      </c>
      <c r="K655" s="161">
        <v>0.1653</v>
      </c>
      <c r="L655" s="13">
        <f>Table2[[#This Row],[Actual %]]-Table2[[#This Row],[Plan %]]</f>
        <v>0.12690000000000001</v>
      </c>
      <c r="M655" s="165" t="s">
        <v>703</v>
      </c>
      <c r="N655" s="195">
        <v>45678</v>
      </c>
      <c r="O655" s="195" t="s">
        <v>796</v>
      </c>
      <c r="P655" s="195">
        <v>45562</v>
      </c>
      <c r="Q655" s="198">
        <v>45555</v>
      </c>
      <c r="R655" s="159" t="s">
        <v>879</v>
      </c>
      <c r="S655" s="159" t="s">
        <v>701</v>
      </c>
      <c r="T655" s="164" t="s">
        <v>797</v>
      </c>
      <c r="U655" s="122">
        <v>78077600</v>
      </c>
      <c r="V655" s="123">
        <v>0</v>
      </c>
      <c r="W655" s="36">
        <f>Table2[[#This Row],[Construction Contract Amount]]+Table2[[#This Row],[Cumulative Variations]]</f>
        <v>78077600</v>
      </c>
      <c r="X655" s="36">
        <v>1576709</v>
      </c>
      <c r="Y655" s="201">
        <v>0</v>
      </c>
      <c r="Z655" s="36">
        <f>Table2[[#This Row],[Final Contract Value]]+Table2[[#This Row],[Supervision Contract amount]]+Table2[[#This Row],[Authority Cost]]</f>
        <v>79654309</v>
      </c>
      <c r="AA655" s="36">
        <v>8897764.4964881185</v>
      </c>
      <c r="AB655" s="36">
        <v>180000</v>
      </c>
      <c r="AC655" s="102" t="str">
        <f t="shared" si="39"/>
        <v>https://drive.google.com/thumbnail?id=1nd2LuxXC_tnKKOUoZp-2rCmz6m31uExe&amp;sz=w1000</v>
      </c>
      <c r="AD655" s="90" t="s">
        <v>888</v>
      </c>
      <c r="AE655" s="103" t="str">
        <f t="shared" si="40"/>
        <v>https://drive.google.com/thumbnail?id=18gvd1UBIqDir1Ui4hKFDzLdKhiyxJeTK&amp;sz=w1000</v>
      </c>
      <c r="AF655" s="90" t="s">
        <v>903</v>
      </c>
      <c r="AG655" s="90" t="str">
        <f t="shared" si="41"/>
        <v>https://drive.google.com/thumbnail?id=1oKDXnxtrdsnKiXx-rE-IOxBOcPslLQ0_&amp;sz=w1000</v>
      </c>
      <c r="AH655" s="90" t="s">
        <v>918</v>
      </c>
    </row>
    <row r="656" spans="1:34" ht="22.15" customHeight="1">
      <c r="A656" s="30">
        <v>45548</v>
      </c>
      <c r="B656" s="2" t="s">
        <v>237</v>
      </c>
      <c r="C656" s="2" t="s">
        <v>239</v>
      </c>
      <c r="D656" s="16" t="str" cm="1">
        <f t="array" ref="D656">_xlfn.XLOOKUP(1, (Table1[Project Name]=Table2[[#This Row],[Project ID]])*(Table1[Plot]=Table2[[#This Row],[Plot]]), Table1[Project ID])</f>
        <v>SC-01</v>
      </c>
      <c r="E656" s="69">
        <v>193</v>
      </c>
      <c r="F656" s="70">
        <v>356</v>
      </c>
      <c r="G656" s="69">
        <f>Table2[[#This Row],[Time Elapsed]]+Table2[[#This Row],[Time Remaining]]</f>
        <v>549</v>
      </c>
      <c r="H656" s="159" t="s">
        <v>857</v>
      </c>
      <c r="I656" s="159" t="s">
        <v>693</v>
      </c>
      <c r="J656" s="160">
        <v>3.8399999999999997E-2</v>
      </c>
      <c r="K656" s="161">
        <v>0.1653</v>
      </c>
      <c r="L656" s="13">
        <f>Table2[[#This Row],[Actual %]]-Table2[[#This Row],[Plan %]]</f>
        <v>0.12690000000000001</v>
      </c>
      <c r="M656" s="165" t="s">
        <v>704</v>
      </c>
      <c r="N656" s="195">
        <v>45775</v>
      </c>
      <c r="O656" s="195" t="s">
        <v>796</v>
      </c>
      <c r="P656" s="195">
        <v>45593</v>
      </c>
      <c r="Q656" s="198">
        <v>45555</v>
      </c>
      <c r="R656" s="159" t="s">
        <v>879</v>
      </c>
      <c r="S656" s="159" t="s">
        <v>701</v>
      </c>
      <c r="T656" s="164" t="s">
        <v>797</v>
      </c>
      <c r="U656" s="122">
        <v>78077600</v>
      </c>
      <c r="V656" s="123">
        <v>0</v>
      </c>
      <c r="W656" s="36">
        <f>Table2[[#This Row],[Construction Contract Amount]]+Table2[[#This Row],[Cumulative Variations]]</f>
        <v>78077600</v>
      </c>
      <c r="X656" s="36">
        <v>1576709</v>
      </c>
      <c r="Y656" s="201">
        <v>0</v>
      </c>
      <c r="Z656" s="36">
        <f>Table2[[#This Row],[Final Contract Value]]+Table2[[#This Row],[Supervision Contract amount]]+Table2[[#This Row],[Authority Cost]]</f>
        <v>79654309</v>
      </c>
      <c r="AA656" s="36">
        <v>8897764.4964881185</v>
      </c>
      <c r="AB656" s="36">
        <v>180000</v>
      </c>
      <c r="AC656" s="102" t="str">
        <f t="shared" si="39"/>
        <v>https://drive.google.com/thumbnail?id=1nd2LuxXC_tnKKOUoZp-2rCmz6m31uExe&amp;sz=w1000</v>
      </c>
      <c r="AD656" s="90" t="s">
        <v>888</v>
      </c>
      <c r="AE656" s="103" t="str">
        <f t="shared" si="40"/>
        <v>https://drive.google.com/thumbnail?id=18gvd1UBIqDir1Ui4hKFDzLdKhiyxJeTK&amp;sz=w1000</v>
      </c>
      <c r="AF656" s="90" t="s">
        <v>903</v>
      </c>
      <c r="AG656" s="90" t="str">
        <f t="shared" si="41"/>
        <v>https://drive.google.com/thumbnail?id=1oKDXnxtrdsnKiXx-rE-IOxBOcPslLQ0_&amp;sz=w1000</v>
      </c>
      <c r="AH656" s="90" t="s">
        <v>918</v>
      </c>
    </row>
    <row r="657" spans="1:34" ht="22.15" customHeight="1">
      <c r="A657" s="30">
        <v>45548</v>
      </c>
      <c r="B657" s="2" t="s">
        <v>237</v>
      </c>
      <c r="C657" s="2" t="s">
        <v>239</v>
      </c>
      <c r="D657" s="16" t="str" cm="1">
        <f t="array" ref="D657">_xlfn.XLOOKUP(1, (Table1[Project Name]=Table2[[#This Row],[Project ID]])*(Table1[Plot]=Table2[[#This Row],[Plot]]), Table1[Project ID])</f>
        <v>SC-01</v>
      </c>
      <c r="E657" s="69">
        <v>193</v>
      </c>
      <c r="F657" s="70">
        <v>356</v>
      </c>
      <c r="G657" s="69">
        <f>Table2[[#This Row],[Time Elapsed]]+Table2[[#This Row],[Time Remaining]]</f>
        <v>549</v>
      </c>
      <c r="H657" s="159" t="s">
        <v>857</v>
      </c>
      <c r="I657" s="159" t="s">
        <v>693</v>
      </c>
      <c r="J657" s="160">
        <v>3.8399999999999997E-2</v>
      </c>
      <c r="K657" s="161">
        <v>0.1653</v>
      </c>
      <c r="L657" s="13">
        <f>Table2[[#This Row],[Actual %]]-Table2[[#This Row],[Plan %]]</f>
        <v>0.12690000000000001</v>
      </c>
      <c r="M657" s="165" t="s">
        <v>705</v>
      </c>
      <c r="N657" s="195">
        <v>45679</v>
      </c>
      <c r="O657" s="195">
        <v>45521</v>
      </c>
      <c r="P657" s="195" t="s">
        <v>796</v>
      </c>
      <c r="Q657" s="198">
        <v>45555</v>
      </c>
      <c r="R657" s="159" t="s">
        <v>879</v>
      </c>
      <c r="S657" s="159" t="s">
        <v>701</v>
      </c>
      <c r="T657" s="164" t="s">
        <v>797</v>
      </c>
      <c r="U657" s="122">
        <v>78077600</v>
      </c>
      <c r="V657" s="123">
        <v>0</v>
      </c>
      <c r="W657" s="36">
        <f>Table2[[#This Row],[Construction Contract Amount]]+Table2[[#This Row],[Cumulative Variations]]</f>
        <v>78077600</v>
      </c>
      <c r="X657" s="36">
        <v>1576709</v>
      </c>
      <c r="Y657" s="201">
        <v>0</v>
      </c>
      <c r="Z657" s="36">
        <f>Table2[[#This Row],[Final Contract Value]]+Table2[[#This Row],[Supervision Contract amount]]+Table2[[#This Row],[Authority Cost]]</f>
        <v>79654309</v>
      </c>
      <c r="AA657" s="36">
        <v>8897764.4964881185</v>
      </c>
      <c r="AB657" s="36">
        <v>180000</v>
      </c>
      <c r="AC657" s="102" t="str">
        <f t="shared" si="39"/>
        <v>https://drive.google.com/thumbnail?id=1nd2LuxXC_tnKKOUoZp-2rCmz6m31uExe&amp;sz=w1000</v>
      </c>
      <c r="AD657" s="90" t="s">
        <v>888</v>
      </c>
      <c r="AE657" s="103" t="str">
        <f t="shared" si="40"/>
        <v>https://drive.google.com/thumbnail?id=18gvd1UBIqDir1Ui4hKFDzLdKhiyxJeTK&amp;sz=w1000</v>
      </c>
      <c r="AF657" s="90" t="s">
        <v>903</v>
      </c>
      <c r="AG657" s="90" t="str">
        <f t="shared" si="41"/>
        <v>https://drive.google.com/thumbnail?id=1oKDXnxtrdsnKiXx-rE-IOxBOcPslLQ0_&amp;sz=w1000</v>
      </c>
      <c r="AH657" s="90" t="s">
        <v>918</v>
      </c>
    </row>
    <row r="658" spans="1:34" ht="22.15" customHeight="1">
      <c r="A658" s="30">
        <v>45548</v>
      </c>
      <c r="B658" s="2" t="s">
        <v>237</v>
      </c>
      <c r="C658" s="2" t="s">
        <v>239</v>
      </c>
      <c r="D658" s="16" t="str" cm="1">
        <f t="array" ref="D658">_xlfn.XLOOKUP(1, (Table1[Project Name]=Table2[[#This Row],[Project ID]])*(Table1[Plot]=Table2[[#This Row],[Plot]]), Table1[Project ID])</f>
        <v>SC-01</v>
      </c>
      <c r="E658" s="69">
        <v>193</v>
      </c>
      <c r="F658" s="70">
        <v>356</v>
      </c>
      <c r="G658" s="69">
        <f>Table2[[#This Row],[Time Elapsed]]+Table2[[#This Row],[Time Remaining]]</f>
        <v>549</v>
      </c>
      <c r="H658" s="159" t="s">
        <v>857</v>
      </c>
      <c r="I658" s="159" t="s">
        <v>693</v>
      </c>
      <c r="J658" s="160">
        <v>3.8399999999999997E-2</v>
      </c>
      <c r="K658" s="161">
        <v>0.1653</v>
      </c>
      <c r="L658" s="13">
        <f>Table2[[#This Row],[Actual %]]-Table2[[#This Row],[Plan %]]</f>
        <v>0.12690000000000001</v>
      </c>
      <c r="M658" s="165" t="s">
        <v>706</v>
      </c>
      <c r="N658" s="195">
        <v>45768</v>
      </c>
      <c r="O658" s="195" t="s">
        <v>796</v>
      </c>
      <c r="P658" s="195">
        <v>45673</v>
      </c>
      <c r="Q658" s="198">
        <v>45555</v>
      </c>
      <c r="R658" s="159" t="s">
        <v>879</v>
      </c>
      <c r="S658" s="159" t="s">
        <v>701</v>
      </c>
      <c r="T658" s="164" t="s">
        <v>797</v>
      </c>
      <c r="U658" s="122">
        <v>78077600</v>
      </c>
      <c r="V658" s="123">
        <v>0</v>
      </c>
      <c r="W658" s="36">
        <f>Table2[[#This Row],[Construction Contract Amount]]+Table2[[#This Row],[Cumulative Variations]]</f>
        <v>78077600</v>
      </c>
      <c r="X658" s="36">
        <v>1576709</v>
      </c>
      <c r="Y658" s="201">
        <v>0</v>
      </c>
      <c r="Z658" s="36">
        <f>Table2[[#This Row],[Final Contract Value]]+Table2[[#This Row],[Supervision Contract amount]]+Table2[[#This Row],[Authority Cost]]</f>
        <v>79654309</v>
      </c>
      <c r="AA658" s="36">
        <v>8897764.4964881185</v>
      </c>
      <c r="AB658" s="36">
        <v>180000</v>
      </c>
      <c r="AC658" s="102" t="str">
        <f t="shared" si="39"/>
        <v>https://drive.google.com/thumbnail?id=1nd2LuxXC_tnKKOUoZp-2rCmz6m31uExe&amp;sz=w1000</v>
      </c>
      <c r="AD658" s="90" t="s">
        <v>888</v>
      </c>
      <c r="AE658" s="103" t="str">
        <f t="shared" si="40"/>
        <v>https://drive.google.com/thumbnail?id=18gvd1UBIqDir1Ui4hKFDzLdKhiyxJeTK&amp;sz=w1000</v>
      </c>
      <c r="AF658" s="90" t="s">
        <v>903</v>
      </c>
      <c r="AG658" s="90" t="str">
        <f t="shared" si="41"/>
        <v>https://drive.google.com/thumbnail?id=1oKDXnxtrdsnKiXx-rE-IOxBOcPslLQ0_&amp;sz=w1000</v>
      </c>
      <c r="AH658" s="90" t="s">
        <v>918</v>
      </c>
    </row>
    <row r="659" spans="1:34" ht="22.15" customHeight="1">
      <c r="A659" s="30">
        <v>45548</v>
      </c>
      <c r="B659" s="2" t="s">
        <v>237</v>
      </c>
      <c r="C659" s="2" t="s">
        <v>239</v>
      </c>
      <c r="D659" s="16" t="str" cm="1">
        <f t="array" ref="D659">_xlfn.XLOOKUP(1, (Table1[Project Name]=Table2[[#This Row],[Project ID]])*(Table1[Plot]=Table2[[#This Row],[Plot]]), Table1[Project ID])</f>
        <v>SC-01</v>
      </c>
      <c r="E659" s="69">
        <v>193</v>
      </c>
      <c r="F659" s="70">
        <v>356</v>
      </c>
      <c r="G659" s="69">
        <f>Table2[[#This Row],[Time Elapsed]]+Table2[[#This Row],[Time Remaining]]</f>
        <v>549</v>
      </c>
      <c r="H659" s="159" t="s">
        <v>857</v>
      </c>
      <c r="I659" s="159" t="s">
        <v>693</v>
      </c>
      <c r="J659" s="160">
        <v>3.8399999999999997E-2</v>
      </c>
      <c r="K659" s="161">
        <v>0.1653</v>
      </c>
      <c r="L659" s="13">
        <f>Table2[[#This Row],[Actual %]]-Table2[[#This Row],[Plan %]]</f>
        <v>0.12690000000000001</v>
      </c>
      <c r="M659" s="165" t="s">
        <v>280</v>
      </c>
      <c r="N659" s="195">
        <v>45857</v>
      </c>
      <c r="O659" s="195" t="s">
        <v>796</v>
      </c>
      <c r="P659" s="195">
        <v>45826</v>
      </c>
      <c r="Q659" s="198">
        <v>45555</v>
      </c>
      <c r="R659" s="159" t="s">
        <v>879</v>
      </c>
      <c r="S659" s="159" t="s">
        <v>701</v>
      </c>
      <c r="T659" s="164" t="s">
        <v>797</v>
      </c>
      <c r="U659" s="122">
        <v>78077600</v>
      </c>
      <c r="V659" s="123">
        <v>0</v>
      </c>
      <c r="W659" s="36">
        <f>Table2[[#This Row],[Construction Contract Amount]]+Table2[[#This Row],[Cumulative Variations]]</f>
        <v>78077600</v>
      </c>
      <c r="X659" s="36">
        <v>1576709</v>
      </c>
      <c r="Y659" s="201">
        <v>0</v>
      </c>
      <c r="Z659" s="36">
        <f>Table2[[#This Row],[Final Contract Value]]+Table2[[#This Row],[Supervision Contract amount]]+Table2[[#This Row],[Authority Cost]]</f>
        <v>79654309</v>
      </c>
      <c r="AA659" s="36">
        <v>8897764.4964881185</v>
      </c>
      <c r="AB659" s="36">
        <v>180000</v>
      </c>
      <c r="AC659" s="102" t="str">
        <f t="shared" si="39"/>
        <v>https://drive.google.com/thumbnail?id=1nd2LuxXC_tnKKOUoZp-2rCmz6m31uExe&amp;sz=w1000</v>
      </c>
      <c r="AD659" s="90" t="s">
        <v>888</v>
      </c>
      <c r="AE659" s="103" t="str">
        <f t="shared" si="40"/>
        <v>https://drive.google.com/thumbnail?id=18gvd1UBIqDir1Ui4hKFDzLdKhiyxJeTK&amp;sz=w1000</v>
      </c>
      <c r="AF659" s="90" t="s">
        <v>903</v>
      </c>
      <c r="AG659" s="90" t="str">
        <f t="shared" si="41"/>
        <v>https://drive.google.com/thumbnail?id=1oKDXnxtrdsnKiXx-rE-IOxBOcPslLQ0_&amp;sz=w1000</v>
      </c>
      <c r="AH659" s="90" t="s">
        <v>918</v>
      </c>
    </row>
    <row r="660" spans="1:34" ht="22.15" customHeight="1">
      <c r="A660" s="30">
        <v>45548</v>
      </c>
      <c r="B660" s="2" t="s">
        <v>237</v>
      </c>
      <c r="C660" s="2" t="s">
        <v>239</v>
      </c>
      <c r="D660" s="16" t="str" cm="1">
        <f t="array" ref="D660">_xlfn.XLOOKUP(1, (Table1[Project Name]=Table2[[#This Row],[Project ID]])*(Table1[Plot]=Table2[[#This Row],[Plot]]), Table1[Project ID])</f>
        <v>SC-01</v>
      </c>
      <c r="E660" s="69">
        <v>193</v>
      </c>
      <c r="F660" s="70">
        <v>356</v>
      </c>
      <c r="G660" s="69">
        <f>Table2[[#This Row],[Time Elapsed]]+Table2[[#This Row],[Time Remaining]]</f>
        <v>549</v>
      </c>
      <c r="H660" s="159" t="s">
        <v>857</v>
      </c>
      <c r="I660" s="159" t="s">
        <v>693</v>
      </c>
      <c r="J660" s="160">
        <v>3.8399999999999997E-2</v>
      </c>
      <c r="K660" s="161">
        <v>0.1653</v>
      </c>
      <c r="L660" s="13">
        <f>Table2[[#This Row],[Actual %]]-Table2[[#This Row],[Plan %]]</f>
        <v>0.12690000000000001</v>
      </c>
      <c r="M660" s="165" t="s">
        <v>343</v>
      </c>
      <c r="N660" s="195">
        <v>45874</v>
      </c>
      <c r="O660" s="195" t="s">
        <v>796</v>
      </c>
      <c r="P660" s="195">
        <v>45838</v>
      </c>
      <c r="Q660" s="198">
        <v>45555</v>
      </c>
      <c r="R660" s="159" t="s">
        <v>879</v>
      </c>
      <c r="S660" s="159" t="s">
        <v>701</v>
      </c>
      <c r="T660" s="164" t="s">
        <v>797</v>
      </c>
      <c r="U660" s="122">
        <v>78077600</v>
      </c>
      <c r="V660" s="123">
        <v>0</v>
      </c>
      <c r="W660" s="36">
        <f>Table2[[#This Row],[Construction Contract Amount]]+Table2[[#This Row],[Cumulative Variations]]</f>
        <v>78077600</v>
      </c>
      <c r="X660" s="36">
        <v>1576709</v>
      </c>
      <c r="Y660" s="201">
        <v>0</v>
      </c>
      <c r="Z660" s="36">
        <f>Table2[[#This Row],[Final Contract Value]]+Table2[[#This Row],[Supervision Contract amount]]+Table2[[#This Row],[Authority Cost]]</f>
        <v>79654309</v>
      </c>
      <c r="AA660" s="36">
        <v>8897764.4964881185</v>
      </c>
      <c r="AB660" s="36">
        <v>180000</v>
      </c>
      <c r="AC660" s="102" t="str">
        <f t="shared" si="39"/>
        <v>https://drive.google.com/thumbnail?id=1nd2LuxXC_tnKKOUoZp-2rCmz6m31uExe&amp;sz=w1000</v>
      </c>
      <c r="AD660" s="90" t="s">
        <v>888</v>
      </c>
      <c r="AE660" s="103" t="str">
        <f t="shared" si="40"/>
        <v>https://drive.google.com/thumbnail?id=18gvd1UBIqDir1Ui4hKFDzLdKhiyxJeTK&amp;sz=w1000</v>
      </c>
      <c r="AF660" s="90" t="s">
        <v>903</v>
      </c>
      <c r="AG660" s="90" t="str">
        <f t="shared" si="41"/>
        <v>https://drive.google.com/thumbnail?id=1oKDXnxtrdsnKiXx-rE-IOxBOcPslLQ0_&amp;sz=w1000</v>
      </c>
      <c r="AH660" s="90" t="s">
        <v>918</v>
      </c>
    </row>
    <row r="661" spans="1:34" ht="22.15" customHeight="1">
      <c r="A661" s="30">
        <v>45548</v>
      </c>
      <c r="B661" s="2" t="s">
        <v>237</v>
      </c>
      <c r="C661" s="2" t="s">
        <v>239</v>
      </c>
      <c r="D661" s="16" t="str" cm="1">
        <f t="array" ref="D661">_xlfn.XLOOKUP(1, (Table1[Project Name]=Table2[[#This Row],[Project ID]])*(Table1[Plot]=Table2[[#This Row],[Plot]]), Table1[Project ID])</f>
        <v>SC-01</v>
      </c>
      <c r="E661" s="69">
        <v>193</v>
      </c>
      <c r="F661" s="70">
        <v>356</v>
      </c>
      <c r="G661" s="69">
        <f>Table2[[#This Row],[Time Elapsed]]+Table2[[#This Row],[Time Remaining]]</f>
        <v>549</v>
      </c>
      <c r="H661" s="159" t="s">
        <v>857</v>
      </c>
      <c r="I661" s="159" t="s">
        <v>693</v>
      </c>
      <c r="J661" s="160">
        <v>3.8399999999999997E-2</v>
      </c>
      <c r="K661" s="161">
        <v>0.1653</v>
      </c>
      <c r="L661" s="13">
        <f>Table2[[#This Row],[Actual %]]-Table2[[#This Row],[Plan %]]</f>
        <v>0.12690000000000001</v>
      </c>
      <c r="M661" s="165" t="s">
        <v>344</v>
      </c>
      <c r="N661" s="195">
        <v>45891</v>
      </c>
      <c r="O661" s="195" t="s">
        <v>796</v>
      </c>
      <c r="P661" s="195">
        <v>45855</v>
      </c>
      <c r="Q661" s="198">
        <v>45555</v>
      </c>
      <c r="R661" s="159" t="s">
        <v>879</v>
      </c>
      <c r="S661" s="159" t="s">
        <v>701</v>
      </c>
      <c r="T661" s="164" t="s">
        <v>797</v>
      </c>
      <c r="U661" s="122">
        <v>78077600</v>
      </c>
      <c r="V661" s="123">
        <v>0</v>
      </c>
      <c r="W661" s="36">
        <f>Table2[[#This Row],[Construction Contract Amount]]+Table2[[#This Row],[Cumulative Variations]]</f>
        <v>78077600</v>
      </c>
      <c r="X661" s="36">
        <v>1576709</v>
      </c>
      <c r="Y661" s="201">
        <v>0</v>
      </c>
      <c r="Z661" s="36">
        <f>Table2[[#This Row],[Final Contract Value]]+Table2[[#This Row],[Supervision Contract amount]]+Table2[[#This Row],[Authority Cost]]</f>
        <v>79654309</v>
      </c>
      <c r="AA661" s="36">
        <v>8897764.4964881185</v>
      </c>
      <c r="AB661" s="36">
        <v>180000</v>
      </c>
      <c r="AC661" s="102" t="str">
        <f t="shared" si="39"/>
        <v>https://drive.google.com/thumbnail?id=1nd2LuxXC_tnKKOUoZp-2rCmz6m31uExe&amp;sz=w1000</v>
      </c>
      <c r="AD661" s="90" t="s">
        <v>888</v>
      </c>
      <c r="AE661" s="103" t="str">
        <f t="shared" si="40"/>
        <v>https://drive.google.com/thumbnail?id=18gvd1UBIqDir1Ui4hKFDzLdKhiyxJeTK&amp;sz=w1000</v>
      </c>
      <c r="AF661" s="90" t="s">
        <v>903</v>
      </c>
      <c r="AG661" s="90" t="str">
        <f t="shared" si="41"/>
        <v>https://drive.google.com/thumbnail?id=1oKDXnxtrdsnKiXx-rE-IOxBOcPslLQ0_&amp;sz=w1000</v>
      </c>
      <c r="AH661" s="90" t="s">
        <v>918</v>
      </c>
    </row>
    <row r="662" spans="1:34" ht="22.15" customHeight="1">
      <c r="A662" s="30">
        <v>45548</v>
      </c>
      <c r="B662" s="2" t="s">
        <v>237</v>
      </c>
      <c r="C662" s="2" t="s">
        <v>239</v>
      </c>
      <c r="D662" s="16" t="str" cm="1">
        <f t="array" ref="D662">_xlfn.XLOOKUP(1, (Table1[Project Name]=Table2[[#This Row],[Project ID]])*(Table1[Plot]=Table2[[#This Row],[Plot]]), Table1[Project ID])</f>
        <v>SC-01</v>
      </c>
      <c r="E662" s="69">
        <v>193</v>
      </c>
      <c r="F662" s="70">
        <v>356</v>
      </c>
      <c r="G662" s="69">
        <f>Table2[[#This Row],[Time Elapsed]]+Table2[[#This Row],[Time Remaining]]</f>
        <v>549</v>
      </c>
      <c r="H662" s="159" t="s">
        <v>857</v>
      </c>
      <c r="I662" s="159" t="s">
        <v>693</v>
      </c>
      <c r="J662" s="160">
        <v>3.8399999999999997E-2</v>
      </c>
      <c r="K662" s="161">
        <v>0.1653</v>
      </c>
      <c r="L662" s="13">
        <f>Table2[[#This Row],[Actual %]]-Table2[[#This Row],[Plan %]]</f>
        <v>0.12690000000000001</v>
      </c>
      <c r="M662" s="165" t="s">
        <v>302</v>
      </c>
      <c r="N662" s="195">
        <v>45904</v>
      </c>
      <c r="O662" s="195" t="s">
        <v>796</v>
      </c>
      <c r="P662" s="195">
        <v>45873</v>
      </c>
      <c r="Q662" s="198">
        <v>45555</v>
      </c>
      <c r="R662" s="159" t="s">
        <v>879</v>
      </c>
      <c r="S662" s="159" t="s">
        <v>701</v>
      </c>
      <c r="T662" s="164" t="s">
        <v>797</v>
      </c>
      <c r="U662" s="122">
        <v>78077600</v>
      </c>
      <c r="V662" s="123">
        <v>0</v>
      </c>
      <c r="W662" s="36">
        <f>Table2[[#This Row],[Construction Contract Amount]]+Table2[[#This Row],[Cumulative Variations]]</f>
        <v>78077600</v>
      </c>
      <c r="X662" s="36">
        <v>1576709</v>
      </c>
      <c r="Y662" s="201">
        <v>0</v>
      </c>
      <c r="Z662" s="36">
        <f>Table2[[#This Row],[Final Contract Value]]+Table2[[#This Row],[Supervision Contract amount]]+Table2[[#This Row],[Authority Cost]]</f>
        <v>79654309</v>
      </c>
      <c r="AA662" s="36">
        <v>8897764.4964881185</v>
      </c>
      <c r="AB662" s="36">
        <v>180000</v>
      </c>
      <c r="AC662" s="102" t="str">
        <f t="shared" si="39"/>
        <v>https://drive.google.com/thumbnail?id=1nd2LuxXC_tnKKOUoZp-2rCmz6m31uExe&amp;sz=w1000</v>
      </c>
      <c r="AD662" s="90" t="s">
        <v>888</v>
      </c>
      <c r="AE662" s="103" t="str">
        <f t="shared" si="40"/>
        <v>https://drive.google.com/thumbnail?id=18gvd1UBIqDir1Ui4hKFDzLdKhiyxJeTK&amp;sz=w1000</v>
      </c>
      <c r="AF662" s="90" t="s">
        <v>903</v>
      </c>
      <c r="AG662" s="90" t="str">
        <f t="shared" si="41"/>
        <v>https://drive.google.com/thumbnail?id=1oKDXnxtrdsnKiXx-rE-IOxBOcPslLQ0_&amp;sz=w1000</v>
      </c>
      <c r="AH662" s="90" t="s">
        <v>918</v>
      </c>
    </row>
    <row r="663" spans="1:34" ht="22.15" customHeight="1">
      <c r="A663" s="30">
        <v>45548</v>
      </c>
      <c r="B663" s="2" t="s">
        <v>244</v>
      </c>
      <c r="C663" s="2" t="s">
        <v>78</v>
      </c>
      <c r="D663" s="16" t="str" cm="1">
        <f t="array" ref="D663">_xlfn.XLOOKUP(1, (Table1[Project Name]=Table2[[#This Row],[Project ID]])*(Table1[Plot]=Table2[[#This Row],[Plot]]), Table1[Project ID])</f>
        <v>SC-02</v>
      </c>
      <c r="E663" s="69">
        <v>362</v>
      </c>
      <c r="F663" s="70">
        <v>185</v>
      </c>
      <c r="G663" s="69">
        <f>Table2[[#This Row],[Time Elapsed]]+Table2[[#This Row],[Time Remaining]]</f>
        <v>547</v>
      </c>
      <c r="H663" s="159" t="s">
        <v>858</v>
      </c>
      <c r="I663" s="159" t="s">
        <v>693</v>
      </c>
      <c r="J663" s="160">
        <v>0.28920000000000001</v>
      </c>
      <c r="K663" s="161">
        <v>0.2893</v>
      </c>
      <c r="L663" s="13">
        <f>Table2[[#This Row],[Actual %]]-Table2[[#This Row],[Plan %]]</f>
        <v>9.9999999999988987E-5</v>
      </c>
      <c r="M663" s="163" t="s">
        <v>285</v>
      </c>
      <c r="N663" s="226">
        <v>45187</v>
      </c>
      <c r="O663" s="226">
        <v>45195</v>
      </c>
      <c r="P663" s="226"/>
      <c r="Q663" s="198">
        <v>45555</v>
      </c>
      <c r="R663" s="159" t="s">
        <v>879</v>
      </c>
      <c r="S663" s="159" t="s">
        <v>701</v>
      </c>
      <c r="T663" s="164" t="s">
        <v>798</v>
      </c>
      <c r="U663" s="122">
        <v>78077600</v>
      </c>
      <c r="V663" s="123">
        <v>0</v>
      </c>
      <c r="W663" s="36">
        <f>Table2[[#This Row],[Construction Contract Amount]]+Table2[[#This Row],[Cumulative Variations]]</f>
        <v>78077600</v>
      </c>
      <c r="X663" s="36">
        <v>1576709</v>
      </c>
      <c r="Y663" s="201">
        <v>0</v>
      </c>
      <c r="Z663" s="36">
        <f>Table2[[#This Row],[Final Contract Value]]+Table2[[#This Row],[Supervision Contract amount]]+Table2[[#This Row],[Authority Cost]]</f>
        <v>79654309</v>
      </c>
      <c r="AA663" s="36">
        <v>12271635.594366819</v>
      </c>
      <c r="AB663" s="36">
        <v>180000</v>
      </c>
      <c r="AC663" s="102" t="str">
        <f t="shared" si="39"/>
        <v>https://drive.google.com/thumbnail?id=1W-gf0VbzbihbaBDbivu-eAIuFgmf1g2H&amp;sz=w1000</v>
      </c>
      <c r="AD663" s="90" t="s">
        <v>889</v>
      </c>
      <c r="AE663" s="103" t="str">
        <f t="shared" si="40"/>
        <v>https://drive.google.com/thumbnail?id=1hqFUNz-YrJL1D-KF62ciGzKLn0jl5v4Y&amp;sz=w1000</v>
      </c>
      <c r="AF663" s="90" t="s">
        <v>904</v>
      </c>
      <c r="AG663" s="90" t="str">
        <f t="shared" si="41"/>
        <v>https://drive.google.com/thumbnail?id=1EFP77JsHwvOLRKb7NL4f0-WTRLI4zmhV&amp;sz=w1000</v>
      </c>
      <c r="AH663" s="90" t="s">
        <v>919</v>
      </c>
    </row>
    <row r="664" spans="1:34" ht="22.15" customHeight="1">
      <c r="A664" s="30">
        <v>45548</v>
      </c>
      <c r="B664" s="2" t="s">
        <v>244</v>
      </c>
      <c r="C664" s="2" t="s">
        <v>78</v>
      </c>
      <c r="D664" s="16" t="str" cm="1">
        <f t="array" ref="D664">_xlfn.XLOOKUP(1, (Table1[Project Name]=Table2[[#This Row],[Project ID]])*(Table1[Plot]=Table2[[#This Row],[Plot]]), Table1[Project ID])</f>
        <v>SC-02</v>
      </c>
      <c r="E664" s="69">
        <v>362</v>
      </c>
      <c r="F664" s="70">
        <v>185</v>
      </c>
      <c r="G664" s="69">
        <f>Table2[[#This Row],[Time Elapsed]]+Table2[[#This Row],[Time Remaining]]</f>
        <v>547</v>
      </c>
      <c r="H664" s="159" t="s">
        <v>858</v>
      </c>
      <c r="I664" s="159" t="s">
        <v>693</v>
      </c>
      <c r="J664" s="160">
        <v>0.28920000000000001</v>
      </c>
      <c r="K664" s="161">
        <v>0.2893</v>
      </c>
      <c r="L664" s="13">
        <f>Table2[[#This Row],[Actual %]]-Table2[[#This Row],[Plan %]]</f>
        <v>9.9999999999988987E-5</v>
      </c>
      <c r="M664" s="165" t="s">
        <v>51</v>
      </c>
      <c r="N664" s="226">
        <v>45220</v>
      </c>
      <c r="O664" s="226">
        <v>45266</v>
      </c>
      <c r="P664" s="226" t="s">
        <v>796</v>
      </c>
      <c r="Q664" s="198">
        <v>45555</v>
      </c>
      <c r="R664" s="159" t="s">
        <v>879</v>
      </c>
      <c r="S664" s="159" t="s">
        <v>701</v>
      </c>
      <c r="T664" s="164" t="s">
        <v>798</v>
      </c>
      <c r="U664" s="122">
        <v>78077600</v>
      </c>
      <c r="V664" s="123">
        <v>0</v>
      </c>
      <c r="W664" s="36">
        <f>Table2[[#This Row],[Construction Contract Amount]]+Table2[[#This Row],[Cumulative Variations]]</f>
        <v>78077600</v>
      </c>
      <c r="X664" s="36">
        <v>1576709</v>
      </c>
      <c r="Y664" s="201">
        <v>0</v>
      </c>
      <c r="Z664" s="36">
        <f>Table2[[#This Row],[Final Contract Value]]+Table2[[#This Row],[Supervision Contract amount]]+Table2[[#This Row],[Authority Cost]]</f>
        <v>79654309</v>
      </c>
      <c r="AA664" s="36">
        <v>12271635.594366819</v>
      </c>
      <c r="AB664" s="36">
        <v>180000</v>
      </c>
      <c r="AC664" s="102" t="str">
        <f t="shared" si="39"/>
        <v>https://drive.google.com/thumbnail?id=1W-gf0VbzbihbaBDbivu-eAIuFgmf1g2H&amp;sz=w1000</v>
      </c>
      <c r="AD664" s="90" t="s">
        <v>889</v>
      </c>
      <c r="AE664" s="103" t="str">
        <f t="shared" si="40"/>
        <v>https://drive.google.com/thumbnail?id=1hqFUNz-YrJL1D-KF62ciGzKLn0jl5v4Y&amp;sz=w1000</v>
      </c>
      <c r="AF664" s="90" t="s">
        <v>904</v>
      </c>
      <c r="AG664" s="90" t="str">
        <f t="shared" si="41"/>
        <v>https://drive.google.com/thumbnail?id=1EFP77JsHwvOLRKb7NL4f0-WTRLI4zmhV&amp;sz=w1000</v>
      </c>
      <c r="AH664" s="90" t="s">
        <v>919</v>
      </c>
    </row>
    <row r="665" spans="1:34" ht="22.15" customHeight="1">
      <c r="A665" s="30">
        <v>45548</v>
      </c>
      <c r="B665" s="2" t="s">
        <v>244</v>
      </c>
      <c r="C665" s="2" t="s">
        <v>78</v>
      </c>
      <c r="D665" s="16" t="str" cm="1">
        <f t="array" ref="D665">_xlfn.XLOOKUP(1, (Table1[Project Name]=Table2[[#This Row],[Project ID]])*(Table1[Plot]=Table2[[#This Row],[Plot]]), Table1[Project ID])</f>
        <v>SC-02</v>
      </c>
      <c r="E665" s="69">
        <v>362</v>
      </c>
      <c r="F665" s="70">
        <v>185</v>
      </c>
      <c r="G665" s="69">
        <f>Table2[[#This Row],[Time Elapsed]]+Table2[[#This Row],[Time Remaining]]</f>
        <v>547</v>
      </c>
      <c r="H665" s="159" t="s">
        <v>858</v>
      </c>
      <c r="I665" s="159" t="s">
        <v>693</v>
      </c>
      <c r="J665" s="160">
        <v>0.28920000000000001</v>
      </c>
      <c r="K665" s="161">
        <v>0.2893</v>
      </c>
      <c r="L665" s="13">
        <f>Table2[[#This Row],[Actual %]]-Table2[[#This Row],[Plan %]]</f>
        <v>9.9999999999988987E-5</v>
      </c>
      <c r="M665" s="165" t="s">
        <v>287</v>
      </c>
      <c r="N665" s="226">
        <v>45429</v>
      </c>
      <c r="O665" s="226">
        <v>45435</v>
      </c>
      <c r="P665" s="226" t="s">
        <v>796</v>
      </c>
      <c r="Q665" s="198">
        <v>45555</v>
      </c>
      <c r="R665" s="159" t="s">
        <v>879</v>
      </c>
      <c r="S665" s="159" t="s">
        <v>701</v>
      </c>
      <c r="T665" s="164" t="s">
        <v>798</v>
      </c>
      <c r="U665" s="122">
        <v>78077600</v>
      </c>
      <c r="V665" s="123">
        <v>0</v>
      </c>
      <c r="W665" s="36">
        <f>Table2[[#This Row],[Construction Contract Amount]]+Table2[[#This Row],[Cumulative Variations]]</f>
        <v>78077600</v>
      </c>
      <c r="X665" s="36">
        <v>1576709</v>
      </c>
      <c r="Y665" s="201">
        <v>0</v>
      </c>
      <c r="Z665" s="36">
        <f>Table2[[#This Row],[Final Contract Value]]+Table2[[#This Row],[Supervision Contract amount]]+Table2[[#This Row],[Authority Cost]]</f>
        <v>79654309</v>
      </c>
      <c r="AA665" s="36">
        <v>12271635.594366819</v>
      </c>
      <c r="AB665" s="36">
        <v>180000</v>
      </c>
      <c r="AC665" s="102" t="str">
        <f t="shared" si="39"/>
        <v>https://drive.google.com/thumbnail?id=1W-gf0VbzbihbaBDbivu-eAIuFgmf1g2H&amp;sz=w1000</v>
      </c>
      <c r="AD665" s="90" t="s">
        <v>889</v>
      </c>
      <c r="AE665" s="103" t="str">
        <f t="shared" si="40"/>
        <v>https://drive.google.com/thumbnail?id=1hqFUNz-YrJL1D-KF62ciGzKLn0jl5v4Y&amp;sz=w1000</v>
      </c>
      <c r="AF665" s="90" t="s">
        <v>904</v>
      </c>
      <c r="AG665" s="90" t="str">
        <f t="shared" si="41"/>
        <v>https://drive.google.com/thumbnail?id=1EFP77JsHwvOLRKb7NL4f0-WTRLI4zmhV&amp;sz=w1000</v>
      </c>
      <c r="AH665" s="90" t="s">
        <v>919</v>
      </c>
    </row>
    <row r="666" spans="1:34" ht="22.15" customHeight="1">
      <c r="A666" s="30">
        <v>45548</v>
      </c>
      <c r="B666" s="2" t="s">
        <v>244</v>
      </c>
      <c r="C666" s="2" t="s">
        <v>78</v>
      </c>
      <c r="D666" s="16" t="str" cm="1">
        <f t="array" ref="D666">_xlfn.XLOOKUP(1, (Table1[Project Name]=Table2[[#This Row],[Project ID]])*(Table1[Plot]=Table2[[#This Row],[Plot]]), Table1[Project ID])</f>
        <v>SC-02</v>
      </c>
      <c r="E666" s="69">
        <v>362</v>
      </c>
      <c r="F666" s="70">
        <v>185</v>
      </c>
      <c r="G666" s="69">
        <f>Table2[[#This Row],[Time Elapsed]]+Table2[[#This Row],[Time Remaining]]</f>
        <v>547</v>
      </c>
      <c r="H666" s="159" t="s">
        <v>858</v>
      </c>
      <c r="I666" s="159" t="s">
        <v>693</v>
      </c>
      <c r="J666" s="160">
        <v>0.28920000000000001</v>
      </c>
      <c r="K666" s="161">
        <v>0.2893</v>
      </c>
      <c r="L666" s="13">
        <f>Table2[[#This Row],[Actual %]]-Table2[[#This Row],[Plan %]]</f>
        <v>9.9999999999988987E-5</v>
      </c>
      <c r="M666" s="165" t="s">
        <v>703</v>
      </c>
      <c r="N666" s="226">
        <v>45510</v>
      </c>
      <c r="O666" s="226" t="s">
        <v>796</v>
      </c>
      <c r="P666" s="226">
        <v>45555</v>
      </c>
      <c r="Q666" s="198">
        <v>45555</v>
      </c>
      <c r="R666" s="159" t="s">
        <v>879</v>
      </c>
      <c r="S666" s="159" t="s">
        <v>701</v>
      </c>
      <c r="T666" s="164" t="s">
        <v>798</v>
      </c>
      <c r="U666" s="122">
        <v>78077600</v>
      </c>
      <c r="V666" s="123">
        <v>0</v>
      </c>
      <c r="W666" s="36">
        <f>Table2[[#This Row],[Construction Contract Amount]]+Table2[[#This Row],[Cumulative Variations]]</f>
        <v>78077600</v>
      </c>
      <c r="X666" s="36">
        <v>1576709</v>
      </c>
      <c r="Y666" s="201">
        <v>0</v>
      </c>
      <c r="Z666" s="36">
        <f>Table2[[#This Row],[Final Contract Value]]+Table2[[#This Row],[Supervision Contract amount]]+Table2[[#This Row],[Authority Cost]]</f>
        <v>79654309</v>
      </c>
      <c r="AA666" s="36">
        <v>12271635.594366819</v>
      </c>
      <c r="AB666" s="36">
        <v>180000</v>
      </c>
      <c r="AC666" s="102" t="str">
        <f t="shared" si="39"/>
        <v>https://drive.google.com/thumbnail?id=1W-gf0VbzbihbaBDbivu-eAIuFgmf1g2H&amp;sz=w1000</v>
      </c>
      <c r="AD666" s="90" t="s">
        <v>889</v>
      </c>
      <c r="AE666" s="103" t="str">
        <f t="shared" si="40"/>
        <v>https://drive.google.com/thumbnail?id=1hqFUNz-YrJL1D-KF62ciGzKLn0jl5v4Y&amp;sz=w1000</v>
      </c>
      <c r="AF666" s="90" t="s">
        <v>904</v>
      </c>
      <c r="AG666" s="90" t="str">
        <f t="shared" si="41"/>
        <v>https://drive.google.com/thumbnail?id=1EFP77JsHwvOLRKb7NL4f0-WTRLI4zmhV&amp;sz=w1000</v>
      </c>
      <c r="AH666" s="90" t="s">
        <v>919</v>
      </c>
    </row>
    <row r="667" spans="1:34" ht="22.15" customHeight="1">
      <c r="A667" s="30">
        <v>45548</v>
      </c>
      <c r="B667" s="2" t="s">
        <v>244</v>
      </c>
      <c r="C667" s="2" t="s">
        <v>78</v>
      </c>
      <c r="D667" s="16" t="str" cm="1">
        <f t="array" ref="D667">_xlfn.XLOOKUP(1, (Table1[Project Name]=Table2[[#This Row],[Project ID]])*(Table1[Plot]=Table2[[#This Row],[Plot]]), Table1[Project ID])</f>
        <v>SC-02</v>
      </c>
      <c r="E667" s="69">
        <v>362</v>
      </c>
      <c r="F667" s="70">
        <v>185</v>
      </c>
      <c r="G667" s="69">
        <f>Table2[[#This Row],[Time Elapsed]]+Table2[[#This Row],[Time Remaining]]</f>
        <v>547</v>
      </c>
      <c r="H667" s="159" t="s">
        <v>858</v>
      </c>
      <c r="I667" s="159" t="s">
        <v>693</v>
      </c>
      <c r="J667" s="160">
        <v>0.28920000000000001</v>
      </c>
      <c r="K667" s="161">
        <v>0.2893</v>
      </c>
      <c r="L667" s="13">
        <f>Table2[[#This Row],[Actual %]]-Table2[[#This Row],[Plan %]]</f>
        <v>9.9999999999988987E-5</v>
      </c>
      <c r="M667" s="165" t="s">
        <v>704</v>
      </c>
      <c r="N667" s="226">
        <v>45603</v>
      </c>
      <c r="O667" s="226" t="s">
        <v>796</v>
      </c>
      <c r="P667" s="226">
        <v>45573</v>
      </c>
      <c r="Q667" s="198">
        <v>45555</v>
      </c>
      <c r="R667" s="159" t="s">
        <v>879</v>
      </c>
      <c r="S667" s="159" t="s">
        <v>701</v>
      </c>
      <c r="T667" s="164" t="s">
        <v>798</v>
      </c>
      <c r="U667" s="122">
        <v>78077600</v>
      </c>
      <c r="V667" s="123">
        <v>0</v>
      </c>
      <c r="W667" s="36">
        <f>Table2[[#This Row],[Construction Contract Amount]]+Table2[[#This Row],[Cumulative Variations]]</f>
        <v>78077600</v>
      </c>
      <c r="X667" s="36">
        <v>1576709</v>
      </c>
      <c r="Y667" s="201">
        <v>0</v>
      </c>
      <c r="Z667" s="36">
        <f>Table2[[#This Row],[Final Contract Value]]+Table2[[#This Row],[Supervision Contract amount]]+Table2[[#This Row],[Authority Cost]]</f>
        <v>79654309</v>
      </c>
      <c r="AA667" s="36">
        <v>12271635.594366819</v>
      </c>
      <c r="AB667" s="36">
        <v>180000</v>
      </c>
      <c r="AC667" s="102" t="str">
        <f t="shared" si="39"/>
        <v>https://drive.google.com/thumbnail?id=1W-gf0VbzbihbaBDbivu-eAIuFgmf1g2H&amp;sz=w1000</v>
      </c>
      <c r="AD667" s="90" t="s">
        <v>889</v>
      </c>
      <c r="AE667" s="103" t="str">
        <f t="shared" si="40"/>
        <v>https://drive.google.com/thumbnail?id=1hqFUNz-YrJL1D-KF62ciGzKLn0jl5v4Y&amp;sz=w1000</v>
      </c>
      <c r="AF667" s="90" t="s">
        <v>904</v>
      </c>
      <c r="AG667" s="90" t="str">
        <f t="shared" si="41"/>
        <v>https://drive.google.com/thumbnail?id=1EFP77JsHwvOLRKb7NL4f0-WTRLI4zmhV&amp;sz=w1000</v>
      </c>
      <c r="AH667" s="90" t="s">
        <v>919</v>
      </c>
    </row>
    <row r="668" spans="1:34" ht="22.15" customHeight="1">
      <c r="A668" s="30">
        <v>45548</v>
      </c>
      <c r="B668" s="2" t="s">
        <v>244</v>
      </c>
      <c r="C668" s="2" t="s">
        <v>78</v>
      </c>
      <c r="D668" s="16" t="str" cm="1">
        <f t="array" ref="D668">_xlfn.XLOOKUP(1, (Table1[Project Name]=Table2[[#This Row],[Project ID]])*(Table1[Plot]=Table2[[#This Row],[Plot]]), Table1[Project ID])</f>
        <v>SC-02</v>
      </c>
      <c r="E668" s="69">
        <v>362</v>
      </c>
      <c r="F668" s="70">
        <v>185</v>
      </c>
      <c r="G668" s="69">
        <f>Table2[[#This Row],[Time Elapsed]]+Table2[[#This Row],[Time Remaining]]</f>
        <v>547</v>
      </c>
      <c r="H668" s="159" t="s">
        <v>858</v>
      </c>
      <c r="I668" s="159" t="s">
        <v>693</v>
      </c>
      <c r="J668" s="160">
        <v>0.28920000000000001</v>
      </c>
      <c r="K668" s="161">
        <v>0.2893</v>
      </c>
      <c r="L668" s="13">
        <f>Table2[[#This Row],[Actual %]]-Table2[[#This Row],[Plan %]]</f>
        <v>9.9999999999988987E-5</v>
      </c>
      <c r="M668" s="165" t="s">
        <v>705</v>
      </c>
      <c r="N668" s="226">
        <v>45511</v>
      </c>
      <c r="O668" s="226">
        <v>45477</v>
      </c>
      <c r="P668" s="226" t="s">
        <v>796</v>
      </c>
      <c r="Q668" s="198">
        <v>45555</v>
      </c>
      <c r="R668" s="159" t="s">
        <v>879</v>
      </c>
      <c r="S668" s="159" t="s">
        <v>701</v>
      </c>
      <c r="T668" s="164" t="s">
        <v>798</v>
      </c>
      <c r="U668" s="122">
        <v>78077600</v>
      </c>
      <c r="V668" s="123">
        <v>0</v>
      </c>
      <c r="W668" s="36">
        <f>Table2[[#This Row],[Construction Contract Amount]]+Table2[[#This Row],[Cumulative Variations]]</f>
        <v>78077600</v>
      </c>
      <c r="X668" s="36">
        <v>1576709</v>
      </c>
      <c r="Y668" s="201">
        <v>0</v>
      </c>
      <c r="Z668" s="36">
        <f>Table2[[#This Row],[Final Contract Value]]+Table2[[#This Row],[Supervision Contract amount]]+Table2[[#This Row],[Authority Cost]]</f>
        <v>79654309</v>
      </c>
      <c r="AA668" s="36">
        <v>12271635.594366819</v>
      </c>
      <c r="AB668" s="36">
        <v>180000</v>
      </c>
      <c r="AC668" s="102" t="str">
        <f t="shared" si="39"/>
        <v>https://drive.google.com/thumbnail?id=1W-gf0VbzbihbaBDbivu-eAIuFgmf1g2H&amp;sz=w1000</v>
      </c>
      <c r="AD668" s="90" t="s">
        <v>889</v>
      </c>
      <c r="AE668" s="103" t="str">
        <f t="shared" si="40"/>
        <v>https://drive.google.com/thumbnail?id=1hqFUNz-YrJL1D-KF62ciGzKLn0jl5v4Y&amp;sz=w1000</v>
      </c>
      <c r="AF668" s="90" t="s">
        <v>904</v>
      </c>
      <c r="AG668" s="90" t="str">
        <f t="shared" si="41"/>
        <v>https://drive.google.com/thumbnail?id=1EFP77JsHwvOLRKb7NL4f0-WTRLI4zmhV&amp;sz=w1000</v>
      </c>
      <c r="AH668" s="90" t="s">
        <v>919</v>
      </c>
    </row>
    <row r="669" spans="1:34" ht="22.15" customHeight="1">
      <c r="A669" s="30">
        <v>45548</v>
      </c>
      <c r="B669" s="2" t="s">
        <v>244</v>
      </c>
      <c r="C669" s="2" t="s">
        <v>78</v>
      </c>
      <c r="D669" s="16" t="str" cm="1">
        <f t="array" ref="D669">_xlfn.XLOOKUP(1, (Table1[Project Name]=Table2[[#This Row],[Project ID]])*(Table1[Plot]=Table2[[#This Row],[Plot]]), Table1[Project ID])</f>
        <v>SC-02</v>
      </c>
      <c r="E669" s="69">
        <v>362</v>
      </c>
      <c r="F669" s="70">
        <v>185</v>
      </c>
      <c r="G669" s="69">
        <f>Table2[[#This Row],[Time Elapsed]]+Table2[[#This Row],[Time Remaining]]</f>
        <v>547</v>
      </c>
      <c r="H669" s="159" t="s">
        <v>858</v>
      </c>
      <c r="I669" s="159" t="s">
        <v>693</v>
      </c>
      <c r="J669" s="160">
        <v>0.28920000000000001</v>
      </c>
      <c r="K669" s="161">
        <v>0.2893</v>
      </c>
      <c r="L669" s="13">
        <f>Table2[[#This Row],[Actual %]]-Table2[[#This Row],[Plan %]]</f>
        <v>9.9999999999988987E-5</v>
      </c>
      <c r="M669" s="165" t="s">
        <v>706</v>
      </c>
      <c r="N669" s="226">
        <v>45596</v>
      </c>
      <c r="O669" s="226" t="s">
        <v>796</v>
      </c>
      <c r="P669" s="226">
        <v>45598</v>
      </c>
      <c r="Q669" s="198">
        <v>45555</v>
      </c>
      <c r="R669" s="159" t="s">
        <v>879</v>
      </c>
      <c r="S669" s="159" t="s">
        <v>701</v>
      </c>
      <c r="T669" s="164" t="s">
        <v>798</v>
      </c>
      <c r="U669" s="122">
        <v>78077600</v>
      </c>
      <c r="V669" s="123">
        <v>0</v>
      </c>
      <c r="W669" s="36">
        <f>Table2[[#This Row],[Construction Contract Amount]]+Table2[[#This Row],[Cumulative Variations]]</f>
        <v>78077600</v>
      </c>
      <c r="X669" s="36">
        <v>1576709</v>
      </c>
      <c r="Y669" s="201">
        <v>0</v>
      </c>
      <c r="Z669" s="36">
        <f>Table2[[#This Row],[Final Contract Value]]+Table2[[#This Row],[Supervision Contract amount]]+Table2[[#This Row],[Authority Cost]]</f>
        <v>79654309</v>
      </c>
      <c r="AA669" s="36">
        <v>12271635.594366819</v>
      </c>
      <c r="AB669" s="36">
        <v>180000</v>
      </c>
      <c r="AC669" s="102" t="str">
        <f t="shared" si="39"/>
        <v>https://drive.google.com/thumbnail?id=1W-gf0VbzbihbaBDbivu-eAIuFgmf1g2H&amp;sz=w1000</v>
      </c>
      <c r="AD669" s="90" t="s">
        <v>889</v>
      </c>
      <c r="AE669" s="103" t="str">
        <f t="shared" si="40"/>
        <v>https://drive.google.com/thumbnail?id=1hqFUNz-YrJL1D-KF62ciGzKLn0jl5v4Y&amp;sz=w1000</v>
      </c>
      <c r="AF669" s="90" t="s">
        <v>904</v>
      </c>
      <c r="AG669" s="90" t="str">
        <f t="shared" si="41"/>
        <v>https://drive.google.com/thumbnail?id=1EFP77JsHwvOLRKb7NL4f0-WTRLI4zmhV&amp;sz=w1000</v>
      </c>
      <c r="AH669" s="90" t="s">
        <v>919</v>
      </c>
    </row>
    <row r="670" spans="1:34" ht="22.15" customHeight="1">
      <c r="A670" s="30">
        <v>45548</v>
      </c>
      <c r="B670" s="2" t="s">
        <v>244</v>
      </c>
      <c r="C670" s="2" t="s">
        <v>78</v>
      </c>
      <c r="D670" s="16" t="str" cm="1">
        <f t="array" ref="D670">_xlfn.XLOOKUP(1, (Table1[Project Name]=Table2[[#This Row],[Project ID]])*(Table1[Plot]=Table2[[#This Row],[Plot]]), Table1[Project ID])</f>
        <v>SC-02</v>
      </c>
      <c r="E670" s="69">
        <v>362</v>
      </c>
      <c r="F670" s="70">
        <v>185</v>
      </c>
      <c r="G670" s="69">
        <f>Table2[[#This Row],[Time Elapsed]]+Table2[[#This Row],[Time Remaining]]</f>
        <v>547</v>
      </c>
      <c r="H670" s="159" t="s">
        <v>858</v>
      </c>
      <c r="I670" s="159" t="s">
        <v>693</v>
      </c>
      <c r="J670" s="160">
        <v>0.28920000000000001</v>
      </c>
      <c r="K670" s="161">
        <v>0.2893</v>
      </c>
      <c r="L670" s="13">
        <f>Table2[[#This Row],[Actual %]]-Table2[[#This Row],[Plan %]]</f>
        <v>9.9999999999988987E-5</v>
      </c>
      <c r="M670" s="165" t="s">
        <v>280</v>
      </c>
      <c r="N670" s="226">
        <v>45682</v>
      </c>
      <c r="O670" s="226" t="s">
        <v>796</v>
      </c>
      <c r="P670" s="226">
        <v>45783</v>
      </c>
      <c r="Q670" s="198">
        <v>45555</v>
      </c>
      <c r="R670" s="159" t="s">
        <v>879</v>
      </c>
      <c r="S670" s="159" t="s">
        <v>701</v>
      </c>
      <c r="T670" s="164" t="s">
        <v>798</v>
      </c>
      <c r="U670" s="122">
        <v>78077600</v>
      </c>
      <c r="V670" s="123">
        <v>0</v>
      </c>
      <c r="W670" s="36">
        <f>Table2[[#This Row],[Construction Contract Amount]]+Table2[[#This Row],[Cumulative Variations]]</f>
        <v>78077600</v>
      </c>
      <c r="X670" s="36">
        <v>1576709</v>
      </c>
      <c r="Y670" s="201">
        <v>0</v>
      </c>
      <c r="Z670" s="36">
        <f>Table2[[#This Row],[Final Contract Value]]+Table2[[#This Row],[Supervision Contract amount]]+Table2[[#This Row],[Authority Cost]]</f>
        <v>79654309</v>
      </c>
      <c r="AA670" s="36">
        <v>12271635.594366819</v>
      </c>
      <c r="AB670" s="36">
        <v>180000</v>
      </c>
      <c r="AC670" s="102" t="str">
        <f t="shared" si="39"/>
        <v>https://drive.google.com/thumbnail?id=1W-gf0VbzbihbaBDbivu-eAIuFgmf1g2H&amp;sz=w1000</v>
      </c>
      <c r="AD670" s="90" t="s">
        <v>889</v>
      </c>
      <c r="AE670" s="103" t="str">
        <f t="shared" si="40"/>
        <v>https://drive.google.com/thumbnail?id=1hqFUNz-YrJL1D-KF62ciGzKLn0jl5v4Y&amp;sz=w1000</v>
      </c>
      <c r="AF670" s="90" t="s">
        <v>904</v>
      </c>
      <c r="AG670" s="90" t="str">
        <f t="shared" si="41"/>
        <v>https://drive.google.com/thumbnail?id=1EFP77JsHwvOLRKb7NL4f0-WTRLI4zmhV&amp;sz=w1000</v>
      </c>
      <c r="AH670" s="90" t="s">
        <v>919</v>
      </c>
    </row>
    <row r="671" spans="1:34" ht="22.15" customHeight="1">
      <c r="A671" s="30">
        <v>45548</v>
      </c>
      <c r="B671" s="2" t="s">
        <v>244</v>
      </c>
      <c r="C671" s="2" t="s">
        <v>78</v>
      </c>
      <c r="D671" s="16" t="str" cm="1">
        <f t="array" ref="D671">_xlfn.XLOOKUP(1, (Table1[Project Name]=Table2[[#This Row],[Project ID]])*(Table1[Plot]=Table2[[#This Row],[Plot]]), Table1[Project ID])</f>
        <v>SC-02</v>
      </c>
      <c r="E671" s="69">
        <v>362</v>
      </c>
      <c r="F671" s="70">
        <v>185</v>
      </c>
      <c r="G671" s="69">
        <f>Table2[[#This Row],[Time Elapsed]]+Table2[[#This Row],[Time Remaining]]</f>
        <v>547</v>
      </c>
      <c r="H671" s="159" t="s">
        <v>858</v>
      </c>
      <c r="I671" s="159" t="s">
        <v>693</v>
      </c>
      <c r="J671" s="160">
        <v>0.28920000000000001</v>
      </c>
      <c r="K671" s="161">
        <v>0.2893</v>
      </c>
      <c r="L671" s="13">
        <f>Table2[[#This Row],[Actual %]]-Table2[[#This Row],[Plan %]]</f>
        <v>9.9999999999988987E-5</v>
      </c>
      <c r="M671" s="165" t="s">
        <v>343</v>
      </c>
      <c r="N671" s="226">
        <v>45701</v>
      </c>
      <c r="O671" s="226" t="s">
        <v>796</v>
      </c>
      <c r="P671" s="226">
        <v>45803</v>
      </c>
      <c r="Q671" s="198">
        <v>45555</v>
      </c>
      <c r="R671" s="159" t="s">
        <v>879</v>
      </c>
      <c r="S671" s="159" t="s">
        <v>701</v>
      </c>
      <c r="T671" s="164" t="s">
        <v>798</v>
      </c>
      <c r="U671" s="122">
        <v>78077600</v>
      </c>
      <c r="V671" s="123">
        <v>0</v>
      </c>
      <c r="W671" s="36">
        <f>Table2[[#This Row],[Construction Contract Amount]]+Table2[[#This Row],[Cumulative Variations]]</f>
        <v>78077600</v>
      </c>
      <c r="X671" s="36">
        <v>1576709</v>
      </c>
      <c r="Y671" s="201">
        <v>0</v>
      </c>
      <c r="Z671" s="36">
        <f>Table2[[#This Row],[Final Contract Value]]+Table2[[#This Row],[Supervision Contract amount]]+Table2[[#This Row],[Authority Cost]]</f>
        <v>79654309</v>
      </c>
      <c r="AA671" s="36">
        <v>12271635.594366819</v>
      </c>
      <c r="AB671" s="36">
        <v>180000</v>
      </c>
      <c r="AC671" s="102" t="str">
        <f t="shared" si="39"/>
        <v>https://drive.google.com/thumbnail?id=1W-gf0VbzbihbaBDbivu-eAIuFgmf1g2H&amp;sz=w1000</v>
      </c>
      <c r="AD671" s="90" t="s">
        <v>889</v>
      </c>
      <c r="AE671" s="103" t="str">
        <f t="shared" si="40"/>
        <v>https://drive.google.com/thumbnail?id=1hqFUNz-YrJL1D-KF62ciGzKLn0jl5v4Y&amp;sz=w1000</v>
      </c>
      <c r="AF671" s="90" t="s">
        <v>904</v>
      </c>
      <c r="AG671" s="90" t="str">
        <f t="shared" si="41"/>
        <v>https://drive.google.com/thumbnail?id=1EFP77JsHwvOLRKb7NL4f0-WTRLI4zmhV&amp;sz=w1000</v>
      </c>
      <c r="AH671" s="90" t="s">
        <v>919</v>
      </c>
    </row>
    <row r="672" spans="1:34" ht="22.15" customHeight="1">
      <c r="A672" s="30">
        <v>45548</v>
      </c>
      <c r="B672" s="2" t="s">
        <v>244</v>
      </c>
      <c r="C672" s="2" t="s">
        <v>78</v>
      </c>
      <c r="D672" s="16" t="str" cm="1">
        <f t="array" ref="D672">_xlfn.XLOOKUP(1, (Table1[Project Name]=Table2[[#This Row],[Project ID]])*(Table1[Plot]=Table2[[#This Row],[Plot]]), Table1[Project ID])</f>
        <v>SC-02</v>
      </c>
      <c r="E672" s="69">
        <v>362</v>
      </c>
      <c r="F672" s="70">
        <v>185</v>
      </c>
      <c r="G672" s="69">
        <f>Table2[[#This Row],[Time Elapsed]]+Table2[[#This Row],[Time Remaining]]</f>
        <v>547</v>
      </c>
      <c r="H672" s="159" t="s">
        <v>858</v>
      </c>
      <c r="I672" s="159" t="s">
        <v>693</v>
      </c>
      <c r="J672" s="160">
        <v>0.28920000000000001</v>
      </c>
      <c r="K672" s="161">
        <v>0.2893</v>
      </c>
      <c r="L672" s="13">
        <f>Table2[[#This Row],[Actual %]]-Table2[[#This Row],[Plan %]]</f>
        <v>9.9999999999988987E-5</v>
      </c>
      <c r="M672" s="165" t="s">
        <v>344</v>
      </c>
      <c r="N672" s="226">
        <v>45720</v>
      </c>
      <c r="O672" s="226" t="s">
        <v>796</v>
      </c>
      <c r="P672" s="226">
        <v>45824</v>
      </c>
      <c r="Q672" s="198">
        <v>45555</v>
      </c>
      <c r="R672" s="159" t="s">
        <v>879</v>
      </c>
      <c r="S672" s="159" t="s">
        <v>701</v>
      </c>
      <c r="T672" s="164" t="s">
        <v>798</v>
      </c>
      <c r="U672" s="122">
        <v>78077600</v>
      </c>
      <c r="V672" s="123">
        <v>0</v>
      </c>
      <c r="W672" s="36">
        <f>Table2[[#This Row],[Construction Contract Amount]]+Table2[[#This Row],[Cumulative Variations]]</f>
        <v>78077600</v>
      </c>
      <c r="X672" s="36">
        <v>1576709</v>
      </c>
      <c r="Y672" s="201">
        <v>0</v>
      </c>
      <c r="Z672" s="36">
        <f>Table2[[#This Row],[Final Contract Value]]+Table2[[#This Row],[Supervision Contract amount]]+Table2[[#This Row],[Authority Cost]]</f>
        <v>79654309</v>
      </c>
      <c r="AA672" s="36">
        <v>12271635.594366819</v>
      </c>
      <c r="AB672" s="36">
        <v>180000</v>
      </c>
      <c r="AC672" s="102" t="str">
        <f t="shared" si="39"/>
        <v>https://drive.google.com/thumbnail?id=1W-gf0VbzbihbaBDbivu-eAIuFgmf1g2H&amp;sz=w1000</v>
      </c>
      <c r="AD672" s="90" t="s">
        <v>889</v>
      </c>
      <c r="AE672" s="103" t="str">
        <f t="shared" si="40"/>
        <v>https://drive.google.com/thumbnail?id=1hqFUNz-YrJL1D-KF62ciGzKLn0jl5v4Y&amp;sz=w1000</v>
      </c>
      <c r="AF672" s="90" t="s">
        <v>904</v>
      </c>
      <c r="AG672" s="90" t="str">
        <f t="shared" si="41"/>
        <v>https://drive.google.com/thumbnail?id=1EFP77JsHwvOLRKb7NL4f0-WTRLI4zmhV&amp;sz=w1000</v>
      </c>
      <c r="AH672" s="90" t="s">
        <v>919</v>
      </c>
    </row>
    <row r="673" spans="1:34" ht="22.15" customHeight="1">
      <c r="A673" s="30">
        <v>45548</v>
      </c>
      <c r="B673" s="2" t="s">
        <v>244</v>
      </c>
      <c r="C673" s="2" t="s">
        <v>78</v>
      </c>
      <c r="D673" s="16" t="str" cm="1">
        <f t="array" ref="D673">_xlfn.XLOOKUP(1, (Table1[Project Name]=Table2[[#This Row],[Project ID]])*(Table1[Plot]=Table2[[#This Row],[Plot]]), Table1[Project ID])</f>
        <v>SC-02</v>
      </c>
      <c r="E673" s="69">
        <v>362</v>
      </c>
      <c r="F673" s="70">
        <v>185</v>
      </c>
      <c r="G673" s="69">
        <f>Table2[[#This Row],[Time Elapsed]]+Table2[[#This Row],[Time Remaining]]</f>
        <v>547</v>
      </c>
      <c r="H673" s="159" t="s">
        <v>858</v>
      </c>
      <c r="I673" s="159" t="s">
        <v>693</v>
      </c>
      <c r="J673" s="160">
        <v>0.28920000000000001</v>
      </c>
      <c r="K673" s="161">
        <v>0.2893</v>
      </c>
      <c r="L673" s="13">
        <f>Table2[[#This Row],[Actual %]]-Table2[[#This Row],[Plan %]]</f>
        <v>9.9999999999988987E-5</v>
      </c>
      <c r="M673" s="165" t="s">
        <v>302</v>
      </c>
      <c r="N673" s="226">
        <v>45733</v>
      </c>
      <c r="O673" s="226" t="s">
        <v>796</v>
      </c>
      <c r="P673" s="226">
        <v>45838</v>
      </c>
      <c r="Q673" s="198">
        <v>45555</v>
      </c>
      <c r="R673" s="159" t="s">
        <v>879</v>
      </c>
      <c r="S673" s="159" t="s">
        <v>701</v>
      </c>
      <c r="T673" s="164" t="s">
        <v>798</v>
      </c>
      <c r="U673" s="122">
        <v>78077600</v>
      </c>
      <c r="V673" s="123">
        <v>0</v>
      </c>
      <c r="W673" s="36">
        <f>Table2[[#This Row],[Construction Contract Amount]]+Table2[[#This Row],[Cumulative Variations]]</f>
        <v>78077600</v>
      </c>
      <c r="X673" s="36">
        <v>1576709</v>
      </c>
      <c r="Y673" s="201">
        <v>0</v>
      </c>
      <c r="Z673" s="36">
        <f>Table2[[#This Row],[Final Contract Value]]+Table2[[#This Row],[Supervision Contract amount]]+Table2[[#This Row],[Authority Cost]]</f>
        <v>79654309</v>
      </c>
      <c r="AA673" s="36">
        <v>12271635.594366819</v>
      </c>
      <c r="AB673" s="36">
        <v>180000</v>
      </c>
      <c r="AC673" s="102" t="str">
        <f t="shared" si="39"/>
        <v>https://drive.google.com/thumbnail?id=1W-gf0VbzbihbaBDbivu-eAIuFgmf1g2H&amp;sz=w1000</v>
      </c>
      <c r="AD673" s="90" t="s">
        <v>889</v>
      </c>
      <c r="AE673" s="103" t="str">
        <f t="shared" si="40"/>
        <v>https://drive.google.com/thumbnail?id=1hqFUNz-YrJL1D-KF62ciGzKLn0jl5v4Y&amp;sz=w1000</v>
      </c>
      <c r="AF673" s="90" t="s">
        <v>904</v>
      </c>
      <c r="AG673" s="90" t="str">
        <f t="shared" si="41"/>
        <v>https://drive.google.com/thumbnail?id=1EFP77JsHwvOLRKb7NL4f0-WTRLI4zmhV&amp;sz=w1000</v>
      </c>
      <c r="AH673" s="90" t="s">
        <v>919</v>
      </c>
    </row>
    <row r="674" spans="1:34" ht="22.15" customHeight="1">
      <c r="A674" s="30">
        <v>45548</v>
      </c>
      <c r="B674" s="2" t="s">
        <v>247</v>
      </c>
      <c r="C674" s="2" t="s">
        <v>11</v>
      </c>
      <c r="D674" s="16" t="str" cm="1">
        <f t="array" ref="D674">_xlfn.XLOOKUP(1, (Table1[Project Name]=Table2[[#This Row],[Project ID]])*(Table1[Plot]=Table2[[#This Row],[Plot]]), Table1[Project ID])</f>
        <v>SC-03</v>
      </c>
      <c r="E674" s="69">
        <v>289</v>
      </c>
      <c r="F674" s="70">
        <v>258</v>
      </c>
      <c r="G674" s="69">
        <f>Table2[[#This Row],[Time Elapsed]]+Table2[[#This Row],[Time Remaining]]</f>
        <v>547</v>
      </c>
      <c r="H674" s="70" t="s">
        <v>859</v>
      </c>
      <c r="I674" s="70" t="s">
        <v>693</v>
      </c>
      <c r="J674" s="188">
        <v>0.10920000000000001</v>
      </c>
      <c r="K674" s="189">
        <v>0.1923</v>
      </c>
      <c r="L674" s="13">
        <f>Table2[[#This Row],[Actual %]]-Table2[[#This Row],[Plan %]]</f>
        <v>8.3099999999999993E-2</v>
      </c>
      <c r="M674" s="190" t="s">
        <v>285</v>
      </c>
      <c r="N674" s="227">
        <v>45260</v>
      </c>
      <c r="O674" s="227">
        <v>45260</v>
      </c>
      <c r="P674" s="227" t="s">
        <v>796</v>
      </c>
      <c r="Q674" s="198">
        <v>45555</v>
      </c>
      <c r="R674" s="70" t="s">
        <v>879</v>
      </c>
      <c r="S674" s="70" t="s">
        <v>701</v>
      </c>
      <c r="T674" s="191" t="s">
        <v>799</v>
      </c>
      <c r="U674" s="35">
        <v>78077600</v>
      </c>
      <c r="V674" s="36">
        <v>0</v>
      </c>
      <c r="W674" s="36">
        <f>Table2[[#This Row],[Construction Contract Amount]]+Table2[[#This Row],[Cumulative Variations]]</f>
        <v>78077600</v>
      </c>
      <c r="X674" s="36">
        <v>1576709</v>
      </c>
      <c r="Y674" s="201">
        <v>0</v>
      </c>
      <c r="Z674" s="36">
        <f>Table2[[#This Row],[Final Contract Value]]+Table2[[#This Row],[Supervision Contract amount]]+Table2[[#This Row],[Authority Cost]]</f>
        <v>79654309</v>
      </c>
      <c r="AA674" s="36">
        <v>10955306.882996498</v>
      </c>
      <c r="AB674" s="36">
        <v>180000</v>
      </c>
      <c r="AC674" s="102" t="str">
        <f t="shared" si="39"/>
        <v>https://drive.google.com/thumbnail?id=1_Jil7Wkfj5WOP-6FE-VdY7qc0mLZ5DUM&amp;sz=w1000</v>
      </c>
      <c r="AD674" s="90" t="s">
        <v>890</v>
      </c>
      <c r="AE674" s="103" t="str">
        <f t="shared" si="40"/>
        <v>https://drive.google.com/thumbnail?id=1U_VfOs-qUWoEMVHPtt9sq2AZH--X8AwT&amp;sz=w1000</v>
      </c>
      <c r="AF674" s="90" t="s">
        <v>905</v>
      </c>
      <c r="AG674" s="90" t="str">
        <f t="shared" si="41"/>
        <v>https://drive.google.com/thumbnail?id=1VU2oD951xXfxe0_lC75k2-XwxUlhDyj9&amp;sz=w1000</v>
      </c>
      <c r="AH674" s="90" t="s">
        <v>920</v>
      </c>
    </row>
    <row r="675" spans="1:34" ht="22.15" customHeight="1">
      <c r="A675" s="30">
        <v>45548</v>
      </c>
      <c r="B675" s="2" t="s">
        <v>247</v>
      </c>
      <c r="C675" s="2" t="s">
        <v>11</v>
      </c>
      <c r="D675" s="16" t="str" cm="1">
        <f t="array" ref="D675">_xlfn.XLOOKUP(1, (Table1[Project Name]=Table2[[#This Row],[Project ID]])*(Table1[Plot]=Table2[[#This Row],[Plot]]), Table1[Project ID])</f>
        <v>SC-03</v>
      </c>
      <c r="E675" s="69">
        <v>289</v>
      </c>
      <c r="F675" s="70">
        <v>258</v>
      </c>
      <c r="G675" s="69">
        <f>Table2[[#This Row],[Time Elapsed]]+Table2[[#This Row],[Time Remaining]]</f>
        <v>547</v>
      </c>
      <c r="H675" s="70" t="s">
        <v>859</v>
      </c>
      <c r="I675" s="70" t="s">
        <v>693</v>
      </c>
      <c r="J675" s="188">
        <v>0.10920000000000001</v>
      </c>
      <c r="K675" s="189">
        <v>0.1923</v>
      </c>
      <c r="L675" s="13">
        <f>Table2[[#This Row],[Actual %]]-Table2[[#This Row],[Plan %]]</f>
        <v>8.3099999999999993E-2</v>
      </c>
      <c r="M675" s="190" t="s">
        <v>51</v>
      </c>
      <c r="N675" s="227">
        <v>45296</v>
      </c>
      <c r="O675" s="227">
        <v>45297</v>
      </c>
      <c r="P675" s="227" t="s">
        <v>796</v>
      </c>
      <c r="Q675" s="198">
        <v>45555</v>
      </c>
      <c r="R675" s="70" t="s">
        <v>879</v>
      </c>
      <c r="S675" s="70" t="s">
        <v>701</v>
      </c>
      <c r="T675" s="191" t="s">
        <v>799</v>
      </c>
      <c r="U675" s="35">
        <v>78077600</v>
      </c>
      <c r="V675" s="36">
        <v>0</v>
      </c>
      <c r="W675" s="36">
        <f>Table2[[#This Row],[Construction Contract Amount]]+Table2[[#This Row],[Cumulative Variations]]</f>
        <v>78077600</v>
      </c>
      <c r="X675" s="36">
        <v>1576709</v>
      </c>
      <c r="Y675" s="201">
        <v>0</v>
      </c>
      <c r="Z675" s="36">
        <f>Table2[[#This Row],[Final Contract Value]]+Table2[[#This Row],[Supervision Contract amount]]+Table2[[#This Row],[Authority Cost]]</f>
        <v>79654309</v>
      </c>
      <c r="AA675" s="36">
        <v>10955306.882996498</v>
      </c>
      <c r="AB675" s="36">
        <v>180000</v>
      </c>
      <c r="AC675" s="102" t="str">
        <f t="shared" si="39"/>
        <v>https://drive.google.com/thumbnail?id=1_Jil7Wkfj5WOP-6FE-VdY7qc0mLZ5DUM&amp;sz=w1000</v>
      </c>
      <c r="AD675" s="90" t="s">
        <v>890</v>
      </c>
      <c r="AE675" s="103" t="str">
        <f t="shared" si="40"/>
        <v>https://drive.google.com/thumbnail?id=1U_VfOs-qUWoEMVHPtt9sq2AZH--X8AwT&amp;sz=w1000</v>
      </c>
      <c r="AF675" s="90" t="s">
        <v>905</v>
      </c>
      <c r="AG675" s="90" t="str">
        <f t="shared" si="41"/>
        <v>https://drive.google.com/thumbnail?id=1VU2oD951xXfxe0_lC75k2-XwxUlhDyj9&amp;sz=w1000</v>
      </c>
      <c r="AH675" s="90" t="s">
        <v>920</v>
      </c>
    </row>
    <row r="676" spans="1:34" ht="22.15" customHeight="1">
      <c r="A676" s="30">
        <v>45548</v>
      </c>
      <c r="B676" s="2" t="s">
        <v>247</v>
      </c>
      <c r="C676" s="2" t="s">
        <v>11</v>
      </c>
      <c r="D676" s="16" t="str" cm="1">
        <f t="array" ref="D676">_xlfn.XLOOKUP(1, (Table1[Project Name]=Table2[[#This Row],[Project ID]])*(Table1[Plot]=Table2[[#This Row],[Plot]]), Table1[Project ID])</f>
        <v>SC-03</v>
      </c>
      <c r="E676" s="69">
        <v>289</v>
      </c>
      <c r="F676" s="70">
        <v>258</v>
      </c>
      <c r="G676" s="69">
        <f>Table2[[#This Row],[Time Elapsed]]+Table2[[#This Row],[Time Remaining]]</f>
        <v>547</v>
      </c>
      <c r="H676" s="70" t="s">
        <v>859</v>
      </c>
      <c r="I676" s="70" t="s">
        <v>693</v>
      </c>
      <c r="J676" s="188">
        <v>0.10920000000000001</v>
      </c>
      <c r="K676" s="189">
        <v>0.1923</v>
      </c>
      <c r="L676" s="13">
        <f>Table2[[#This Row],[Actual %]]-Table2[[#This Row],[Plan %]]</f>
        <v>8.3099999999999993E-2</v>
      </c>
      <c r="M676" s="190" t="s">
        <v>287</v>
      </c>
      <c r="N676" s="227">
        <v>45502</v>
      </c>
      <c r="O676" s="227">
        <v>45463</v>
      </c>
      <c r="P676" s="227" t="s">
        <v>796</v>
      </c>
      <c r="Q676" s="198">
        <v>45555</v>
      </c>
      <c r="R676" s="70" t="s">
        <v>879</v>
      </c>
      <c r="S676" s="70" t="s">
        <v>701</v>
      </c>
      <c r="T676" s="191" t="s">
        <v>799</v>
      </c>
      <c r="U676" s="35">
        <v>78077600</v>
      </c>
      <c r="V676" s="36">
        <v>0</v>
      </c>
      <c r="W676" s="36">
        <f>Table2[[#This Row],[Construction Contract Amount]]+Table2[[#This Row],[Cumulative Variations]]</f>
        <v>78077600</v>
      </c>
      <c r="X676" s="36">
        <v>1576709</v>
      </c>
      <c r="Y676" s="201">
        <v>0</v>
      </c>
      <c r="Z676" s="36">
        <f>Table2[[#This Row],[Final Contract Value]]+Table2[[#This Row],[Supervision Contract amount]]+Table2[[#This Row],[Authority Cost]]</f>
        <v>79654309</v>
      </c>
      <c r="AA676" s="36">
        <v>10955306.882996498</v>
      </c>
      <c r="AB676" s="36">
        <v>180000</v>
      </c>
      <c r="AC676" s="102" t="str">
        <f t="shared" si="39"/>
        <v>https://drive.google.com/thumbnail?id=1_Jil7Wkfj5WOP-6FE-VdY7qc0mLZ5DUM&amp;sz=w1000</v>
      </c>
      <c r="AD676" s="90" t="s">
        <v>890</v>
      </c>
      <c r="AE676" s="103" t="str">
        <f t="shared" si="40"/>
        <v>https://drive.google.com/thumbnail?id=1U_VfOs-qUWoEMVHPtt9sq2AZH--X8AwT&amp;sz=w1000</v>
      </c>
      <c r="AF676" s="90" t="s">
        <v>905</v>
      </c>
      <c r="AG676" s="90" t="str">
        <f t="shared" si="41"/>
        <v>https://drive.google.com/thumbnail?id=1VU2oD951xXfxe0_lC75k2-XwxUlhDyj9&amp;sz=w1000</v>
      </c>
      <c r="AH676" s="90" t="s">
        <v>920</v>
      </c>
    </row>
    <row r="677" spans="1:34" ht="22.15" customHeight="1">
      <c r="A677" s="30">
        <v>45548</v>
      </c>
      <c r="B677" s="2" t="s">
        <v>247</v>
      </c>
      <c r="C677" s="2" t="s">
        <v>11</v>
      </c>
      <c r="D677" s="16" t="str" cm="1">
        <f t="array" ref="D677">_xlfn.XLOOKUP(1, (Table1[Project Name]=Table2[[#This Row],[Project ID]])*(Table1[Plot]=Table2[[#This Row],[Plot]]), Table1[Project ID])</f>
        <v>SC-03</v>
      </c>
      <c r="E677" s="69">
        <v>289</v>
      </c>
      <c r="F677" s="70">
        <v>258</v>
      </c>
      <c r="G677" s="69">
        <f>Table2[[#This Row],[Time Elapsed]]+Table2[[#This Row],[Time Remaining]]</f>
        <v>547</v>
      </c>
      <c r="H677" s="70" t="s">
        <v>859</v>
      </c>
      <c r="I677" s="70" t="s">
        <v>693</v>
      </c>
      <c r="J677" s="188">
        <v>0.10920000000000001</v>
      </c>
      <c r="K677" s="189">
        <v>0.1923</v>
      </c>
      <c r="L677" s="13">
        <f>Table2[[#This Row],[Actual %]]-Table2[[#This Row],[Plan %]]</f>
        <v>8.3099999999999993E-2</v>
      </c>
      <c r="M677" s="190" t="s">
        <v>703</v>
      </c>
      <c r="N677" s="227">
        <v>45579</v>
      </c>
      <c r="O677" s="227" t="s">
        <v>796</v>
      </c>
      <c r="P677" s="227">
        <v>45562</v>
      </c>
      <c r="Q677" s="198">
        <v>45555</v>
      </c>
      <c r="R677" s="70" t="s">
        <v>879</v>
      </c>
      <c r="S677" s="70" t="s">
        <v>701</v>
      </c>
      <c r="T677" s="191" t="s">
        <v>799</v>
      </c>
      <c r="U677" s="35">
        <v>78077600</v>
      </c>
      <c r="V677" s="36">
        <v>0</v>
      </c>
      <c r="W677" s="36">
        <f>Table2[[#This Row],[Construction Contract Amount]]+Table2[[#This Row],[Cumulative Variations]]</f>
        <v>78077600</v>
      </c>
      <c r="X677" s="36">
        <v>1576709</v>
      </c>
      <c r="Y677" s="201">
        <v>0</v>
      </c>
      <c r="Z677" s="36">
        <f>Table2[[#This Row],[Final Contract Value]]+Table2[[#This Row],[Supervision Contract amount]]+Table2[[#This Row],[Authority Cost]]</f>
        <v>79654309</v>
      </c>
      <c r="AA677" s="36">
        <v>10955306.882996498</v>
      </c>
      <c r="AB677" s="36">
        <v>180000</v>
      </c>
      <c r="AC677" s="102" t="str">
        <f t="shared" ref="AC677:AC708" si="42">CONCATENATE("https://drive.google.com/thumbnail?id=", MID(AD677, FIND("/d/", AD677) + 3, FIND("/view", AD677) - FIND("/d/", AD677) - 3), "&amp;sz=w1000")</f>
        <v>https://drive.google.com/thumbnail?id=1_Jil7Wkfj5WOP-6FE-VdY7qc0mLZ5DUM&amp;sz=w1000</v>
      </c>
      <c r="AD677" s="90" t="s">
        <v>890</v>
      </c>
      <c r="AE677" s="103" t="str">
        <f t="shared" ref="AE677:AE708" si="43">CONCATENATE("https://drive.google.com/thumbnail?id=", MID(AF677, FIND("/d/", AF677) + 3, FIND("/view", AF677) - FIND("/d/", AF677) - 3), "&amp;sz=w1000")</f>
        <v>https://drive.google.com/thumbnail?id=1U_VfOs-qUWoEMVHPtt9sq2AZH--X8AwT&amp;sz=w1000</v>
      </c>
      <c r="AF677" s="90" t="s">
        <v>905</v>
      </c>
      <c r="AG677" s="90" t="str">
        <f t="shared" ref="AG677:AG708" si="44">CONCATENATE("https://drive.google.com/thumbnail?id=", MID(AH677, FIND("/d/", AH677) + 3, FIND("/view", AH677) - FIND("/d/", AH677) - 3), "&amp;sz=w1000")</f>
        <v>https://drive.google.com/thumbnail?id=1VU2oD951xXfxe0_lC75k2-XwxUlhDyj9&amp;sz=w1000</v>
      </c>
      <c r="AH677" s="90" t="s">
        <v>920</v>
      </c>
    </row>
    <row r="678" spans="1:34" ht="22.15" customHeight="1">
      <c r="A678" s="30">
        <v>45548</v>
      </c>
      <c r="B678" s="2" t="s">
        <v>247</v>
      </c>
      <c r="C678" s="2" t="s">
        <v>11</v>
      </c>
      <c r="D678" s="16" t="str" cm="1">
        <f t="array" ref="D678">_xlfn.XLOOKUP(1, (Table1[Project Name]=Table2[[#This Row],[Project ID]])*(Table1[Plot]=Table2[[#This Row],[Plot]]), Table1[Project ID])</f>
        <v>SC-03</v>
      </c>
      <c r="E678" s="69">
        <v>289</v>
      </c>
      <c r="F678" s="70">
        <v>258</v>
      </c>
      <c r="G678" s="69">
        <f>Table2[[#This Row],[Time Elapsed]]+Table2[[#This Row],[Time Remaining]]</f>
        <v>547</v>
      </c>
      <c r="H678" s="70" t="s">
        <v>859</v>
      </c>
      <c r="I678" s="70" t="s">
        <v>693</v>
      </c>
      <c r="J678" s="188">
        <v>0.10920000000000001</v>
      </c>
      <c r="K678" s="189">
        <v>0.1923</v>
      </c>
      <c r="L678" s="13">
        <f>Table2[[#This Row],[Actual %]]-Table2[[#This Row],[Plan %]]</f>
        <v>8.3099999999999993E-2</v>
      </c>
      <c r="M678" s="190" t="s">
        <v>704</v>
      </c>
      <c r="N678" s="227">
        <v>45677</v>
      </c>
      <c r="O678" s="227" t="s">
        <v>796</v>
      </c>
      <c r="P678" s="227">
        <v>45595</v>
      </c>
      <c r="Q678" s="198">
        <v>45555</v>
      </c>
      <c r="R678" s="70" t="s">
        <v>879</v>
      </c>
      <c r="S678" s="70" t="s">
        <v>701</v>
      </c>
      <c r="T678" s="191" t="s">
        <v>799</v>
      </c>
      <c r="U678" s="35">
        <v>78077600</v>
      </c>
      <c r="V678" s="36">
        <v>0</v>
      </c>
      <c r="W678" s="36">
        <f>Table2[[#This Row],[Construction Contract Amount]]+Table2[[#This Row],[Cumulative Variations]]</f>
        <v>78077600</v>
      </c>
      <c r="X678" s="36">
        <v>1576709</v>
      </c>
      <c r="Y678" s="201">
        <v>0</v>
      </c>
      <c r="Z678" s="36">
        <f>Table2[[#This Row],[Final Contract Value]]+Table2[[#This Row],[Supervision Contract amount]]+Table2[[#This Row],[Authority Cost]]</f>
        <v>79654309</v>
      </c>
      <c r="AA678" s="36">
        <v>10955306.882996498</v>
      </c>
      <c r="AB678" s="36">
        <v>180000</v>
      </c>
      <c r="AC678" s="102" t="str">
        <f t="shared" si="42"/>
        <v>https://drive.google.com/thumbnail?id=1_Jil7Wkfj5WOP-6FE-VdY7qc0mLZ5DUM&amp;sz=w1000</v>
      </c>
      <c r="AD678" s="90" t="s">
        <v>890</v>
      </c>
      <c r="AE678" s="103" t="str">
        <f t="shared" si="43"/>
        <v>https://drive.google.com/thumbnail?id=1U_VfOs-qUWoEMVHPtt9sq2AZH--X8AwT&amp;sz=w1000</v>
      </c>
      <c r="AF678" s="90" t="s">
        <v>905</v>
      </c>
      <c r="AG678" s="90" t="str">
        <f t="shared" si="44"/>
        <v>https://drive.google.com/thumbnail?id=1VU2oD951xXfxe0_lC75k2-XwxUlhDyj9&amp;sz=w1000</v>
      </c>
      <c r="AH678" s="90" t="s">
        <v>920</v>
      </c>
    </row>
    <row r="679" spans="1:34" ht="22.15" customHeight="1">
      <c r="A679" s="30">
        <v>45548</v>
      </c>
      <c r="B679" s="2" t="s">
        <v>247</v>
      </c>
      <c r="C679" s="2" t="s">
        <v>11</v>
      </c>
      <c r="D679" s="16" t="str" cm="1">
        <f t="array" ref="D679">_xlfn.XLOOKUP(1, (Table1[Project Name]=Table2[[#This Row],[Project ID]])*(Table1[Plot]=Table2[[#This Row],[Plot]]), Table1[Project ID])</f>
        <v>SC-03</v>
      </c>
      <c r="E679" s="69">
        <v>289</v>
      </c>
      <c r="F679" s="70">
        <v>258</v>
      </c>
      <c r="G679" s="69">
        <f>Table2[[#This Row],[Time Elapsed]]+Table2[[#This Row],[Time Remaining]]</f>
        <v>547</v>
      </c>
      <c r="H679" s="70" t="s">
        <v>859</v>
      </c>
      <c r="I679" s="70" t="s">
        <v>693</v>
      </c>
      <c r="J679" s="188">
        <v>0.10920000000000001</v>
      </c>
      <c r="K679" s="189">
        <v>0.1923</v>
      </c>
      <c r="L679" s="13">
        <f>Table2[[#This Row],[Actual %]]-Table2[[#This Row],[Plan %]]</f>
        <v>8.3099999999999993E-2</v>
      </c>
      <c r="M679" s="190" t="s">
        <v>705</v>
      </c>
      <c r="N679" s="227">
        <v>45580</v>
      </c>
      <c r="O679" s="227">
        <v>45472</v>
      </c>
      <c r="P679" s="227" t="s">
        <v>796</v>
      </c>
      <c r="Q679" s="198">
        <v>45555</v>
      </c>
      <c r="R679" s="70" t="s">
        <v>879</v>
      </c>
      <c r="S679" s="70" t="s">
        <v>701</v>
      </c>
      <c r="T679" s="191" t="s">
        <v>799</v>
      </c>
      <c r="U679" s="35">
        <v>78077600</v>
      </c>
      <c r="V679" s="36">
        <v>0</v>
      </c>
      <c r="W679" s="36">
        <f>Table2[[#This Row],[Construction Contract Amount]]+Table2[[#This Row],[Cumulative Variations]]</f>
        <v>78077600</v>
      </c>
      <c r="X679" s="36">
        <v>1576709</v>
      </c>
      <c r="Y679" s="201">
        <v>0</v>
      </c>
      <c r="Z679" s="36">
        <f>Table2[[#This Row],[Final Contract Value]]+Table2[[#This Row],[Supervision Contract amount]]+Table2[[#This Row],[Authority Cost]]</f>
        <v>79654309</v>
      </c>
      <c r="AA679" s="36">
        <v>10955306.882996498</v>
      </c>
      <c r="AB679" s="36">
        <v>180000</v>
      </c>
      <c r="AC679" s="102" t="str">
        <f t="shared" si="42"/>
        <v>https://drive.google.com/thumbnail?id=1_Jil7Wkfj5WOP-6FE-VdY7qc0mLZ5DUM&amp;sz=w1000</v>
      </c>
      <c r="AD679" s="90" t="s">
        <v>890</v>
      </c>
      <c r="AE679" s="103" t="str">
        <f t="shared" si="43"/>
        <v>https://drive.google.com/thumbnail?id=1U_VfOs-qUWoEMVHPtt9sq2AZH--X8AwT&amp;sz=w1000</v>
      </c>
      <c r="AF679" s="90" t="s">
        <v>905</v>
      </c>
      <c r="AG679" s="90" t="str">
        <f t="shared" si="44"/>
        <v>https://drive.google.com/thumbnail?id=1VU2oD951xXfxe0_lC75k2-XwxUlhDyj9&amp;sz=w1000</v>
      </c>
      <c r="AH679" s="90" t="s">
        <v>920</v>
      </c>
    </row>
    <row r="680" spans="1:34" ht="22.15" customHeight="1">
      <c r="A680" s="30">
        <v>45548</v>
      </c>
      <c r="B680" s="2" t="s">
        <v>247</v>
      </c>
      <c r="C680" s="2" t="s">
        <v>11</v>
      </c>
      <c r="D680" s="16" t="str" cm="1">
        <f t="array" ref="D680">_xlfn.XLOOKUP(1, (Table1[Project Name]=Table2[[#This Row],[Project ID]])*(Table1[Plot]=Table2[[#This Row],[Plot]]), Table1[Project ID])</f>
        <v>SC-03</v>
      </c>
      <c r="E680" s="69">
        <v>289</v>
      </c>
      <c r="F680" s="70">
        <v>258</v>
      </c>
      <c r="G680" s="69">
        <f>Table2[[#This Row],[Time Elapsed]]+Table2[[#This Row],[Time Remaining]]</f>
        <v>547</v>
      </c>
      <c r="H680" s="70" t="s">
        <v>859</v>
      </c>
      <c r="I680" s="70" t="s">
        <v>693</v>
      </c>
      <c r="J680" s="188">
        <v>0.10920000000000001</v>
      </c>
      <c r="K680" s="189">
        <v>0.1923</v>
      </c>
      <c r="L680" s="13">
        <f>Table2[[#This Row],[Actual %]]-Table2[[#This Row],[Plan %]]</f>
        <v>8.3099999999999993E-2</v>
      </c>
      <c r="M680" s="190" t="s">
        <v>706</v>
      </c>
      <c r="N680" s="227">
        <v>45671</v>
      </c>
      <c r="O680" s="227" t="s">
        <v>796</v>
      </c>
      <c r="P680" s="227">
        <v>45604</v>
      </c>
      <c r="Q680" s="198">
        <v>45555</v>
      </c>
      <c r="R680" s="70" t="s">
        <v>879</v>
      </c>
      <c r="S680" s="70" t="s">
        <v>701</v>
      </c>
      <c r="T680" s="191" t="s">
        <v>799</v>
      </c>
      <c r="U680" s="35">
        <v>78077600</v>
      </c>
      <c r="V680" s="36">
        <v>0</v>
      </c>
      <c r="W680" s="36">
        <f>Table2[[#This Row],[Construction Contract Amount]]+Table2[[#This Row],[Cumulative Variations]]</f>
        <v>78077600</v>
      </c>
      <c r="X680" s="36">
        <v>1576709</v>
      </c>
      <c r="Y680" s="201">
        <v>0</v>
      </c>
      <c r="Z680" s="36">
        <f>Table2[[#This Row],[Final Contract Value]]+Table2[[#This Row],[Supervision Contract amount]]+Table2[[#This Row],[Authority Cost]]</f>
        <v>79654309</v>
      </c>
      <c r="AA680" s="36">
        <v>10955306.882996498</v>
      </c>
      <c r="AB680" s="36">
        <v>180000</v>
      </c>
      <c r="AC680" s="102" t="str">
        <f t="shared" si="42"/>
        <v>https://drive.google.com/thumbnail?id=1_Jil7Wkfj5WOP-6FE-VdY7qc0mLZ5DUM&amp;sz=w1000</v>
      </c>
      <c r="AD680" s="90" t="s">
        <v>890</v>
      </c>
      <c r="AE680" s="103" t="str">
        <f t="shared" si="43"/>
        <v>https://drive.google.com/thumbnail?id=1U_VfOs-qUWoEMVHPtt9sq2AZH--X8AwT&amp;sz=w1000</v>
      </c>
      <c r="AF680" s="90" t="s">
        <v>905</v>
      </c>
      <c r="AG680" s="90" t="str">
        <f t="shared" si="44"/>
        <v>https://drive.google.com/thumbnail?id=1VU2oD951xXfxe0_lC75k2-XwxUlhDyj9&amp;sz=w1000</v>
      </c>
      <c r="AH680" s="90" t="s">
        <v>920</v>
      </c>
    </row>
    <row r="681" spans="1:34" ht="22.15" customHeight="1">
      <c r="A681" s="30">
        <v>45548</v>
      </c>
      <c r="B681" s="2" t="s">
        <v>247</v>
      </c>
      <c r="C681" s="2" t="s">
        <v>11</v>
      </c>
      <c r="D681" s="16" t="str" cm="1">
        <f t="array" ref="D681">_xlfn.XLOOKUP(1, (Table1[Project Name]=Table2[[#This Row],[Project ID]])*(Table1[Plot]=Table2[[#This Row],[Plot]]), Table1[Project ID])</f>
        <v>SC-03</v>
      </c>
      <c r="E681" s="69">
        <v>289</v>
      </c>
      <c r="F681" s="70">
        <v>258</v>
      </c>
      <c r="G681" s="69">
        <f>Table2[[#This Row],[Time Elapsed]]+Table2[[#This Row],[Time Remaining]]</f>
        <v>547</v>
      </c>
      <c r="H681" s="70" t="s">
        <v>859</v>
      </c>
      <c r="I681" s="70" t="s">
        <v>693</v>
      </c>
      <c r="J681" s="188">
        <v>0.10920000000000001</v>
      </c>
      <c r="K681" s="189">
        <v>0.1923</v>
      </c>
      <c r="L681" s="13">
        <f>Table2[[#This Row],[Actual %]]-Table2[[#This Row],[Plan %]]</f>
        <v>8.3099999999999993E-2</v>
      </c>
      <c r="M681" s="190" t="s">
        <v>280</v>
      </c>
      <c r="N681" s="227">
        <v>45757</v>
      </c>
      <c r="O681" s="227" t="s">
        <v>796</v>
      </c>
      <c r="P681" s="227">
        <v>45783</v>
      </c>
      <c r="Q681" s="198">
        <v>45555</v>
      </c>
      <c r="R681" s="70" t="s">
        <v>879</v>
      </c>
      <c r="S681" s="70" t="s">
        <v>701</v>
      </c>
      <c r="T681" s="191" t="s">
        <v>799</v>
      </c>
      <c r="U681" s="35">
        <v>78077600</v>
      </c>
      <c r="V681" s="36">
        <v>0</v>
      </c>
      <c r="W681" s="36">
        <f>Table2[[#This Row],[Construction Contract Amount]]+Table2[[#This Row],[Cumulative Variations]]</f>
        <v>78077600</v>
      </c>
      <c r="X681" s="36">
        <v>1576709</v>
      </c>
      <c r="Y681" s="201">
        <v>0</v>
      </c>
      <c r="Z681" s="36">
        <f>Table2[[#This Row],[Final Contract Value]]+Table2[[#This Row],[Supervision Contract amount]]+Table2[[#This Row],[Authority Cost]]</f>
        <v>79654309</v>
      </c>
      <c r="AA681" s="36">
        <v>10955306.882996498</v>
      </c>
      <c r="AB681" s="36">
        <v>180000</v>
      </c>
      <c r="AC681" s="102" t="str">
        <f t="shared" si="42"/>
        <v>https://drive.google.com/thumbnail?id=1_Jil7Wkfj5WOP-6FE-VdY7qc0mLZ5DUM&amp;sz=w1000</v>
      </c>
      <c r="AD681" s="90" t="s">
        <v>890</v>
      </c>
      <c r="AE681" s="103" t="str">
        <f t="shared" si="43"/>
        <v>https://drive.google.com/thumbnail?id=1U_VfOs-qUWoEMVHPtt9sq2AZH--X8AwT&amp;sz=w1000</v>
      </c>
      <c r="AF681" s="90" t="s">
        <v>905</v>
      </c>
      <c r="AG681" s="90" t="str">
        <f t="shared" si="44"/>
        <v>https://drive.google.com/thumbnail?id=1VU2oD951xXfxe0_lC75k2-XwxUlhDyj9&amp;sz=w1000</v>
      </c>
      <c r="AH681" s="90" t="s">
        <v>920</v>
      </c>
    </row>
    <row r="682" spans="1:34" ht="22.15" customHeight="1">
      <c r="A682" s="30">
        <v>45548</v>
      </c>
      <c r="B682" s="2" t="s">
        <v>247</v>
      </c>
      <c r="C682" s="2" t="s">
        <v>11</v>
      </c>
      <c r="D682" s="16" t="str" cm="1">
        <f t="array" ref="D682">_xlfn.XLOOKUP(1, (Table1[Project Name]=Table2[[#This Row],[Project ID]])*(Table1[Plot]=Table2[[#This Row],[Plot]]), Table1[Project ID])</f>
        <v>SC-03</v>
      </c>
      <c r="E682" s="69">
        <v>289</v>
      </c>
      <c r="F682" s="70">
        <v>258</v>
      </c>
      <c r="G682" s="69">
        <f>Table2[[#This Row],[Time Elapsed]]+Table2[[#This Row],[Time Remaining]]</f>
        <v>547</v>
      </c>
      <c r="H682" s="70" t="s">
        <v>859</v>
      </c>
      <c r="I682" s="70" t="s">
        <v>693</v>
      </c>
      <c r="J682" s="188">
        <v>0.10920000000000001</v>
      </c>
      <c r="K682" s="189">
        <v>0.1923</v>
      </c>
      <c r="L682" s="13">
        <f>Table2[[#This Row],[Actual %]]-Table2[[#This Row],[Plan %]]</f>
        <v>8.3099999999999993E-2</v>
      </c>
      <c r="M682" s="190" t="s">
        <v>343</v>
      </c>
      <c r="N682" s="227">
        <v>45776</v>
      </c>
      <c r="O682" s="227" t="s">
        <v>796</v>
      </c>
      <c r="P682" s="227">
        <v>45803</v>
      </c>
      <c r="Q682" s="198">
        <v>45555</v>
      </c>
      <c r="R682" s="70" t="s">
        <v>879</v>
      </c>
      <c r="S682" s="70" t="s">
        <v>701</v>
      </c>
      <c r="T682" s="191" t="s">
        <v>799</v>
      </c>
      <c r="U682" s="35">
        <v>78077600</v>
      </c>
      <c r="V682" s="36">
        <v>0</v>
      </c>
      <c r="W682" s="36">
        <f>Table2[[#This Row],[Construction Contract Amount]]+Table2[[#This Row],[Cumulative Variations]]</f>
        <v>78077600</v>
      </c>
      <c r="X682" s="36">
        <v>1576709</v>
      </c>
      <c r="Y682" s="201">
        <v>0</v>
      </c>
      <c r="Z682" s="36">
        <f>Table2[[#This Row],[Final Contract Value]]+Table2[[#This Row],[Supervision Contract amount]]+Table2[[#This Row],[Authority Cost]]</f>
        <v>79654309</v>
      </c>
      <c r="AA682" s="36">
        <v>10955306.882996498</v>
      </c>
      <c r="AB682" s="36">
        <v>180000</v>
      </c>
      <c r="AC682" s="102" t="str">
        <f t="shared" si="42"/>
        <v>https://drive.google.com/thumbnail?id=1_Jil7Wkfj5WOP-6FE-VdY7qc0mLZ5DUM&amp;sz=w1000</v>
      </c>
      <c r="AD682" s="90" t="s">
        <v>890</v>
      </c>
      <c r="AE682" s="103" t="str">
        <f t="shared" si="43"/>
        <v>https://drive.google.com/thumbnail?id=1U_VfOs-qUWoEMVHPtt9sq2AZH--X8AwT&amp;sz=w1000</v>
      </c>
      <c r="AF682" s="90" t="s">
        <v>905</v>
      </c>
      <c r="AG682" s="90" t="str">
        <f t="shared" si="44"/>
        <v>https://drive.google.com/thumbnail?id=1VU2oD951xXfxe0_lC75k2-XwxUlhDyj9&amp;sz=w1000</v>
      </c>
      <c r="AH682" s="90" t="s">
        <v>920</v>
      </c>
    </row>
    <row r="683" spans="1:34" ht="22.15" customHeight="1">
      <c r="A683" s="30">
        <v>45548</v>
      </c>
      <c r="B683" s="2" t="s">
        <v>247</v>
      </c>
      <c r="C683" s="2" t="s">
        <v>11</v>
      </c>
      <c r="D683" s="16" t="str" cm="1">
        <f t="array" ref="D683">_xlfn.XLOOKUP(1, (Table1[Project Name]=Table2[[#This Row],[Project ID]])*(Table1[Plot]=Table2[[#This Row],[Plot]]), Table1[Project ID])</f>
        <v>SC-03</v>
      </c>
      <c r="E683" s="69">
        <v>289</v>
      </c>
      <c r="F683" s="70">
        <v>258</v>
      </c>
      <c r="G683" s="69">
        <f>Table2[[#This Row],[Time Elapsed]]+Table2[[#This Row],[Time Remaining]]</f>
        <v>547</v>
      </c>
      <c r="H683" s="70" t="s">
        <v>859</v>
      </c>
      <c r="I683" s="70" t="s">
        <v>693</v>
      </c>
      <c r="J683" s="188">
        <v>0.10920000000000001</v>
      </c>
      <c r="K683" s="189">
        <v>0.1923</v>
      </c>
      <c r="L683" s="13">
        <f>Table2[[#This Row],[Actual %]]-Table2[[#This Row],[Plan %]]</f>
        <v>8.3099999999999993E-2</v>
      </c>
      <c r="M683" s="190" t="s">
        <v>344</v>
      </c>
      <c r="N683" s="227">
        <v>45793</v>
      </c>
      <c r="O683" s="227" t="s">
        <v>796</v>
      </c>
      <c r="P683" s="227">
        <v>45824</v>
      </c>
      <c r="Q683" s="198">
        <v>45555</v>
      </c>
      <c r="R683" s="70" t="s">
        <v>879</v>
      </c>
      <c r="S683" s="70" t="s">
        <v>701</v>
      </c>
      <c r="T683" s="191" t="s">
        <v>799</v>
      </c>
      <c r="U683" s="35">
        <v>78077600</v>
      </c>
      <c r="V683" s="36">
        <v>0</v>
      </c>
      <c r="W683" s="36">
        <f>Table2[[#This Row],[Construction Contract Amount]]+Table2[[#This Row],[Cumulative Variations]]</f>
        <v>78077600</v>
      </c>
      <c r="X683" s="36">
        <v>1576709</v>
      </c>
      <c r="Y683" s="201">
        <v>0</v>
      </c>
      <c r="Z683" s="36">
        <f>Table2[[#This Row],[Final Contract Value]]+Table2[[#This Row],[Supervision Contract amount]]+Table2[[#This Row],[Authority Cost]]</f>
        <v>79654309</v>
      </c>
      <c r="AA683" s="36">
        <v>10955306.882996498</v>
      </c>
      <c r="AB683" s="36">
        <v>180000</v>
      </c>
      <c r="AC683" s="102" t="str">
        <f t="shared" si="42"/>
        <v>https://drive.google.com/thumbnail?id=1_Jil7Wkfj5WOP-6FE-VdY7qc0mLZ5DUM&amp;sz=w1000</v>
      </c>
      <c r="AD683" s="90" t="s">
        <v>890</v>
      </c>
      <c r="AE683" s="103" t="str">
        <f t="shared" si="43"/>
        <v>https://drive.google.com/thumbnail?id=1U_VfOs-qUWoEMVHPtt9sq2AZH--X8AwT&amp;sz=w1000</v>
      </c>
      <c r="AF683" s="90" t="s">
        <v>905</v>
      </c>
      <c r="AG683" s="90" t="str">
        <f t="shared" si="44"/>
        <v>https://drive.google.com/thumbnail?id=1VU2oD951xXfxe0_lC75k2-XwxUlhDyj9&amp;sz=w1000</v>
      </c>
      <c r="AH683" s="90" t="s">
        <v>920</v>
      </c>
    </row>
    <row r="684" spans="1:34" ht="22.15" customHeight="1">
      <c r="A684" s="30">
        <v>45548</v>
      </c>
      <c r="B684" s="2" t="s">
        <v>247</v>
      </c>
      <c r="C684" s="2" t="s">
        <v>11</v>
      </c>
      <c r="D684" s="16" t="str" cm="1">
        <f t="array" ref="D684">_xlfn.XLOOKUP(1, (Table1[Project Name]=Table2[[#This Row],[Project ID]])*(Table1[Plot]=Table2[[#This Row],[Plot]]), Table1[Project ID])</f>
        <v>SC-03</v>
      </c>
      <c r="E684" s="69">
        <v>289</v>
      </c>
      <c r="F684" s="70">
        <v>258</v>
      </c>
      <c r="G684" s="69">
        <f>Table2[[#This Row],[Time Elapsed]]+Table2[[#This Row],[Time Remaining]]</f>
        <v>547</v>
      </c>
      <c r="H684" s="70" t="s">
        <v>859</v>
      </c>
      <c r="I684" s="70" t="s">
        <v>693</v>
      </c>
      <c r="J684" s="188">
        <v>0.10920000000000001</v>
      </c>
      <c r="K684" s="189">
        <v>0.1923</v>
      </c>
      <c r="L684" s="13">
        <f>Table2[[#This Row],[Actual %]]-Table2[[#This Row],[Plan %]]</f>
        <v>8.3099999999999993E-2</v>
      </c>
      <c r="M684" s="190" t="s">
        <v>302</v>
      </c>
      <c r="N684" s="227">
        <v>45806</v>
      </c>
      <c r="O684" s="227" t="s">
        <v>796</v>
      </c>
      <c r="P684" s="227">
        <v>45838</v>
      </c>
      <c r="Q684" s="198">
        <v>45555</v>
      </c>
      <c r="R684" s="70" t="s">
        <v>879</v>
      </c>
      <c r="S684" s="70" t="s">
        <v>701</v>
      </c>
      <c r="T684" s="191" t="s">
        <v>799</v>
      </c>
      <c r="U684" s="35">
        <v>78077600</v>
      </c>
      <c r="V684" s="36">
        <v>0</v>
      </c>
      <c r="W684" s="36">
        <f>Table2[[#This Row],[Construction Contract Amount]]+Table2[[#This Row],[Cumulative Variations]]</f>
        <v>78077600</v>
      </c>
      <c r="X684" s="36">
        <v>1576709</v>
      </c>
      <c r="Y684" s="201">
        <v>0</v>
      </c>
      <c r="Z684" s="36">
        <f>Table2[[#This Row],[Final Contract Value]]+Table2[[#This Row],[Supervision Contract amount]]+Table2[[#This Row],[Authority Cost]]</f>
        <v>79654309</v>
      </c>
      <c r="AA684" s="36">
        <v>10955306.882996498</v>
      </c>
      <c r="AB684" s="36">
        <v>180000</v>
      </c>
      <c r="AC684" s="102" t="str">
        <f t="shared" si="42"/>
        <v>https://drive.google.com/thumbnail?id=1_Jil7Wkfj5WOP-6FE-VdY7qc0mLZ5DUM&amp;sz=w1000</v>
      </c>
      <c r="AD684" s="90" t="s">
        <v>890</v>
      </c>
      <c r="AE684" s="103" t="str">
        <f t="shared" si="43"/>
        <v>https://drive.google.com/thumbnail?id=1U_VfOs-qUWoEMVHPtt9sq2AZH--X8AwT&amp;sz=w1000</v>
      </c>
      <c r="AF684" s="90" t="s">
        <v>905</v>
      </c>
      <c r="AG684" s="90" t="str">
        <f t="shared" si="44"/>
        <v>https://drive.google.com/thumbnail?id=1VU2oD951xXfxe0_lC75k2-XwxUlhDyj9&amp;sz=w1000</v>
      </c>
      <c r="AH684" s="90" t="s">
        <v>920</v>
      </c>
    </row>
    <row r="685" spans="1:34" ht="22.15" customHeight="1">
      <c r="A685" s="30">
        <v>45548</v>
      </c>
      <c r="B685" s="2" t="s">
        <v>251</v>
      </c>
      <c r="C685" s="2" t="s">
        <v>253</v>
      </c>
      <c r="D685" s="16" t="str" cm="1">
        <f t="array" ref="D685">_xlfn.XLOOKUP(1, (Table1[Project Name]=Table2[[#This Row],[Project ID]])*(Table1[Plot]=Table2[[#This Row],[Plot]]), Table1[Project ID])</f>
        <v>SC-04</v>
      </c>
      <c r="E685" s="69">
        <v>362</v>
      </c>
      <c r="F685" s="70">
        <v>185</v>
      </c>
      <c r="G685" s="69">
        <f>Table2[[#This Row],[Time Elapsed]]+Table2[[#This Row],[Time Remaining]]</f>
        <v>547</v>
      </c>
      <c r="H685" s="159" t="s">
        <v>860</v>
      </c>
      <c r="I685" s="159" t="s">
        <v>693</v>
      </c>
      <c r="J685" s="160">
        <v>0.28920000000000001</v>
      </c>
      <c r="K685" s="161">
        <v>0.16200000000000001</v>
      </c>
      <c r="L685" s="13">
        <f>Table2[[#This Row],[Actual %]]-Table2[[#This Row],[Plan %]]</f>
        <v>-0.12720000000000001</v>
      </c>
      <c r="M685" s="190" t="s">
        <v>285</v>
      </c>
      <c r="N685" s="227">
        <v>45187</v>
      </c>
      <c r="O685" s="227">
        <v>45195</v>
      </c>
      <c r="P685" s="227" t="s">
        <v>796</v>
      </c>
      <c r="Q685" s="198">
        <v>45555</v>
      </c>
      <c r="R685" s="70" t="s">
        <v>879</v>
      </c>
      <c r="S685" s="70" t="s">
        <v>701</v>
      </c>
      <c r="T685" s="191" t="s">
        <v>800</v>
      </c>
      <c r="U685" s="35">
        <v>78077600</v>
      </c>
      <c r="V685" s="36">
        <v>0</v>
      </c>
      <c r="W685" s="36">
        <f>Table2[[#This Row],[Construction Contract Amount]]+Table2[[#This Row],[Cumulative Variations]]</f>
        <v>78077600</v>
      </c>
      <c r="X685" s="36">
        <v>1576709</v>
      </c>
      <c r="Y685" s="201">
        <v>0</v>
      </c>
      <c r="Z685" s="36">
        <f>Table2[[#This Row],[Final Contract Value]]+Table2[[#This Row],[Supervision Contract amount]]+Table2[[#This Row],[Authority Cost]]</f>
        <v>79654309</v>
      </c>
      <c r="AA685" s="36">
        <v>10206907.238695476</v>
      </c>
      <c r="AB685" s="36">
        <v>180000</v>
      </c>
      <c r="AC685" s="102" t="str">
        <f t="shared" si="42"/>
        <v>https://drive.google.com/thumbnail?id=1XjKaIIKxhd8oZqb19P6albr-80-RL-hK&amp;sz=w1000</v>
      </c>
      <c r="AD685" s="90" t="s">
        <v>891</v>
      </c>
      <c r="AE685" s="103" t="str">
        <f t="shared" si="43"/>
        <v>https://drive.google.com/thumbnail?id=1eggsoLAPcrdATW-qSGgu_m3YksjLLiJO&amp;sz=w1000</v>
      </c>
      <c r="AF685" s="90" t="s">
        <v>906</v>
      </c>
      <c r="AG685" s="90" t="str">
        <f t="shared" si="44"/>
        <v>https://drive.google.com/thumbnail?id=1-kULF92O7kA2Vy-9i1BZzi1_0bIC323S&amp;sz=w1000</v>
      </c>
      <c r="AH685" s="90" t="s">
        <v>921</v>
      </c>
    </row>
    <row r="686" spans="1:34" ht="22.15" customHeight="1">
      <c r="A686" s="30">
        <v>45548</v>
      </c>
      <c r="B686" s="2" t="s">
        <v>251</v>
      </c>
      <c r="C686" s="2" t="s">
        <v>253</v>
      </c>
      <c r="D686" s="16" t="str" cm="1">
        <f t="array" ref="D686">_xlfn.XLOOKUP(1, (Table1[Project Name]=Table2[[#This Row],[Project ID]])*(Table1[Plot]=Table2[[#This Row],[Plot]]), Table1[Project ID])</f>
        <v>SC-04</v>
      </c>
      <c r="E686" s="69">
        <v>362</v>
      </c>
      <c r="F686" s="70">
        <v>185</v>
      </c>
      <c r="G686" s="69">
        <f>Table2[[#This Row],[Time Elapsed]]+Table2[[#This Row],[Time Remaining]]</f>
        <v>547</v>
      </c>
      <c r="H686" s="159" t="s">
        <v>860</v>
      </c>
      <c r="I686" s="159" t="s">
        <v>693</v>
      </c>
      <c r="J686" s="160">
        <v>0.28920000000000001</v>
      </c>
      <c r="K686" s="161">
        <v>0.16200000000000001</v>
      </c>
      <c r="L686" s="13">
        <f>Table2[[#This Row],[Actual %]]-Table2[[#This Row],[Plan %]]</f>
        <v>-0.12720000000000001</v>
      </c>
      <c r="M686" s="190" t="s">
        <v>51</v>
      </c>
      <c r="N686" s="227">
        <v>45220</v>
      </c>
      <c r="O686" s="227">
        <v>45297</v>
      </c>
      <c r="P686" s="227" t="s">
        <v>796</v>
      </c>
      <c r="Q686" s="198">
        <v>45555</v>
      </c>
      <c r="R686" s="70" t="s">
        <v>879</v>
      </c>
      <c r="S686" s="70" t="s">
        <v>701</v>
      </c>
      <c r="T686" s="191" t="s">
        <v>800</v>
      </c>
      <c r="U686" s="35">
        <v>78077600</v>
      </c>
      <c r="V686" s="36">
        <v>0</v>
      </c>
      <c r="W686" s="36">
        <f>Table2[[#This Row],[Construction Contract Amount]]+Table2[[#This Row],[Cumulative Variations]]</f>
        <v>78077600</v>
      </c>
      <c r="X686" s="36">
        <v>1576709</v>
      </c>
      <c r="Y686" s="201">
        <v>0</v>
      </c>
      <c r="Z686" s="36">
        <f>Table2[[#This Row],[Final Contract Value]]+Table2[[#This Row],[Supervision Contract amount]]+Table2[[#This Row],[Authority Cost]]</f>
        <v>79654309</v>
      </c>
      <c r="AA686" s="36">
        <v>10206907.238695476</v>
      </c>
      <c r="AB686" s="36">
        <v>180000</v>
      </c>
      <c r="AC686" s="102" t="str">
        <f t="shared" si="42"/>
        <v>https://drive.google.com/thumbnail?id=1XjKaIIKxhd8oZqb19P6albr-80-RL-hK&amp;sz=w1000</v>
      </c>
      <c r="AD686" s="90" t="s">
        <v>891</v>
      </c>
      <c r="AE686" s="103" t="str">
        <f t="shared" si="43"/>
        <v>https://drive.google.com/thumbnail?id=1eggsoLAPcrdATW-qSGgu_m3YksjLLiJO&amp;sz=w1000</v>
      </c>
      <c r="AF686" s="90" t="s">
        <v>906</v>
      </c>
      <c r="AG686" s="90" t="str">
        <f t="shared" si="44"/>
        <v>https://drive.google.com/thumbnail?id=1-kULF92O7kA2Vy-9i1BZzi1_0bIC323S&amp;sz=w1000</v>
      </c>
      <c r="AH686" s="90" t="s">
        <v>921</v>
      </c>
    </row>
    <row r="687" spans="1:34" ht="22.15" customHeight="1">
      <c r="A687" s="30">
        <v>45548</v>
      </c>
      <c r="B687" s="2" t="s">
        <v>251</v>
      </c>
      <c r="C687" s="2" t="s">
        <v>253</v>
      </c>
      <c r="D687" s="16" t="str" cm="1">
        <f t="array" ref="D687">_xlfn.XLOOKUP(1, (Table1[Project Name]=Table2[[#This Row],[Project ID]])*(Table1[Plot]=Table2[[#This Row],[Plot]]), Table1[Project ID])</f>
        <v>SC-04</v>
      </c>
      <c r="E687" s="69">
        <v>362</v>
      </c>
      <c r="F687" s="70">
        <v>185</v>
      </c>
      <c r="G687" s="69">
        <f>Table2[[#This Row],[Time Elapsed]]+Table2[[#This Row],[Time Remaining]]</f>
        <v>547</v>
      </c>
      <c r="H687" s="159" t="s">
        <v>860</v>
      </c>
      <c r="I687" s="159" t="s">
        <v>693</v>
      </c>
      <c r="J687" s="160">
        <v>0.28920000000000001</v>
      </c>
      <c r="K687" s="161">
        <v>0.16200000000000001</v>
      </c>
      <c r="L687" s="13">
        <f>Table2[[#This Row],[Actual %]]-Table2[[#This Row],[Plan %]]</f>
        <v>-0.12720000000000001</v>
      </c>
      <c r="M687" s="190" t="s">
        <v>287</v>
      </c>
      <c r="N687" s="227">
        <v>45429</v>
      </c>
      <c r="O687" s="227">
        <v>45463</v>
      </c>
      <c r="P687" s="227" t="s">
        <v>796</v>
      </c>
      <c r="Q687" s="198">
        <v>45555</v>
      </c>
      <c r="R687" s="70" t="s">
        <v>879</v>
      </c>
      <c r="S687" s="70" t="s">
        <v>701</v>
      </c>
      <c r="T687" s="191" t="s">
        <v>800</v>
      </c>
      <c r="U687" s="35">
        <v>78077600</v>
      </c>
      <c r="V687" s="36">
        <v>0</v>
      </c>
      <c r="W687" s="36">
        <f>Table2[[#This Row],[Construction Contract Amount]]+Table2[[#This Row],[Cumulative Variations]]</f>
        <v>78077600</v>
      </c>
      <c r="X687" s="36">
        <v>1576709</v>
      </c>
      <c r="Y687" s="201">
        <v>0</v>
      </c>
      <c r="Z687" s="36">
        <f>Table2[[#This Row],[Final Contract Value]]+Table2[[#This Row],[Supervision Contract amount]]+Table2[[#This Row],[Authority Cost]]</f>
        <v>79654309</v>
      </c>
      <c r="AA687" s="36">
        <v>10206907.238695476</v>
      </c>
      <c r="AB687" s="36">
        <v>180000</v>
      </c>
      <c r="AC687" s="102" t="str">
        <f t="shared" si="42"/>
        <v>https://drive.google.com/thumbnail?id=1XjKaIIKxhd8oZqb19P6albr-80-RL-hK&amp;sz=w1000</v>
      </c>
      <c r="AD687" s="90" t="s">
        <v>891</v>
      </c>
      <c r="AE687" s="103" t="str">
        <f t="shared" si="43"/>
        <v>https://drive.google.com/thumbnail?id=1eggsoLAPcrdATW-qSGgu_m3YksjLLiJO&amp;sz=w1000</v>
      </c>
      <c r="AF687" s="90" t="s">
        <v>906</v>
      </c>
      <c r="AG687" s="90" t="str">
        <f t="shared" si="44"/>
        <v>https://drive.google.com/thumbnail?id=1-kULF92O7kA2Vy-9i1BZzi1_0bIC323S&amp;sz=w1000</v>
      </c>
      <c r="AH687" s="90" t="s">
        <v>921</v>
      </c>
    </row>
    <row r="688" spans="1:34" ht="22.15" customHeight="1">
      <c r="A688" s="30">
        <v>45548</v>
      </c>
      <c r="B688" s="2" t="s">
        <v>251</v>
      </c>
      <c r="C688" s="2" t="s">
        <v>253</v>
      </c>
      <c r="D688" s="16" t="str" cm="1">
        <f t="array" ref="D688">_xlfn.XLOOKUP(1, (Table1[Project Name]=Table2[[#This Row],[Project ID]])*(Table1[Plot]=Table2[[#This Row],[Plot]]), Table1[Project ID])</f>
        <v>SC-04</v>
      </c>
      <c r="E688" s="69">
        <v>362</v>
      </c>
      <c r="F688" s="70">
        <v>185</v>
      </c>
      <c r="G688" s="69">
        <f>Table2[[#This Row],[Time Elapsed]]+Table2[[#This Row],[Time Remaining]]</f>
        <v>547</v>
      </c>
      <c r="H688" s="159" t="s">
        <v>860</v>
      </c>
      <c r="I688" s="159" t="s">
        <v>693</v>
      </c>
      <c r="J688" s="160">
        <v>0.28920000000000001</v>
      </c>
      <c r="K688" s="161">
        <v>0.16200000000000001</v>
      </c>
      <c r="L688" s="13">
        <f>Table2[[#This Row],[Actual %]]-Table2[[#This Row],[Plan %]]</f>
        <v>-0.12720000000000001</v>
      </c>
      <c r="M688" s="190" t="s">
        <v>703</v>
      </c>
      <c r="N688" s="227">
        <v>45510</v>
      </c>
      <c r="O688" s="227" t="s">
        <v>796</v>
      </c>
      <c r="P688" s="227">
        <v>45562</v>
      </c>
      <c r="Q688" s="198">
        <v>45555</v>
      </c>
      <c r="R688" s="70" t="s">
        <v>879</v>
      </c>
      <c r="S688" s="70" t="s">
        <v>701</v>
      </c>
      <c r="T688" s="191" t="s">
        <v>800</v>
      </c>
      <c r="U688" s="35">
        <v>78077600</v>
      </c>
      <c r="V688" s="36">
        <v>0</v>
      </c>
      <c r="W688" s="36">
        <f>Table2[[#This Row],[Construction Contract Amount]]+Table2[[#This Row],[Cumulative Variations]]</f>
        <v>78077600</v>
      </c>
      <c r="X688" s="36">
        <v>1576709</v>
      </c>
      <c r="Y688" s="201">
        <v>0</v>
      </c>
      <c r="Z688" s="36">
        <f>Table2[[#This Row],[Final Contract Value]]+Table2[[#This Row],[Supervision Contract amount]]+Table2[[#This Row],[Authority Cost]]</f>
        <v>79654309</v>
      </c>
      <c r="AA688" s="36">
        <v>10206907.238695476</v>
      </c>
      <c r="AB688" s="36">
        <v>180000</v>
      </c>
      <c r="AC688" s="102" t="str">
        <f t="shared" si="42"/>
        <v>https://drive.google.com/thumbnail?id=1XjKaIIKxhd8oZqb19P6albr-80-RL-hK&amp;sz=w1000</v>
      </c>
      <c r="AD688" s="90" t="s">
        <v>891</v>
      </c>
      <c r="AE688" s="103" t="str">
        <f t="shared" si="43"/>
        <v>https://drive.google.com/thumbnail?id=1eggsoLAPcrdATW-qSGgu_m3YksjLLiJO&amp;sz=w1000</v>
      </c>
      <c r="AF688" s="90" t="s">
        <v>906</v>
      </c>
      <c r="AG688" s="90" t="str">
        <f t="shared" si="44"/>
        <v>https://drive.google.com/thumbnail?id=1-kULF92O7kA2Vy-9i1BZzi1_0bIC323S&amp;sz=w1000</v>
      </c>
      <c r="AH688" s="90" t="s">
        <v>921</v>
      </c>
    </row>
    <row r="689" spans="1:34" ht="22.15" customHeight="1">
      <c r="A689" s="30">
        <v>45548</v>
      </c>
      <c r="B689" s="2" t="s">
        <v>251</v>
      </c>
      <c r="C689" s="2" t="s">
        <v>253</v>
      </c>
      <c r="D689" s="16" t="str" cm="1">
        <f t="array" ref="D689">_xlfn.XLOOKUP(1, (Table1[Project Name]=Table2[[#This Row],[Project ID]])*(Table1[Plot]=Table2[[#This Row],[Plot]]), Table1[Project ID])</f>
        <v>SC-04</v>
      </c>
      <c r="E689" s="69">
        <v>362</v>
      </c>
      <c r="F689" s="70">
        <v>185</v>
      </c>
      <c r="G689" s="69">
        <f>Table2[[#This Row],[Time Elapsed]]+Table2[[#This Row],[Time Remaining]]</f>
        <v>547</v>
      </c>
      <c r="H689" s="159" t="s">
        <v>860</v>
      </c>
      <c r="I689" s="159" t="s">
        <v>693</v>
      </c>
      <c r="J689" s="160">
        <v>0.28920000000000001</v>
      </c>
      <c r="K689" s="161">
        <v>0.16200000000000001</v>
      </c>
      <c r="L689" s="13">
        <f>Table2[[#This Row],[Actual %]]-Table2[[#This Row],[Plan %]]</f>
        <v>-0.12720000000000001</v>
      </c>
      <c r="M689" s="190" t="s">
        <v>704</v>
      </c>
      <c r="N689" s="227">
        <v>45603</v>
      </c>
      <c r="O689" s="227" t="s">
        <v>796</v>
      </c>
      <c r="P689" s="227">
        <v>45595</v>
      </c>
      <c r="Q689" s="198">
        <v>45555</v>
      </c>
      <c r="R689" s="70" t="s">
        <v>879</v>
      </c>
      <c r="S689" s="70" t="s">
        <v>701</v>
      </c>
      <c r="T689" s="191" t="s">
        <v>800</v>
      </c>
      <c r="U689" s="35">
        <v>78077600</v>
      </c>
      <c r="V689" s="36">
        <v>0</v>
      </c>
      <c r="W689" s="36">
        <f>Table2[[#This Row],[Construction Contract Amount]]+Table2[[#This Row],[Cumulative Variations]]</f>
        <v>78077600</v>
      </c>
      <c r="X689" s="36">
        <v>1576709</v>
      </c>
      <c r="Y689" s="201">
        <v>0</v>
      </c>
      <c r="Z689" s="36">
        <f>Table2[[#This Row],[Final Contract Value]]+Table2[[#This Row],[Supervision Contract amount]]+Table2[[#This Row],[Authority Cost]]</f>
        <v>79654309</v>
      </c>
      <c r="AA689" s="36">
        <v>10206907.238695476</v>
      </c>
      <c r="AB689" s="36">
        <v>180000</v>
      </c>
      <c r="AC689" s="102" t="str">
        <f t="shared" si="42"/>
        <v>https://drive.google.com/thumbnail?id=1XjKaIIKxhd8oZqb19P6albr-80-RL-hK&amp;sz=w1000</v>
      </c>
      <c r="AD689" s="90" t="s">
        <v>891</v>
      </c>
      <c r="AE689" s="103" t="str">
        <f t="shared" si="43"/>
        <v>https://drive.google.com/thumbnail?id=1eggsoLAPcrdATW-qSGgu_m3YksjLLiJO&amp;sz=w1000</v>
      </c>
      <c r="AF689" s="90" t="s">
        <v>906</v>
      </c>
      <c r="AG689" s="90" t="str">
        <f t="shared" si="44"/>
        <v>https://drive.google.com/thumbnail?id=1-kULF92O7kA2Vy-9i1BZzi1_0bIC323S&amp;sz=w1000</v>
      </c>
      <c r="AH689" s="90" t="s">
        <v>921</v>
      </c>
    </row>
    <row r="690" spans="1:34" ht="22.15" customHeight="1">
      <c r="A690" s="30">
        <v>45548</v>
      </c>
      <c r="B690" s="2" t="s">
        <v>251</v>
      </c>
      <c r="C690" s="2" t="s">
        <v>253</v>
      </c>
      <c r="D690" s="16" t="str" cm="1">
        <f t="array" ref="D690">_xlfn.XLOOKUP(1, (Table1[Project Name]=Table2[[#This Row],[Project ID]])*(Table1[Plot]=Table2[[#This Row],[Plot]]), Table1[Project ID])</f>
        <v>SC-04</v>
      </c>
      <c r="E690" s="69">
        <v>362</v>
      </c>
      <c r="F690" s="70">
        <v>185</v>
      </c>
      <c r="G690" s="69">
        <f>Table2[[#This Row],[Time Elapsed]]+Table2[[#This Row],[Time Remaining]]</f>
        <v>547</v>
      </c>
      <c r="H690" s="159" t="s">
        <v>860</v>
      </c>
      <c r="I690" s="159" t="s">
        <v>693</v>
      </c>
      <c r="J690" s="160">
        <v>0.28920000000000001</v>
      </c>
      <c r="K690" s="161">
        <v>0.16200000000000001</v>
      </c>
      <c r="L690" s="13">
        <f>Table2[[#This Row],[Actual %]]-Table2[[#This Row],[Plan %]]</f>
        <v>-0.12720000000000001</v>
      </c>
      <c r="M690" s="190" t="s">
        <v>705</v>
      </c>
      <c r="N690" s="227">
        <v>45511</v>
      </c>
      <c r="O690" s="227">
        <v>45541</v>
      </c>
      <c r="P690" s="227" t="s">
        <v>796</v>
      </c>
      <c r="Q690" s="198">
        <v>45555</v>
      </c>
      <c r="R690" s="70" t="s">
        <v>879</v>
      </c>
      <c r="S690" s="70" t="s">
        <v>701</v>
      </c>
      <c r="T690" s="191" t="s">
        <v>800</v>
      </c>
      <c r="U690" s="35">
        <v>78077600</v>
      </c>
      <c r="V690" s="36">
        <v>0</v>
      </c>
      <c r="W690" s="36">
        <f>Table2[[#This Row],[Construction Contract Amount]]+Table2[[#This Row],[Cumulative Variations]]</f>
        <v>78077600</v>
      </c>
      <c r="X690" s="36">
        <v>1576709</v>
      </c>
      <c r="Y690" s="201">
        <v>0</v>
      </c>
      <c r="Z690" s="36">
        <f>Table2[[#This Row],[Final Contract Value]]+Table2[[#This Row],[Supervision Contract amount]]+Table2[[#This Row],[Authority Cost]]</f>
        <v>79654309</v>
      </c>
      <c r="AA690" s="36">
        <v>10206907.238695476</v>
      </c>
      <c r="AB690" s="36">
        <v>180000</v>
      </c>
      <c r="AC690" s="102" t="str">
        <f t="shared" si="42"/>
        <v>https://drive.google.com/thumbnail?id=1XjKaIIKxhd8oZqb19P6albr-80-RL-hK&amp;sz=w1000</v>
      </c>
      <c r="AD690" s="90" t="s">
        <v>891</v>
      </c>
      <c r="AE690" s="103" t="str">
        <f t="shared" si="43"/>
        <v>https://drive.google.com/thumbnail?id=1eggsoLAPcrdATW-qSGgu_m3YksjLLiJO&amp;sz=w1000</v>
      </c>
      <c r="AF690" s="90" t="s">
        <v>906</v>
      </c>
      <c r="AG690" s="90" t="str">
        <f t="shared" si="44"/>
        <v>https://drive.google.com/thumbnail?id=1-kULF92O7kA2Vy-9i1BZzi1_0bIC323S&amp;sz=w1000</v>
      </c>
      <c r="AH690" s="90" t="s">
        <v>921</v>
      </c>
    </row>
    <row r="691" spans="1:34" ht="22.15" customHeight="1">
      <c r="A691" s="30">
        <v>45548</v>
      </c>
      <c r="B691" s="2" t="s">
        <v>251</v>
      </c>
      <c r="C691" s="2" t="s">
        <v>253</v>
      </c>
      <c r="D691" s="16" t="str" cm="1">
        <f t="array" ref="D691">_xlfn.XLOOKUP(1, (Table1[Project Name]=Table2[[#This Row],[Project ID]])*(Table1[Plot]=Table2[[#This Row],[Plot]]), Table1[Project ID])</f>
        <v>SC-04</v>
      </c>
      <c r="E691" s="69">
        <v>362</v>
      </c>
      <c r="F691" s="70">
        <v>185</v>
      </c>
      <c r="G691" s="69">
        <f>Table2[[#This Row],[Time Elapsed]]+Table2[[#This Row],[Time Remaining]]</f>
        <v>547</v>
      </c>
      <c r="H691" s="159" t="s">
        <v>860</v>
      </c>
      <c r="I691" s="159" t="s">
        <v>693</v>
      </c>
      <c r="J691" s="160">
        <v>0.28920000000000001</v>
      </c>
      <c r="K691" s="161">
        <v>0.16200000000000001</v>
      </c>
      <c r="L691" s="13">
        <f>Table2[[#This Row],[Actual %]]-Table2[[#This Row],[Plan %]]</f>
        <v>-0.12720000000000001</v>
      </c>
      <c r="M691" s="190" t="s">
        <v>706</v>
      </c>
      <c r="N691" s="227">
        <v>45596</v>
      </c>
      <c r="O691" s="227" t="s">
        <v>796</v>
      </c>
      <c r="P691" s="227">
        <v>45623</v>
      </c>
      <c r="Q691" s="198">
        <v>45555</v>
      </c>
      <c r="R691" s="70" t="s">
        <v>879</v>
      </c>
      <c r="S691" s="70" t="s">
        <v>701</v>
      </c>
      <c r="T691" s="191" t="s">
        <v>800</v>
      </c>
      <c r="U691" s="35">
        <v>78077600</v>
      </c>
      <c r="V691" s="36">
        <v>0</v>
      </c>
      <c r="W691" s="36">
        <f>Table2[[#This Row],[Construction Contract Amount]]+Table2[[#This Row],[Cumulative Variations]]</f>
        <v>78077600</v>
      </c>
      <c r="X691" s="36">
        <v>1576709</v>
      </c>
      <c r="Y691" s="201">
        <v>0</v>
      </c>
      <c r="Z691" s="36">
        <f>Table2[[#This Row],[Final Contract Value]]+Table2[[#This Row],[Supervision Contract amount]]+Table2[[#This Row],[Authority Cost]]</f>
        <v>79654309</v>
      </c>
      <c r="AA691" s="36">
        <v>10206907.238695476</v>
      </c>
      <c r="AB691" s="36">
        <v>180000</v>
      </c>
      <c r="AC691" s="102" t="str">
        <f t="shared" si="42"/>
        <v>https://drive.google.com/thumbnail?id=1XjKaIIKxhd8oZqb19P6albr-80-RL-hK&amp;sz=w1000</v>
      </c>
      <c r="AD691" s="90" t="s">
        <v>891</v>
      </c>
      <c r="AE691" s="103" t="str">
        <f t="shared" si="43"/>
        <v>https://drive.google.com/thumbnail?id=1eggsoLAPcrdATW-qSGgu_m3YksjLLiJO&amp;sz=w1000</v>
      </c>
      <c r="AF691" s="90" t="s">
        <v>906</v>
      </c>
      <c r="AG691" s="90" t="str">
        <f t="shared" si="44"/>
        <v>https://drive.google.com/thumbnail?id=1-kULF92O7kA2Vy-9i1BZzi1_0bIC323S&amp;sz=w1000</v>
      </c>
      <c r="AH691" s="90" t="s">
        <v>921</v>
      </c>
    </row>
    <row r="692" spans="1:34" ht="22.15" customHeight="1">
      <c r="A692" s="30">
        <v>45548</v>
      </c>
      <c r="B692" s="2" t="s">
        <v>251</v>
      </c>
      <c r="C692" s="2" t="s">
        <v>253</v>
      </c>
      <c r="D692" s="16" t="str" cm="1">
        <f t="array" ref="D692">_xlfn.XLOOKUP(1, (Table1[Project Name]=Table2[[#This Row],[Project ID]])*(Table1[Plot]=Table2[[#This Row],[Plot]]), Table1[Project ID])</f>
        <v>SC-04</v>
      </c>
      <c r="E692" s="69">
        <v>362</v>
      </c>
      <c r="F692" s="70">
        <v>185</v>
      </c>
      <c r="G692" s="69">
        <f>Table2[[#This Row],[Time Elapsed]]+Table2[[#This Row],[Time Remaining]]</f>
        <v>547</v>
      </c>
      <c r="H692" s="159" t="s">
        <v>860</v>
      </c>
      <c r="I692" s="159" t="s">
        <v>693</v>
      </c>
      <c r="J692" s="160">
        <v>0.28920000000000001</v>
      </c>
      <c r="K692" s="161">
        <v>0.16200000000000001</v>
      </c>
      <c r="L692" s="13">
        <f>Table2[[#This Row],[Actual %]]-Table2[[#This Row],[Plan %]]</f>
        <v>-0.12720000000000001</v>
      </c>
      <c r="M692" s="190" t="s">
        <v>280</v>
      </c>
      <c r="N692" s="227">
        <v>45682</v>
      </c>
      <c r="O692" s="227" t="s">
        <v>796</v>
      </c>
      <c r="P692" s="227">
        <v>45783</v>
      </c>
      <c r="Q692" s="198">
        <v>45555</v>
      </c>
      <c r="R692" s="70" t="s">
        <v>879</v>
      </c>
      <c r="S692" s="70" t="s">
        <v>701</v>
      </c>
      <c r="T692" s="191" t="s">
        <v>800</v>
      </c>
      <c r="U692" s="35">
        <v>78077600</v>
      </c>
      <c r="V692" s="36">
        <v>0</v>
      </c>
      <c r="W692" s="36">
        <f>Table2[[#This Row],[Construction Contract Amount]]+Table2[[#This Row],[Cumulative Variations]]</f>
        <v>78077600</v>
      </c>
      <c r="X692" s="36">
        <v>1576709</v>
      </c>
      <c r="Y692" s="201">
        <v>0</v>
      </c>
      <c r="Z692" s="36">
        <f>Table2[[#This Row],[Final Contract Value]]+Table2[[#This Row],[Supervision Contract amount]]+Table2[[#This Row],[Authority Cost]]</f>
        <v>79654309</v>
      </c>
      <c r="AA692" s="36">
        <v>10206907.238695476</v>
      </c>
      <c r="AB692" s="36">
        <v>180000</v>
      </c>
      <c r="AC692" s="102" t="str">
        <f t="shared" si="42"/>
        <v>https://drive.google.com/thumbnail?id=1XjKaIIKxhd8oZqb19P6albr-80-RL-hK&amp;sz=w1000</v>
      </c>
      <c r="AD692" s="90" t="s">
        <v>891</v>
      </c>
      <c r="AE692" s="103" t="str">
        <f t="shared" si="43"/>
        <v>https://drive.google.com/thumbnail?id=1eggsoLAPcrdATW-qSGgu_m3YksjLLiJO&amp;sz=w1000</v>
      </c>
      <c r="AF692" s="90" t="s">
        <v>906</v>
      </c>
      <c r="AG692" s="90" t="str">
        <f t="shared" si="44"/>
        <v>https://drive.google.com/thumbnail?id=1-kULF92O7kA2Vy-9i1BZzi1_0bIC323S&amp;sz=w1000</v>
      </c>
      <c r="AH692" s="90" t="s">
        <v>921</v>
      </c>
    </row>
    <row r="693" spans="1:34" ht="22.15" customHeight="1">
      <c r="A693" s="30">
        <v>45548</v>
      </c>
      <c r="B693" s="2" t="s">
        <v>251</v>
      </c>
      <c r="C693" s="2" t="s">
        <v>253</v>
      </c>
      <c r="D693" s="16" t="str" cm="1">
        <f t="array" ref="D693">_xlfn.XLOOKUP(1, (Table1[Project Name]=Table2[[#This Row],[Project ID]])*(Table1[Plot]=Table2[[#This Row],[Plot]]), Table1[Project ID])</f>
        <v>SC-04</v>
      </c>
      <c r="E693" s="69">
        <v>362</v>
      </c>
      <c r="F693" s="70">
        <v>185</v>
      </c>
      <c r="G693" s="69">
        <f>Table2[[#This Row],[Time Elapsed]]+Table2[[#This Row],[Time Remaining]]</f>
        <v>547</v>
      </c>
      <c r="H693" s="159" t="s">
        <v>860</v>
      </c>
      <c r="I693" s="159" t="s">
        <v>693</v>
      </c>
      <c r="J693" s="160">
        <v>0.28920000000000001</v>
      </c>
      <c r="K693" s="161">
        <v>0.16200000000000001</v>
      </c>
      <c r="L693" s="13">
        <f>Table2[[#This Row],[Actual %]]-Table2[[#This Row],[Plan %]]</f>
        <v>-0.12720000000000001</v>
      </c>
      <c r="M693" s="190" t="s">
        <v>343</v>
      </c>
      <c r="N693" s="227">
        <v>45701</v>
      </c>
      <c r="O693" s="227" t="s">
        <v>796</v>
      </c>
      <c r="P693" s="227">
        <v>45803</v>
      </c>
      <c r="Q693" s="198">
        <v>45555</v>
      </c>
      <c r="R693" s="70" t="s">
        <v>879</v>
      </c>
      <c r="S693" s="70" t="s">
        <v>701</v>
      </c>
      <c r="T693" s="191" t="s">
        <v>800</v>
      </c>
      <c r="U693" s="35">
        <v>78077600</v>
      </c>
      <c r="V693" s="36">
        <v>0</v>
      </c>
      <c r="W693" s="36">
        <f>Table2[[#This Row],[Construction Contract Amount]]+Table2[[#This Row],[Cumulative Variations]]</f>
        <v>78077600</v>
      </c>
      <c r="X693" s="36">
        <v>1576709</v>
      </c>
      <c r="Y693" s="201">
        <v>0</v>
      </c>
      <c r="Z693" s="36">
        <f>Table2[[#This Row],[Final Contract Value]]+Table2[[#This Row],[Supervision Contract amount]]+Table2[[#This Row],[Authority Cost]]</f>
        <v>79654309</v>
      </c>
      <c r="AA693" s="36">
        <v>10206907.238695476</v>
      </c>
      <c r="AB693" s="36">
        <v>180000</v>
      </c>
      <c r="AC693" s="102" t="str">
        <f t="shared" si="42"/>
        <v>https://drive.google.com/thumbnail?id=1XjKaIIKxhd8oZqb19P6albr-80-RL-hK&amp;sz=w1000</v>
      </c>
      <c r="AD693" s="90" t="s">
        <v>891</v>
      </c>
      <c r="AE693" s="103" t="str">
        <f t="shared" si="43"/>
        <v>https://drive.google.com/thumbnail?id=1eggsoLAPcrdATW-qSGgu_m3YksjLLiJO&amp;sz=w1000</v>
      </c>
      <c r="AF693" s="90" t="s">
        <v>906</v>
      </c>
      <c r="AG693" s="90" t="str">
        <f t="shared" si="44"/>
        <v>https://drive.google.com/thumbnail?id=1-kULF92O7kA2Vy-9i1BZzi1_0bIC323S&amp;sz=w1000</v>
      </c>
      <c r="AH693" s="90" t="s">
        <v>921</v>
      </c>
    </row>
    <row r="694" spans="1:34" ht="22.15" customHeight="1">
      <c r="A694" s="30">
        <v>45548</v>
      </c>
      <c r="B694" s="2" t="s">
        <v>251</v>
      </c>
      <c r="C694" s="2" t="s">
        <v>253</v>
      </c>
      <c r="D694" s="16" t="str" cm="1">
        <f t="array" ref="D694">_xlfn.XLOOKUP(1, (Table1[Project Name]=Table2[[#This Row],[Project ID]])*(Table1[Plot]=Table2[[#This Row],[Plot]]), Table1[Project ID])</f>
        <v>SC-04</v>
      </c>
      <c r="E694" s="69">
        <v>362</v>
      </c>
      <c r="F694" s="70">
        <v>185</v>
      </c>
      <c r="G694" s="69">
        <f>Table2[[#This Row],[Time Elapsed]]+Table2[[#This Row],[Time Remaining]]</f>
        <v>547</v>
      </c>
      <c r="H694" s="159" t="s">
        <v>860</v>
      </c>
      <c r="I694" s="159" t="s">
        <v>693</v>
      </c>
      <c r="J694" s="160">
        <v>0.28920000000000001</v>
      </c>
      <c r="K694" s="161">
        <v>0.16200000000000001</v>
      </c>
      <c r="L694" s="13">
        <f>Table2[[#This Row],[Actual %]]-Table2[[#This Row],[Plan %]]</f>
        <v>-0.12720000000000001</v>
      </c>
      <c r="M694" s="190" t="s">
        <v>344</v>
      </c>
      <c r="N694" s="227">
        <v>45720</v>
      </c>
      <c r="O694" s="227" t="s">
        <v>796</v>
      </c>
      <c r="P694" s="227">
        <v>45824</v>
      </c>
      <c r="Q694" s="198">
        <v>45555</v>
      </c>
      <c r="R694" s="70" t="s">
        <v>879</v>
      </c>
      <c r="S694" s="70" t="s">
        <v>701</v>
      </c>
      <c r="T694" s="191" t="s">
        <v>800</v>
      </c>
      <c r="U694" s="35">
        <v>78077600</v>
      </c>
      <c r="V694" s="36">
        <v>0</v>
      </c>
      <c r="W694" s="36">
        <f>Table2[[#This Row],[Construction Contract Amount]]+Table2[[#This Row],[Cumulative Variations]]</f>
        <v>78077600</v>
      </c>
      <c r="X694" s="36">
        <v>1576709</v>
      </c>
      <c r="Y694" s="201">
        <v>0</v>
      </c>
      <c r="Z694" s="36">
        <f>Table2[[#This Row],[Final Contract Value]]+Table2[[#This Row],[Supervision Contract amount]]+Table2[[#This Row],[Authority Cost]]</f>
        <v>79654309</v>
      </c>
      <c r="AA694" s="36">
        <v>10206907.238695476</v>
      </c>
      <c r="AB694" s="36">
        <v>180000</v>
      </c>
      <c r="AC694" s="102" t="str">
        <f t="shared" si="42"/>
        <v>https://drive.google.com/thumbnail?id=1XjKaIIKxhd8oZqb19P6albr-80-RL-hK&amp;sz=w1000</v>
      </c>
      <c r="AD694" s="90" t="s">
        <v>891</v>
      </c>
      <c r="AE694" s="103" t="str">
        <f t="shared" si="43"/>
        <v>https://drive.google.com/thumbnail?id=1eggsoLAPcrdATW-qSGgu_m3YksjLLiJO&amp;sz=w1000</v>
      </c>
      <c r="AF694" s="90" t="s">
        <v>906</v>
      </c>
      <c r="AG694" s="90" t="str">
        <f t="shared" si="44"/>
        <v>https://drive.google.com/thumbnail?id=1-kULF92O7kA2Vy-9i1BZzi1_0bIC323S&amp;sz=w1000</v>
      </c>
      <c r="AH694" s="90" t="s">
        <v>921</v>
      </c>
    </row>
    <row r="695" spans="1:34" ht="22.15" customHeight="1">
      <c r="A695" s="30">
        <v>45548</v>
      </c>
      <c r="B695" s="2" t="s">
        <v>251</v>
      </c>
      <c r="C695" s="2" t="s">
        <v>253</v>
      </c>
      <c r="D695" s="16" t="str" cm="1">
        <f t="array" ref="D695">_xlfn.XLOOKUP(1, (Table1[Project Name]=Table2[[#This Row],[Project ID]])*(Table1[Plot]=Table2[[#This Row],[Plot]]), Table1[Project ID])</f>
        <v>SC-04</v>
      </c>
      <c r="E695" s="69">
        <v>362</v>
      </c>
      <c r="F695" s="70">
        <v>185</v>
      </c>
      <c r="G695" s="69">
        <f>Table2[[#This Row],[Time Elapsed]]+Table2[[#This Row],[Time Remaining]]</f>
        <v>547</v>
      </c>
      <c r="H695" s="159" t="s">
        <v>860</v>
      </c>
      <c r="I695" s="159" t="s">
        <v>693</v>
      </c>
      <c r="J695" s="160">
        <v>0.28920000000000001</v>
      </c>
      <c r="K695" s="161">
        <v>0.16200000000000001</v>
      </c>
      <c r="L695" s="13">
        <f>Table2[[#This Row],[Actual %]]-Table2[[#This Row],[Plan %]]</f>
        <v>-0.12720000000000001</v>
      </c>
      <c r="M695" s="190" t="s">
        <v>302</v>
      </c>
      <c r="N695" s="227">
        <v>45733</v>
      </c>
      <c r="O695" s="227" t="s">
        <v>796</v>
      </c>
      <c r="P695" s="227">
        <v>45838</v>
      </c>
      <c r="Q695" s="198">
        <v>45555</v>
      </c>
      <c r="R695" s="70" t="s">
        <v>879</v>
      </c>
      <c r="S695" s="70" t="s">
        <v>701</v>
      </c>
      <c r="T695" s="191" t="s">
        <v>800</v>
      </c>
      <c r="U695" s="35">
        <v>78077600</v>
      </c>
      <c r="V695" s="36">
        <v>0</v>
      </c>
      <c r="W695" s="36">
        <f>Table2[[#This Row],[Construction Contract Amount]]+Table2[[#This Row],[Cumulative Variations]]</f>
        <v>78077600</v>
      </c>
      <c r="X695" s="36">
        <v>1576709</v>
      </c>
      <c r="Y695" s="201">
        <v>0</v>
      </c>
      <c r="Z695" s="36">
        <f>Table2[[#This Row],[Final Contract Value]]+Table2[[#This Row],[Supervision Contract amount]]+Table2[[#This Row],[Authority Cost]]</f>
        <v>79654309</v>
      </c>
      <c r="AA695" s="36">
        <v>10206907.238695476</v>
      </c>
      <c r="AB695" s="36">
        <v>180000</v>
      </c>
      <c r="AC695" s="102" t="str">
        <f t="shared" si="42"/>
        <v>https://drive.google.com/thumbnail?id=1XjKaIIKxhd8oZqb19P6albr-80-RL-hK&amp;sz=w1000</v>
      </c>
      <c r="AD695" s="90" t="s">
        <v>891</v>
      </c>
      <c r="AE695" s="103" t="str">
        <f t="shared" si="43"/>
        <v>https://drive.google.com/thumbnail?id=1eggsoLAPcrdATW-qSGgu_m3YksjLLiJO&amp;sz=w1000</v>
      </c>
      <c r="AF695" s="90" t="s">
        <v>906</v>
      </c>
      <c r="AG695" s="90" t="str">
        <f t="shared" si="44"/>
        <v>https://drive.google.com/thumbnail?id=1-kULF92O7kA2Vy-9i1BZzi1_0bIC323S&amp;sz=w1000</v>
      </c>
      <c r="AH695" s="90" t="s">
        <v>921</v>
      </c>
    </row>
    <row r="696" spans="1:34" ht="22.15" customHeight="1">
      <c r="A696" s="30">
        <v>45548</v>
      </c>
      <c r="B696" s="2" t="s">
        <v>255</v>
      </c>
      <c r="C696" s="2" t="s">
        <v>258</v>
      </c>
      <c r="D696" s="16" t="str" cm="1">
        <f t="array" ref="D696">_xlfn.XLOOKUP(1, (Table1[Project Name]=Table2[[#This Row],[Project ID]])*(Table1[Plot]=Table2[[#This Row],[Plot]]), Table1[Project ID])</f>
        <v>SC-05</v>
      </c>
      <c r="E696" s="69">
        <v>362</v>
      </c>
      <c r="F696" s="70">
        <v>185</v>
      </c>
      <c r="G696" s="69">
        <f>Table2[[#This Row],[Time Elapsed]]+Table2[[#This Row],[Time Remaining]]</f>
        <v>547</v>
      </c>
      <c r="H696" s="70" t="s">
        <v>861</v>
      </c>
      <c r="I696" s="70" t="s">
        <v>693</v>
      </c>
      <c r="J696" s="188">
        <v>0.28920000000000001</v>
      </c>
      <c r="K696" s="189">
        <v>0.20349999999999999</v>
      </c>
      <c r="L696" s="13">
        <f>Table2[[#This Row],[Actual %]]-Table2[[#This Row],[Plan %]]</f>
        <v>-8.5700000000000026E-2</v>
      </c>
      <c r="M696" s="190" t="s">
        <v>285</v>
      </c>
      <c r="N696" s="227">
        <v>45187</v>
      </c>
      <c r="O696" s="227">
        <v>45195</v>
      </c>
      <c r="P696" s="227" t="s">
        <v>796</v>
      </c>
      <c r="Q696" s="198">
        <v>45555</v>
      </c>
      <c r="R696" s="70" t="s">
        <v>879</v>
      </c>
      <c r="S696" s="70" t="s">
        <v>701</v>
      </c>
      <c r="T696" s="191" t="s">
        <v>801</v>
      </c>
      <c r="U696" s="35">
        <v>78077600</v>
      </c>
      <c r="V696" s="36">
        <v>0</v>
      </c>
      <c r="W696" s="36">
        <f>Table2[[#This Row],[Construction Contract Amount]]+Table2[[#This Row],[Cumulative Variations]]</f>
        <v>78077600</v>
      </c>
      <c r="X696" s="36">
        <v>1576709</v>
      </c>
      <c r="Y696" s="201">
        <v>0</v>
      </c>
      <c r="Z696" s="36">
        <f>Table2[[#This Row],[Final Contract Value]]+Table2[[#This Row],[Supervision Contract amount]]+Table2[[#This Row],[Authority Cost]]</f>
        <v>79654309</v>
      </c>
      <c r="AA696" s="36">
        <v>10232670.517220479</v>
      </c>
      <c r="AB696" s="36">
        <v>180000</v>
      </c>
      <c r="AC696" s="102" t="str">
        <f t="shared" si="42"/>
        <v>https://drive.google.com/thumbnail?id=1b2eV06jwkZD183bC3zSDazL4_RSDXHSq&amp;sz=w1000</v>
      </c>
      <c r="AD696" s="90" t="s">
        <v>892</v>
      </c>
      <c r="AE696" s="103" t="str">
        <f t="shared" si="43"/>
        <v>https://drive.google.com/thumbnail?id=1PNmp5EMW5WyKjKqULNrxDdbiU7_eGUj0&amp;sz=w1000</v>
      </c>
      <c r="AF696" s="90" t="s">
        <v>907</v>
      </c>
      <c r="AG696" s="90" t="str">
        <f t="shared" si="44"/>
        <v>https://drive.google.com/thumbnail?id=1862llNXCy3_gI0LM41mc5JpDXdHEOV2P&amp;sz=w1000</v>
      </c>
      <c r="AH696" s="90" t="s">
        <v>922</v>
      </c>
    </row>
    <row r="697" spans="1:34" ht="22.15" customHeight="1">
      <c r="A697" s="30">
        <v>45548</v>
      </c>
      <c r="B697" s="2" t="s">
        <v>255</v>
      </c>
      <c r="C697" s="2" t="s">
        <v>258</v>
      </c>
      <c r="D697" s="16" t="str" cm="1">
        <f t="array" ref="D697">_xlfn.XLOOKUP(1, (Table1[Project Name]=Table2[[#This Row],[Project ID]])*(Table1[Plot]=Table2[[#This Row],[Plot]]), Table1[Project ID])</f>
        <v>SC-05</v>
      </c>
      <c r="E697" s="69">
        <v>362</v>
      </c>
      <c r="F697" s="70">
        <v>185</v>
      </c>
      <c r="G697" s="69">
        <f>Table2[[#This Row],[Time Elapsed]]+Table2[[#This Row],[Time Remaining]]</f>
        <v>547</v>
      </c>
      <c r="H697" s="70" t="s">
        <v>861</v>
      </c>
      <c r="I697" s="70" t="s">
        <v>693</v>
      </c>
      <c r="J697" s="188">
        <v>0.28920000000000001</v>
      </c>
      <c r="K697" s="189">
        <v>0.20349999999999999</v>
      </c>
      <c r="L697" s="13">
        <f>Table2[[#This Row],[Actual %]]-Table2[[#This Row],[Plan %]]</f>
        <v>-8.5700000000000026E-2</v>
      </c>
      <c r="M697" s="190" t="s">
        <v>51</v>
      </c>
      <c r="N697" s="227">
        <v>45220</v>
      </c>
      <c r="O697" s="227">
        <v>45297</v>
      </c>
      <c r="P697" s="227" t="s">
        <v>796</v>
      </c>
      <c r="Q697" s="198">
        <v>45555</v>
      </c>
      <c r="R697" s="70" t="s">
        <v>879</v>
      </c>
      <c r="S697" s="70" t="s">
        <v>701</v>
      </c>
      <c r="T697" s="191" t="s">
        <v>801</v>
      </c>
      <c r="U697" s="35">
        <v>78077600</v>
      </c>
      <c r="V697" s="36">
        <v>0</v>
      </c>
      <c r="W697" s="36">
        <f>Table2[[#This Row],[Construction Contract Amount]]+Table2[[#This Row],[Cumulative Variations]]</f>
        <v>78077600</v>
      </c>
      <c r="X697" s="36">
        <v>1576709</v>
      </c>
      <c r="Y697" s="201">
        <v>0</v>
      </c>
      <c r="Z697" s="36">
        <f>Table2[[#This Row],[Final Contract Value]]+Table2[[#This Row],[Supervision Contract amount]]+Table2[[#This Row],[Authority Cost]]</f>
        <v>79654309</v>
      </c>
      <c r="AA697" s="36">
        <v>10232670.517220479</v>
      </c>
      <c r="AB697" s="36">
        <v>180000</v>
      </c>
      <c r="AC697" s="102" t="str">
        <f t="shared" si="42"/>
        <v>https://drive.google.com/thumbnail?id=1b2eV06jwkZD183bC3zSDazL4_RSDXHSq&amp;sz=w1000</v>
      </c>
      <c r="AD697" s="90" t="s">
        <v>892</v>
      </c>
      <c r="AE697" s="103" t="str">
        <f t="shared" si="43"/>
        <v>https://drive.google.com/thumbnail?id=1PNmp5EMW5WyKjKqULNrxDdbiU7_eGUj0&amp;sz=w1000</v>
      </c>
      <c r="AF697" s="90" t="s">
        <v>907</v>
      </c>
      <c r="AG697" s="90" t="str">
        <f t="shared" si="44"/>
        <v>https://drive.google.com/thumbnail?id=1862llNXCy3_gI0LM41mc5JpDXdHEOV2P&amp;sz=w1000</v>
      </c>
      <c r="AH697" s="90" t="s">
        <v>922</v>
      </c>
    </row>
    <row r="698" spans="1:34" ht="22.15" customHeight="1">
      <c r="A698" s="30">
        <v>45548</v>
      </c>
      <c r="B698" s="2" t="s">
        <v>255</v>
      </c>
      <c r="C698" s="2" t="s">
        <v>258</v>
      </c>
      <c r="D698" s="16" t="str" cm="1">
        <f t="array" ref="D698">_xlfn.XLOOKUP(1, (Table1[Project Name]=Table2[[#This Row],[Project ID]])*(Table1[Plot]=Table2[[#This Row],[Plot]]), Table1[Project ID])</f>
        <v>SC-05</v>
      </c>
      <c r="E698" s="69">
        <v>362</v>
      </c>
      <c r="F698" s="70">
        <v>185</v>
      </c>
      <c r="G698" s="69">
        <f>Table2[[#This Row],[Time Elapsed]]+Table2[[#This Row],[Time Remaining]]</f>
        <v>547</v>
      </c>
      <c r="H698" s="70" t="s">
        <v>861</v>
      </c>
      <c r="I698" s="70" t="s">
        <v>693</v>
      </c>
      <c r="J698" s="188">
        <v>0.28920000000000001</v>
      </c>
      <c r="K698" s="189">
        <v>0.20349999999999999</v>
      </c>
      <c r="L698" s="13">
        <f>Table2[[#This Row],[Actual %]]-Table2[[#This Row],[Plan %]]</f>
        <v>-8.5700000000000026E-2</v>
      </c>
      <c r="M698" s="190" t="s">
        <v>287</v>
      </c>
      <c r="N698" s="227">
        <v>45429</v>
      </c>
      <c r="O698" s="227">
        <v>45447</v>
      </c>
      <c r="P698" s="227" t="s">
        <v>796</v>
      </c>
      <c r="Q698" s="198">
        <v>45555</v>
      </c>
      <c r="R698" s="70" t="s">
        <v>879</v>
      </c>
      <c r="S698" s="70" t="s">
        <v>701</v>
      </c>
      <c r="T698" s="191" t="s">
        <v>801</v>
      </c>
      <c r="U698" s="35">
        <v>78077600</v>
      </c>
      <c r="V698" s="36">
        <v>0</v>
      </c>
      <c r="W698" s="36">
        <f>Table2[[#This Row],[Construction Contract Amount]]+Table2[[#This Row],[Cumulative Variations]]</f>
        <v>78077600</v>
      </c>
      <c r="X698" s="36">
        <v>1576709</v>
      </c>
      <c r="Y698" s="201">
        <v>0</v>
      </c>
      <c r="Z698" s="36">
        <f>Table2[[#This Row],[Final Contract Value]]+Table2[[#This Row],[Supervision Contract amount]]+Table2[[#This Row],[Authority Cost]]</f>
        <v>79654309</v>
      </c>
      <c r="AA698" s="36">
        <v>10232670.517220479</v>
      </c>
      <c r="AB698" s="36">
        <v>180000</v>
      </c>
      <c r="AC698" s="102" t="str">
        <f t="shared" si="42"/>
        <v>https://drive.google.com/thumbnail?id=1b2eV06jwkZD183bC3zSDazL4_RSDXHSq&amp;sz=w1000</v>
      </c>
      <c r="AD698" s="90" t="s">
        <v>892</v>
      </c>
      <c r="AE698" s="103" t="str">
        <f t="shared" si="43"/>
        <v>https://drive.google.com/thumbnail?id=1PNmp5EMW5WyKjKqULNrxDdbiU7_eGUj0&amp;sz=w1000</v>
      </c>
      <c r="AF698" s="90" t="s">
        <v>907</v>
      </c>
      <c r="AG698" s="90" t="str">
        <f t="shared" si="44"/>
        <v>https://drive.google.com/thumbnail?id=1862llNXCy3_gI0LM41mc5JpDXdHEOV2P&amp;sz=w1000</v>
      </c>
      <c r="AH698" s="90" t="s">
        <v>922</v>
      </c>
    </row>
    <row r="699" spans="1:34" ht="22.15" customHeight="1">
      <c r="A699" s="30">
        <v>45548</v>
      </c>
      <c r="B699" s="2" t="s">
        <v>255</v>
      </c>
      <c r="C699" s="2" t="s">
        <v>258</v>
      </c>
      <c r="D699" s="16" t="str" cm="1">
        <f t="array" ref="D699">_xlfn.XLOOKUP(1, (Table1[Project Name]=Table2[[#This Row],[Project ID]])*(Table1[Plot]=Table2[[#This Row],[Plot]]), Table1[Project ID])</f>
        <v>SC-05</v>
      </c>
      <c r="E699" s="69">
        <v>362</v>
      </c>
      <c r="F699" s="70">
        <v>185</v>
      </c>
      <c r="G699" s="69">
        <f>Table2[[#This Row],[Time Elapsed]]+Table2[[#This Row],[Time Remaining]]</f>
        <v>547</v>
      </c>
      <c r="H699" s="70" t="s">
        <v>861</v>
      </c>
      <c r="I699" s="70" t="s">
        <v>693</v>
      </c>
      <c r="J699" s="188">
        <v>0.28920000000000001</v>
      </c>
      <c r="K699" s="189">
        <v>0.20349999999999999</v>
      </c>
      <c r="L699" s="13">
        <f>Table2[[#This Row],[Actual %]]-Table2[[#This Row],[Plan %]]</f>
        <v>-8.5700000000000026E-2</v>
      </c>
      <c r="M699" s="190" t="s">
        <v>703</v>
      </c>
      <c r="N699" s="227">
        <v>45510</v>
      </c>
      <c r="O699" s="227" t="s">
        <v>796</v>
      </c>
      <c r="P699" s="227">
        <v>45563</v>
      </c>
      <c r="Q699" s="198">
        <v>45555</v>
      </c>
      <c r="R699" s="70" t="s">
        <v>879</v>
      </c>
      <c r="S699" s="70" t="s">
        <v>701</v>
      </c>
      <c r="T699" s="191" t="s">
        <v>801</v>
      </c>
      <c r="U699" s="35">
        <v>78077600</v>
      </c>
      <c r="V699" s="36">
        <v>0</v>
      </c>
      <c r="W699" s="36">
        <f>Table2[[#This Row],[Construction Contract Amount]]+Table2[[#This Row],[Cumulative Variations]]</f>
        <v>78077600</v>
      </c>
      <c r="X699" s="36">
        <v>1576709</v>
      </c>
      <c r="Y699" s="201">
        <v>0</v>
      </c>
      <c r="Z699" s="36">
        <f>Table2[[#This Row],[Final Contract Value]]+Table2[[#This Row],[Supervision Contract amount]]+Table2[[#This Row],[Authority Cost]]</f>
        <v>79654309</v>
      </c>
      <c r="AA699" s="36">
        <v>10232670.517220479</v>
      </c>
      <c r="AB699" s="36">
        <v>180000</v>
      </c>
      <c r="AC699" s="102" t="str">
        <f t="shared" si="42"/>
        <v>https://drive.google.com/thumbnail?id=1b2eV06jwkZD183bC3zSDazL4_RSDXHSq&amp;sz=w1000</v>
      </c>
      <c r="AD699" s="90" t="s">
        <v>892</v>
      </c>
      <c r="AE699" s="103" t="str">
        <f t="shared" si="43"/>
        <v>https://drive.google.com/thumbnail?id=1PNmp5EMW5WyKjKqULNrxDdbiU7_eGUj0&amp;sz=w1000</v>
      </c>
      <c r="AF699" s="90" t="s">
        <v>907</v>
      </c>
      <c r="AG699" s="90" t="str">
        <f t="shared" si="44"/>
        <v>https://drive.google.com/thumbnail?id=1862llNXCy3_gI0LM41mc5JpDXdHEOV2P&amp;sz=w1000</v>
      </c>
      <c r="AH699" s="90" t="s">
        <v>922</v>
      </c>
    </row>
    <row r="700" spans="1:34" ht="22.15" customHeight="1">
      <c r="A700" s="30">
        <v>45548</v>
      </c>
      <c r="B700" s="2" t="s">
        <v>255</v>
      </c>
      <c r="C700" s="2" t="s">
        <v>258</v>
      </c>
      <c r="D700" s="16" t="str" cm="1">
        <f t="array" ref="D700">_xlfn.XLOOKUP(1, (Table1[Project Name]=Table2[[#This Row],[Project ID]])*(Table1[Plot]=Table2[[#This Row],[Plot]]), Table1[Project ID])</f>
        <v>SC-05</v>
      </c>
      <c r="E700" s="69">
        <v>362</v>
      </c>
      <c r="F700" s="70">
        <v>185</v>
      </c>
      <c r="G700" s="69">
        <f>Table2[[#This Row],[Time Elapsed]]+Table2[[#This Row],[Time Remaining]]</f>
        <v>547</v>
      </c>
      <c r="H700" s="70" t="s">
        <v>861</v>
      </c>
      <c r="I700" s="70" t="s">
        <v>693</v>
      </c>
      <c r="J700" s="188">
        <v>0.28920000000000001</v>
      </c>
      <c r="K700" s="189">
        <v>0.20349999999999999</v>
      </c>
      <c r="L700" s="13">
        <f>Table2[[#This Row],[Actual %]]-Table2[[#This Row],[Plan %]]</f>
        <v>-8.5700000000000026E-2</v>
      </c>
      <c r="M700" s="190" t="s">
        <v>704</v>
      </c>
      <c r="N700" s="227">
        <v>45603</v>
      </c>
      <c r="O700" s="227" t="s">
        <v>796</v>
      </c>
      <c r="P700" s="227">
        <v>45575</v>
      </c>
      <c r="Q700" s="198">
        <v>45555</v>
      </c>
      <c r="R700" s="70" t="s">
        <v>879</v>
      </c>
      <c r="S700" s="70" t="s">
        <v>701</v>
      </c>
      <c r="T700" s="191" t="s">
        <v>801</v>
      </c>
      <c r="U700" s="35">
        <v>78077600</v>
      </c>
      <c r="V700" s="36">
        <v>0</v>
      </c>
      <c r="W700" s="36">
        <f>Table2[[#This Row],[Construction Contract Amount]]+Table2[[#This Row],[Cumulative Variations]]</f>
        <v>78077600</v>
      </c>
      <c r="X700" s="36">
        <v>1576709</v>
      </c>
      <c r="Y700" s="201">
        <v>0</v>
      </c>
      <c r="Z700" s="36">
        <f>Table2[[#This Row],[Final Contract Value]]+Table2[[#This Row],[Supervision Contract amount]]+Table2[[#This Row],[Authority Cost]]</f>
        <v>79654309</v>
      </c>
      <c r="AA700" s="36">
        <v>10232670.517220479</v>
      </c>
      <c r="AB700" s="36">
        <v>180000</v>
      </c>
      <c r="AC700" s="102" t="str">
        <f t="shared" si="42"/>
        <v>https://drive.google.com/thumbnail?id=1b2eV06jwkZD183bC3zSDazL4_RSDXHSq&amp;sz=w1000</v>
      </c>
      <c r="AD700" s="90" t="s">
        <v>892</v>
      </c>
      <c r="AE700" s="103" t="str">
        <f t="shared" si="43"/>
        <v>https://drive.google.com/thumbnail?id=1PNmp5EMW5WyKjKqULNrxDdbiU7_eGUj0&amp;sz=w1000</v>
      </c>
      <c r="AF700" s="90" t="s">
        <v>907</v>
      </c>
      <c r="AG700" s="90" t="str">
        <f t="shared" si="44"/>
        <v>https://drive.google.com/thumbnail?id=1862llNXCy3_gI0LM41mc5JpDXdHEOV2P&amp;sz=w1000</v>
      </c>
      <c r="AH700" s="90" t="s">
        <v>922</v>
      </c>
    </row>
    <row r="701" spans="1:34" ht="22.15" customHeight="1">
      <c r="A701" s="30">
        <v>45548</v>
      </c>
      <c r="B701" s="2" t="s">
        <v>255</v>
      </c>
      <c r="C701" s="2" t="s">
        <v>258</v>
      </c>
      <c r="D701" s="16" t="str" cm="1">
        <f t="array" ref="D701">_xlfn.XLOOKUP(1, (Table1[Project Name]=Table2[[#This Row],[Project ID]])*(Table1[Plot]=Table2[[#This Row],[Plot]]), Table1[Project ID])</f>
        <v>SC-05</v>
      </c>
      <c r="E701" s="69">
        <v>362</v>
      </c>
      <c r="F701" s="70">
        <v>185</v>
      </c>
      <c r="G701" s="69">
        <f>Table2[[#This Row],[Time Elapsed]]+Table2[[#This Row],[Time Remaining]]</f>
        <v>547</v>
      </c>
      <c r="H701" s="70" t="s">
        <v>861</v>
      </c>
      <c r="I701" s="70" t="s">
        <v>693</v>
      </c>
      <c r="J701" s="188">
        <v>0.28920000000000001</v>
      </c>
      <c r="K701" s="189">
        <v>0.20349999999999999</v>
      </c>
      <c r="L701" s="13">
        <f>Table2[[#This Row],[Actual %]]-Table2[[#This Row],[Plan %]]</f>
        <v>-8.5700000000000026E-2</v>
      </c>
      <c r="M701" s="190" t="s">
        <v>705</v>
      </c>
      <c r="N701" s="227">
        <v>45511</v>
      </c>
      <c r="O701" s="227">
        <v>45535</v>
      </c>
      <c r="P701" s="227" t="s">
        <v>796</v>
      </c>
      <c r="Q701" s="198">
        <v>45555</v>
      </c>
      <c r="R701" s="70" t="s">
        <v>879</v>
      </c>
      <c r="S701" s="70" t="s">
        <v>701</v>
      </c>
      <c r="T701" s="191" t="s">
        <v>801</v>
      </c>
      <c r="U701" s="35">
        <v>78077600</v>
      </c>
      <c r="V701" s="36">
        <v>0</v>
      </c>
      <c r="W701" s="36">
        <f>Table2[[#This Row],[Construction Contract Amount]]+Table2[[#This Row],[Cumulative Variations]]</f>
        <v>78077600</v>
      </c>
      <c r="X701" s="36">
        <v>1576709</v>
      </c>
      <c r="Y701" s="201">
        <v>0</v>
      </c>
      <c r="Z701" s="36">
        <f>Table2[[#This Row],[Final Contract Value]]+Table2[[#This Row],[Supervision Contract amount]]+Table2[[#This Row],[Authority Cost]]</f>
        <v>79654309</v>
      </c>
      <c r="AA701" s="36">
        <v>10232670.517220479</v>
      </c>
      <c r="AB701" s="36">
        <v>180000</v>
      </c>
      <c r="AC701" s="102" t="str">
        <f t="shared" si="42"/>
        <v>https://drive.google.com/thumbnail?id=1b2eV06jwkZD183bC3zSDazL4_RSDXHSq&amp;sz=w1000</v>
      </c>
      <c r="AD701" s="90" t="s">
        <v>892</v>
      </c>
      <c r="AE701" s="103" t="str">
        <f t="shared" si="43"/>
        <v>https://drive.google.com/thumbnail?id=1PNmp5EMW5WyKjKqULNrxDdbiU7_eGUj0&amp;sz=w1000</v>
      </c>
      <c r="AF701" s="90" t="s">
        <v>907</v>
      </c>
      <c r="AG701" s="90" t="str">
        <f t="shared" si="44"/>
        <v>https://drive.google.com/thumbnail?id=1862llNXCy3_gI0LM41mc5JpDXdHEOV2P&amp;sz=w1000</v>
      </c>
      <c r="AH701" s="90" t="s">
        <v>922</v>
      </c>
    </row>
    <row r="702" spans="1:34" ht="22.15" customHeight="1">
      <c r="A702" s="30">
        <v>45548</v>
      </c>
      <c r="B702" s="2" t="s">
        <v>255</v>
      </c>
      <c r="C702" s="2" t="s">
        <v>258</v>
      </c>
      <c r="D702" s="16" t="str" cm="1">
        <f t="array" ref="D702">_xlfn.XLOOKUP(1, (Table1[Project Name]=Table2[[#This Row],[Project ID]])*(Table1[Plot]=Table2[[#This Row],[Plot]]), Table1[Project ID])</f>
        <v>SC-05</v>
      </c>
      <c r="E702" s="69">
        <v>362</v>
      </c>
      <c r="F702" s="70">
        <v>185</v>
      </c>
      <c r="G702" s="69">
        <f>Table2[[#This Row],[Time Elapsed]]+Table2[[#This Row],[Time Remaining]]</f>
        <v>547</v>
      </c>
      <c r="H702" s="70" t="s">
        <v>861</v>
      </c>
      <c r="I702" s="70" t="s">
        <v>693</v>
      </c>
      <c r="J702" s="188">
        <v>0.28920000000000001</v>
      </c>
      <c r="K702" s="189">
        <v>0.20349999999999999</v>
      </c>
      <c r="L702" s="13">
        <f>Table2[[#This Row],[Actual %]]-Table2[[#This Row],[Plan %]]</f>
        <v>-8.5700000000000026E-2</v>
      </c>
      <c r="M702" s="190" t="s">
        <v>706</v>
      </c>
      <c r="N702" s="227">
        <v>45596</v>
      </c>
      <c r="O702" s="227" t="s">
        <v>796</v>
      </c>
      <c r="P702" s="227">
        <v>45612</v>
      </c>
      <c r="Q702" s="198">
        <v>45555</v>
      </c>
      <c r="R702" s="70" t="s">
        <v>879</v>
      </c>
      <c r="S702" s="70" t="s">
        <v>701</v>
      </c>
      <c r="T702" s="191" t="s">
        <v>801</v>
      </c>
      <c r="U702" s="35">
        <v>78077600</v>
      </c>
      <c r="V702" s="36">
        <v>0</v>
      </c>
      <c r="W702" s="36">
        <f>Table2[[#This Row],[Construction Contract Amount]]+Table2[[#This Row],[Cumulative Variations]]</f>
        <v>78077600</v>
      </c>
      <c r="X702" s="36">
        <v>1576709</v>
      </c>
      <c r="Y702" s="201">
        <v>0</v>
      </c>
      <c r="Z702" s="36">
        <f>Table2[[#This Row],[Final Contract Value]]+Table2[[#This Row],[Supervision Contract amount]]+Table2[[#This Row],[Authority Cost]]</f>
        <v>79654309</v>
      </c>
      <c r="AA702" s="36">
        <v>10232670.517220479</v>
      </c>
      <c r="AB702" s="36">
        <v>180000</v>
      </c>
      <c r="AC702" s="102" t="str">
        <f t="shared" si="42"/>
        <v>https://drive.google.com/thumbnail?id=1b2eV06jwkZD183bC3zSDazL4_RSDXHSq&amp;sz=w1000</v>
      </c>
      <c r="AD702" s="90" t="s">
        <v>892</v>
      </c>
      <c r="AE702" s="103" t="str">
        <f t="shared" si="43"/>
        <v>https://drive.google.com/thumbnail?id=1PNmp5EMW5WyKjKqULNrxDdbiU7_eGUj0&amp;sz=w1000</v>
      </c>
      <c r="AF702" s="90" t="s">
        <v>907</v>
      </c>
      <c r="AG702" s="90" t="str">
        <f t="shared" si="44"/>
        <v>https://drive.google.com/thumbnail?id=1862llNXCy3_gI0LM41mc5JpDXdHEOV2P&amp;sz=w1000</v>
      </c>
      <c r="AH702" s="90" t="s">
        <v>922</v>
      </c>
    </row>
    <row r="703" spans="1:34" ht="22.15" customHeight="1">
      <c r="A703" s="30">
        <v>45548</v>
      </c>
      <c r="B703" s="2" t="s">
        <v>255</v>
      </c>
      <c r="C703" s="2" t="s">
        <v>258</v>
      </c>
      <c r="D703" s="16" t="str" cm="1">
        <f t="array" ref="D703">_xlfn.XLOOKUP(1, (Table1[Project Name]=Table2[[#This Row],[Project ID]])*(Table1[Plot]=Table2[[#This Row],[Plot]]), Table1[Project ID])</f>
        <v>SC-05</v>
      </c>
      <c r="E703" s="69">
        <v>362</v>
      </c>
      <c r="F703" s="70">
        <v>185</v>
      </c>
      <c r="G703" s="69">
        <f>Table2[[#This Row],[Time Elapsed]]+Table2[[#This Row],[Time Remaining]]</f>
        <v>547</v>
      </c>
      <c r="H703" s="70" t="s">
        <v>861</v>
      </c>
      <c r="I703" s="70" t="s">
        <v>693</v>
      </c>
      <c r="J703" s="188">
        <v>0.28920000000000001</v>
      </c>
      <c r="K703" s="189">
        <v>0.20349999999999999</v>
      </c>
      <c r="L703" s="13">
        <f>Table2[[#This Row],[Actual %]]-Table2[[#This Row],[Plan %]]</f>
        <v>-8.5700000000000026E-2</v>
      </c>
      <c r="M703" s="190" t="s">
        <v>280</v>
      </c>
      <c r="N703" s="227">
        <v>45682</v>
      </c>
      <c r="O703" s="227" t="s">
        <v>796</v>
      </c>
      <c r="P703" s="227">
        <v>45783</v>
      </c>
      <c r="Q703" s="198">
        <v>45555</v>
      </c>
      <c r="R703" s="70" t="s">
        <v>879</v>
      </c>
      <c r="S703" s="70" t="s">
        <v>701</v>
      </c>
      <c r="T703" s="191" t="s">
        <v>801</v>
      </c>
      <c r="U703" s="35">
        <v>78077600</v>
      </c>
      <c r="V703" s="36">
        <v>0</v>
      </c>
      <c r="W703" s="36">
        <f>Table2[[#This Row],[Construction Contract Amount]]+Table2[[#This Row],[Cumulative Variations]]</f>
        <v>78077600</v>
      </c>
      <c r="X703" s="36">
        <v>1576709</v>
      </c>
      <c r="Y703" s="201">
        <v>0</v>
      </c>
      <c r="Z703" s="36">
        <f>Table2[[#This Row],[Final Contract Value]]+Table2[[#This Row],[Supervision Contract amount]]+Table2[[#This Row],[Authority Cost]]</f>
        <v>79654309</v>
      </c>
      <c r="AA703" s="36">
        <v>10232670.517220479</v>
      </c>
      <c r="AB703" s="36">
        <v>180000</v>
      </c>
      <c r="AC703" s="102" t="str">
        <f t="shared" si="42"/>
        <v>https://drive.google.com/thumbnail?id=1b2eV06jwkZD183bC3zSDazL4_RSDXHSq&amp;sz=w1000</v>
      </c>
      <c r="AD703" s="90" t="s">
        <v>892</v>
      </c>
      <c r="AE703" s="103" t="str">
        <f t="shared" si="43"/>
        <v>https://drive.google.com/thumbnail?id=1PNmp5EMW5WyKjKqULNrxDdbiU7_eGUj0&amp;sz=w1000</v>
      </c>
      <c r="AF703" s="90" t="s">
        <v>907</v>
      </c>
      <c r="AG703" s="90" t="str">
        <f t="shared" si="44"/>
        <v>https://drive.google.com/thumbnail?id=1862llNXCy3_gI0LM41mc5JpDXdHEOV2P&amp;sz=w1000</v>
      </c>
      <c r="AH703" s="90" t="s">
        <v>922</v>
      </c>
    </row>
    <row r="704" spans="1:34" ht="22.15" customHeight="1">
      <c r="A704" s="30">
        <v>45548</v>
      </c>
      <c r="B704" s="2" t="s">
        <v>255</v>
      </c>
      <c r="C704" s="2" t="s">
        <v>258</v>
      </c>
      <c r="D704" s="16" t="str" cm="1">
        <f t="array" ref="D704">_xlfn.XLOOKUP(1, (Table1[Project Name]=Table2[[#This Row],[Project ID]])*(Table1[Plot]=Table2[[#This Row],[Plot]]), Table1[Project ID])</f>
        <v>SC-05</v>
      </c>
      <c r="E704" s="69">
        <v>362</v>
      </c>
      <c r="F704" s="70">
        <v>185</v>
      </c>
      <c r="G704" s="69">
        <f>Table2[[#This Row],[Time Elapsed]]+Table2[[#This Row],[Time Remaining]]</f>
        <v>547</v>
      </c>
      <c r="H704" s="70" t="s">
        <v>861</v>
      </c>
      <c r="I704" s="70" t="s">
        <v>693</v>
      </c>
      <c r="J704" s="188">
        <v>0.28920000000000001</v>
      </c>
      <c r="K704" s="189">
        <v>0.20349999999999999</v>
      </c>
      <c r="L704" s="13">
        <f>Table2[[#This Row],[Actual %]]-Table2[[#This Row],[Plan %]]</f>
        <v>-8.5700000000000026E-2</v>
      </c>
      <c r="M704" s="190" t="s">
        <v>343</v>
      </c>
      <c r="N704" s="227">
        <v>45701</v>
      </c>
      <c r="O704" s="227" t="s">
        <v>796</v>
      </c>
      <c r="P704" s="227">
        <v>45803</v>
      </c>
      <c r="Q704" s="198">
        <v>45555</v>
      </c>
      <c r="R704" s="70" t="s">
        <v>879</v>
      </c>
      <c r="S704" s="70" t="s">
        <v>701</v>
      </c>
      <c r="T704" s="191" t="s">
        <v>801</v>
      </c>
      <c r="U704" s="35">
        <v>78077600</v>
      </c>
      <c r="V704" s="36">
        <v>0</v>
      </c>
      <c r="W704" s="36">
        <f>Table2[[#This Row],[Construction Contract Amount]]+Table2[[#This Row],[Cumulative Variations]]</f>
        <v>78077600</v>
      </c>
      <c r="X704" s="36">
        <v>1576709</v>
      </c>
      <c r="Y704" s="201">
        <v>0</v>
      </c>
      <c r="Z704" s="36">
        <f>Table2[[#This Row],[Final Contract Value]]+Table2[[#This Row],[Supervision Contract amount]]+Table2[[#This Row],[Authority Cost]]</f>
        <v>79654309</v>
      </c>
      <c r="AA704" s="36">
        <v>10232670.517220479</v>
      </c>
      <c r="AB704" s="36">
        <v>180000</v>
      </c>
      <c r="AC704" s="102" t="str">
        <f t="shared" si="42"/>
        <v>https://drive.google.com/thumbnail?id=1b2eV06jwkZD183bC3zSDazL4_RSDXHSq&amp;sz=w1000</v>
      </c>
      <c r="AD704" s="90" t="s">
        <v>892</v>
      </c>
      <c r="AE704" s="103" t="str">
        <f t="shared" si="43"/>
        <v>https://drive.google.com/thumbnail?id=1PNmp5EMW5WyKjKqULNrxDdbiU7_eGUj0&amp;sz=w1000</v>
      </c>
      <c r="AF704" s="90" t="s">
        <v>907</v>
      </c>
      <c r="AG704" s="90" t="str">
        <f t="shared" si="44"/>
        <v>https://drive.google.com/thumbnail?id=1862llNXCy3_gI0LM41mc5JpDXdHEOV2P&amp;sz=w1000</v>
      </c>
      <c r="AH704" s="90" t="s">
        <v>922</v>
      </c>
    </row>
    <row r="705" spans="1:34" ht="22.15" customHeight="1">
      <c r="A705" s="30">
        <v>45548</v>
      </c>
      <c r="B705" s="2" t="s">
        <v>255</v>
      </c>
      <c r="C705" s="2" t="s">
        <v>258</v>
      </c>
      <c r="D705" s="16" t="str" cm="1">
        <f t="array" ref="D705">_xlfn.XLOOKUP(1, (Table1[Project Name]=Table2[[#This Row],[Project ID]])*(Table1[Plot]=Table2[[#This Row],[Plot]]), Table1[Project ID])</f>
        <v>SC-05</v>
      </c>
      <c r="E705" s="69">
        <v>362</v>
      </c>
      <c r="F705" s="70">
        <v>185</v>
      </c>
      <c r="G705" s="69">
        <f>Table2[[#This Row],[Time Elapsed]]+Table2[[#This Row],[Time Remaining]]</f>
        <v>547</v>
      </c>
      <c r="H705" s="70" t="s">
        <v>861</v>
      </c>
      <c r="I705" s="70" t="s">
        <v>693</v>
      </c>
      <c r="J705" s="188">
        <v>0.28920000000000001</v>
      </c>
      <c r="K705" s="189">
        <v>0.20349999999999999</v>
      </c>
      <c r="L705" s="13">
        <f>Table2[[#This Row],[Actual %]]-Table2[[#This Row],[Plan %]]</f>
        <v>-8.5700000000000026E-2</v>
      </c>
      <c r="M705" s="190" t="s">
        <v>344</v>
      </c>
      <c r="N705" s="227">
        <v>45720</v>
      </c>
      <c r="O705" s="227" t="s">
        <v>796</v>
      </c>
      <c r="P705" s="227">
        <v>45824</v>
      </c>
      <c r="Q705" s="198">
        <v>45555</v>
      </c>
      <c r="R705" s="70" t="s">
        <v>879</v>
      </c>
      <c r="S705" s="70" t="s">
        <v>701</v>
      </c>
      <c r="T705" s="191" t="s">
        <v>801</v>
      </c>
      <c r="U705" s="35">
        <v>78077600</v>
      </c>
      <c r="V705" s="36">
        <v>0</v>
      </c>
      <c r="W705" s="36">
        <f>Table2[[#This Row],[Construction Contract Amount]]+Table2[[#This Row],[Cumulative Variations]]</f>
        <v>78077600</v>
      </c>
      <c r="X705" s="36">
        <v>1576709</v>
      </c>
      <c r="Y705" s="201">
        <v>0</v>
      </c>
      <c r="Z705" s="36">
        <f>Table2[[#This Row],[Final Contract Value]]+Table2[[#This Row],[Supervision Contract amount]]+Table2[[#This Row],[Authority Cost]]</f>
        <v>79654309</v>
      </c>
      <c r="AA705" s="36">
        <v>10232670.517220479</v>
      </c>
      <c r="AB705" s="36">
        <v>180000</v>
      </c>
      <c r="AC705" s="102" t="str">
        <f t="shared" si="42"/>
        <v>https://drive.google.com/thumbnail?id=1b2eV06jwkZD183bC3zSDazL4_RSDXHSq&amp;sz=w1000</v>
      </c>
      <c r="AD705" s="90" t="s">
        <v>892</v>
      </c>
      <c r="AE705" s="103" t="str">
        <f t="shared" si="43"/>
        <v>https://drive.google.com/thumbnail?id=1PNmp5EMW5WyKjKqULNrxDdbiU7_eGUj0&amp;sz=w1000</v>
      </c>
      <c r="AF705" s="90" t="s">
        <v>907</v>
      </c>
      <c r="AG705" s="90" t="str">
        <f t="shared" si="44"/>
        <v>https://drive.google.com/thumbnail?id=1862llNXCy3_gI0LM41mc5JpDXdHEOV2P&amp;sz=w1000</v>
      </c>
      <c r="AH705" s="90" t="s">
        <v>922</v>
      </c>
    </row>
    <row r="706" spans="1:34" ht="22.15" customHeight="1">
      <c r="A706" s="30">
        <v>45548</v>
      </c>
      <c r="B706" s="2" t="s">
        <v>255</v>
      </c>
      <c r="C706" s="2" t="s">
        <v>258</v>
      </c>
      <c r="D706" s="16" t="str" cm="1">
        <f t="array" ref="D706">_xlfn.XLOOKUP(1, (Table1[Project Name]=Table2[[#This Row],[Project ID]])*(Table1[Plot]=Table2[[#This Row],[Plot]]), Table1[Project ID])</f>
        <v>SC-05</v>
      </c>
      <c r="E706" s="69">
        <v>362</v>
      </c>
      <c r="F706" s="70">
        <v>185</v>
      </c>
      <c r="G706" s="69">
        <f>Table2[[#This Row],[Time Elapsed]]+Table2[[#This Row],[Time Remaining]]</f>
        <v>547</v>
      </c>
      <c r="H706" s="70" t="s">
        <v>861</v>
      </c>
      <c r="I706" s="70" t="s">
        <v>693</v>
      </c>
      <c r="J706" s="188">
        <v>0.28920000000000001</v>
      </c>
      <c r="K706" s="189">
        <v>0.20349999999999999</v>
      </c>
      <c r="L706" s="13">
        <f>Table2[[#This Row],[Actual %]]-Table2[[#This Row],[Plan %]]</f>
        <v>-8.5700000000000026E-2</v>
      </c>
      <c r="M706" s="190" t="s">
        <v>302</v>
      </c>
      <c r="N706" s="227">
        <v>45733</v>
      </c>
      <c r="O706" s="227" t="s">
        <v>796</v>
      </c>
      <c r="P706" s="227">
        <v>45838</v>
      </c>
      <c r="Q706" s="198">
        <v>45555</v>
      </c>
      <c r="R706" s="70" t="s">
        <v>879</v>
      </c>
      <c r="S706" s="70" t="s">
        <v>701</v>
      </c>
      <c r="T706" s="191" t="s">
        <v>801</v>
      </c>
      <c r="U706" s="35">
        <v>78077600</v>
      </c>
      <c r="V706" s="36">
        <v>0</v>
      </c>
      <c r="W706" s="36">
        <f>Table2[[#This Row],[Construction Contract Amount]]+Table2[[#This Row],[Cumulative Variations]]</f>
        <v>78077600</v>
      </c>
      <c r="X706" s="36">
        <v>1576709</v>
      </c>
      <c r="Y706" s="201">
        <v>0</v>
      </c>
      <c r="Z706" s="36">
        <f>Table2[[#This Row],[Final Contract Value]]+Table2[[#This Row],[Supervision Contract amount]]+Table2[[#This Row],[Authority Cost]]</f>
        <v>79654309</v>
      </c>
      <c r="AA706" s="36">
        <v>10232670.517220479</v>
      </c>
      <c r="AB706" s="36">
        <v>180000</v>
      </c>
      <c r="AC706" s="102" t="str">
        <f t="shared" si="42"/>
        <v>https://drive.google.com/thumbnail?id=1b2eV06jwkZD183bC3zSDazL4_RSDXHSq&amp;sz=w1000</v>
      </c>
      <c r="AD706" s="90" t="s">
        <v>892</v>
      </c>
      <c r="AE706" s="103" t="str">
        <f t="shared" si="43"/>
        <v>https://drive.google.com/thumbnail?id=1PNmp5EMW5WyKjKqULNrxDdbiU7_eGUj0&amp;sz=w1000</v>
      </c>
      <c r="AF706" s="90" t="s">
        <v>907</v>
      </c>
      <c r="AG706" s="90" t="str">
        <f t="shared" si="44"/>
        <v>https://drive.google.com/thumbnail?id=1862llNXCy3_gI0LM41mc5JpDXdHEOV2P&amp;sz=w1000</v>
      </c>
      <c r="AH706" s="90" t="s">
        <v>922</v>
      </c>
    </row>
    <row r="707" spans="1:34" ht="22.15" customHeight="1">
      <c r="A707" s="30">
        <v>45548</v>
      </c>
      <c r="B707" s="2" t="s">
        <v>260</v>
      </c>
      <c r="C707" s="2" t="s">
        <v>262</v>
      </c>
      <c r="D707" s="16" t="str" cm="1">
        <f t="array" ref="D707">_xlfn.XLOOKUP(1, (Table1[Project Name]=Table2[[#This Row],[Project ID]])*(Table1[Plot]=Table2[[#This Row],[Plot]]), Table1[Project ID])</f>
        <v>SC-06</v>
      </c>
      <c r="E707" s="69">
        <v>362</v>
      </c>
      <c r="F707" s="70">
        <v>185</v>
      </c>
      <c r="G707" s="69">
        <f>Table2[[#This Row],[Time Elapsed]]+Table2[[#This Row],[Time Remaining]]</f>
        <v>547</v>
      </c>
      <c r="H707" s="70" t="s">
        <v>862</v>
      </c>
      <c r="I707" s="70" t="s">
        <v>693</v>
      </c>
      <c r="J707" s="188">
        <v>0.2903</v>
      </c>
      <c r="K707" s="189">
        <v>0.21879999999999999</v>
      </c>
      <c r="L707" s="13">
        <f>Table2[[#This Row],[Actual %]]-Table2[[#This Row],[Plan %]]</f>
        <v>-7.1500000000000008E-2</v>
      </c>
      <c r="M707" s="190" t="s">
        <v>285</v>
      </c>
      <c r="N707" s="227">
        <v>45187</v>
      </c>
      <c r="O707" s="227">
        <v>45195</v>
      </c>
      <c r="P707" s="227" t="s">
        <v>796</v>
      </c>
      <c r="Q707" s="198">
        <v>45555</v>
      </c>
      <c r="R707" s="70" t="s">
        <v>879</v>
      </c>
      <c r="S707" s="70" t="s">
        <v>701</v>
      </c>
      <c r="T707" s="191" t="s">
        <v>802</v>
      </c>
      <c r="U707" s="35">
        <v>78077600</v>
      </c>
      <c r="V707" s="36">
        <v>0</v>
      </c>
      <c r="W707" s="36">
        <f>Table2[[#This Row],[Construction Contract Amount]]+Table2[[#This Row],[Cumulative Variations]]</f>
        <v>78077600</v>
      </c>
      <c r="X707" s="36">
        <v>1576709</v>
      </c>
      <c r="Y707" s="201">
        <v>0</v>
      </c>
      <c r="Z707" s="36">
        <f>Table2[[#This Row],[Final Contract Value]]+Table2[[#This Row],[Supervision Contract amount]]+Table2[[#This Row],[Authority Cost]]</f>
        <v>79654309</v>
      </c>
      <c r="AA707" s="36">
        <v>10862786.894588601</v>
      </c>
      <c r="AB707" s="36">
        <v>180000</v>
      </c>
      <c r="AC707" s="102" t="str">
        <f t="shared" si="42"/>
        <v>https://drive.google.com/thumbnail?id=13q2lrMXyrD-jFwOUSAmyXAyHguPjfyop&amp;sz=w1000</v>
      </c>
      <c r="AD707" s="90" t="s">
        <v>893</v>
      </c>
      <c r="AE707" s="103" t="str">
        <f t="shared" si="43"/>
        <v>https://drive.google.com/thumbnail?id=1oGYK0VIxvZWojb4mGJZZsBVC1SfDMY6y&amp;sz=w1000</v>
      </c>
      <c r="AF707" s="90" t="s">
        <v>908</v>
      </c>
      <c r="AG707" s="90" t="str">
        <f t="shared" si="44"/>
        <v>https://drive.google.com/thumbnail?id=1QZ18QaTmJF4nT-dAtMgJlTUA-K3sOYAQ&amp;sz=w1000</v>
      </c>
      <c r="AH707" s="90" t="s">
        <v>923</v>
      </c>
    </row>
    <row r="708" spans="1:34" ht="22.15" customHeight="1">
      <c r="A708" s="30">
        <v>45548</v>
      </c>
      <c r="B708" s="2" t="s">
        <v>260</v>
      </c>
      <c r="C708" s="2" t="s">
        <v>262</v>
      </c>
      <c r="D708" s="16" t="str" cm="1">
        <f t="array" ref="D708">_xlfn.XLOOKUP(1, (Table1[Project Name]=Table2[[#This Row],[Project ID]])*(Table1[Plot]=Table2[[#This Row],[Plot]]), Table1[Project ID])</f>
        <v>SC-06</v>
      </c>
      <c r="E708" s="69">
        <v>362</v>
      </c>
      <c r="F708" s="70">
        <v>185</v>
      </c>
      <c r="G708" s="69">
        <f>Table2[[#This Row],[Time Elapsed]]+Table2[[#This Row],[Time Remaining]]</f>
        <v>547</v>
      </c>
      <c r="H708" s="70" t="s">
        <v>862</v>
      </c>
      <c r="I708" s="70" t="s">
        <v>693</v>
      </c>
      <c r="J708" s="188">
        <v>0.2903</v>
      </c>
      <c r="K708" s="189">
        <v>0.21879999999999999</v>
      </c>
      <c r="L708" s="13">
        <f>Table2[[#This Row],[Actual %]]-Table2[[#This Row],[Plan %]]</f>
        <v>-7.1500000000000008E-2</v>
      </c>
      <c r="M708" s="190" t="s">
        <v>51</v>
      </c>
      <c r="N708" s="227">
        <v>45220</v>
      </c>
      <c r="O708" s="227">
        <v>45297</v>
      </c>
      <c r="P708" s="227" t="s">
        <v>796</v>
      </c>
      <c r="Q708" s="198">
        <v>45555</v>
      </c>
      <c r="R708" s="70" t="s">
        <v>879</v>
      </c>
      <c r="S708" s="70" t="s">
        <v>701</v>
      </c>
      <c r="T708" s="191" t="s">
        <v>802</v>
      </c>
      <c r="U708" s="35">
        <v>78077600</v>
      </c>
      <c r="V708" s="36">
        <v>0</v>
      </c>
      <c r="W708" s="36">
        <f>Table2[[#This Row],[Construction Contract Amount]]+Table2[[#This Row],[Cumulative Variations]]</f>
        <v>78077600</v>
      </c>
      <c r="X708" s="36">
        <v>1576709</v>
      </c>
      <c r="Y708" s="201">
        <v>0</v>
      </c>
      <c r="Z708" s="36">
        <f>Table2[[#This Row],[Final Contract Value]]+Table2[[#This Row],[Supervision Contract amount]]+Table2[[#This Row],[Authority Cost]]</f>
        <v>79654309</v>
      </c>
      <c r="AA708" s="36">
        <v>10862786.894588601</v>
      </c>
      <c r="AB708" s="36">
        <v>180000</v>
      </c>
      <c r="AC708" s="102" t="str">
        <f t="shared" si="42"/>
        <v>https://drive.google.com/thumbnail?id=13q2lrMXyrD-jFwOUSAmyXAyHguPjfyop&amp;sz=w1000</v>
      </c>
      <c r="AD708" s="90" t="s">
        <v>893</v>
      </c>
      <c r="AE708" s="103" t="str">
        <f t="shared" si="43"/>
        <v>https://drive.google.com/thumbnail?id=1oGYK0VIxvZWojb4mGJZZsBVC1SfDMY6y&amp;sz=w1000</v>
      </c>
      <c r="AF708" s="90" t="s">
        <v>908</v>
      </c>
      <c r="AG708" s="90" t="str">
        <f t="shared" si="44"/>
        <v>https://drive.google.com/thumbnail?id=1QZ18QaTmJF4nT-dAtMgJlTUA-K3sOYAQ&amp;sz=w1000</v>
      </c>
      <c r="AH708" s="90" t="s">
        <v>923</v>
      </c>
    </row>
    <row r="709" spans="1:34" ht="22.15" customHeight="1">
      <c r="A709" s="30">
        <v>45548</v>
      </c>
      <c r="B709" s="2" t="s">
        <v>260</v>
      </c>
      <c r="C709" s="2" t="s">
        <v>262</v>
      </c>
      <c r="D709" s="16" t="str" cm="1">
        <f t="array" ref="D709">_xlfn.XLOOKUP(1, (Table1[Project Name]=Table2[[#This Row],[Project ID]])*(Table1[Plot]=Table2[[#This Row],[Plot]]), Table1[Project ID])</f>
        <v>SC-06</v>
      </c>
      <c r="E709" s="69">
        <v>362</v>
      </c>
      <c r="F709" s="70">
        <v>185</v>
      </c>
      <c r="G709" s="69">
        <f>Table2[[#This Row],[Time Elapsed]]+Table2[[#This Row],[Time Remaining]]</f>
        <v>547</v>
      </c>
      <c r="H709" s="70" t="s">
        <v>862</v>
      </c>
      <c r="I709" s="70" t="s">
        <v>693</v>
      </c>
      <c r="J709" s="188">
        <v>0.2903</v>
      </c>
      <c r="K709" s="189">
        <v>0.21879999999999999</v>
      </c>
      <c r="L709" s="13">
        <f>Table2[[#This Row],[Actual %]]-Table2[[#This Row],[Plan %]]</f>
        <v>-7.1500000000000008E-2</v>
      </c>
      <c r="M709" s="190" t="s">
        <v>287</v>
      </c>
      <c r="N709" s="227">
        <v>45429</v>
      </c>
      <c r="O709" s="227">
        <v>45435</v>
      </c>
      <c r="P709" s="227" t="s">
        <v>796</v>
      </c>
      <c r="Q709" s="198">
        <v>45555</v>
      </c>
      <c r="R709" s="70" t="s">
        <v>879</v>
      </c>
      <c r="S709" s="70" t="s">
        <v>701</v>
      </c>
      <c r="T709" s="191" t="s">
        <v>802</v>
      </c>
      <c r="U709" s="35">
        <v>78077600</v>
      </c>
      <c r="V709" s="36">
        <v>0</v>
      </c>
      <c r="W709" s="36">
        <f>Table2[[#This Row],[Construction Contract Amount]]+Table2[[#This Row],[Cumulative Variations]]</f>
        <v>78077600</v>
      </c>
      <c r="X709" s="36">
        <v>1576709</v>
      </c>
      <c r="Y709" s="201">
        <v>0</v>
      </c>
      <c r="Z709" s="36">
        <f>Table2[[#This Row],[Final Contract Value]]+Table2[[#This Row],[Supervision Contract amount]]+Table2[[#This Row],[Authority Cost]]</f>
        <v>79654309</v>
      </c>
      <c r="AA709" s="36">
        <v>10862786.894588601</v>
      </c>
      <c r="AB709" s="36">
        <v>180000</v>
      </c>
      <c r="AC709" s="102" t="str">
        <f t="shared" ref="AC709:AC740" si="45">CONCATENATE("https://drive.google.com/thumbnail?id=", MID(AD709, FIND("/d/", AD709) + 3, FIND("/view", AD709) - FIND("/d/", AD709) - 3), "&amp;sz=w1000")</f>
        <v>https://drive.google.com/thumbnail?id=13q2lrMXyrD-jFwOUSAmyXAyHguPjfyop&amp;sz=w1000</v>
      </c>
      <c r="AD709" s="90" t="s">
        <v>893</v>
      </c>
      <c r="AE709" s="103" t="str">
        <f t="shared" ref="AE709:AE740" si="46">CONCATENATE("https://drive.google.com/thumbnail?id=", MID(AF709, FIND("/d/", AF709) + 3, FIND("/view", AF709) - FIND("/d/", AF709) - 3), "&amp;sz=w1000")</f>
        <v>https://drive.google.com/thumbnail?id=1oGYK0VIxvZWojb4mGJZZsBVC1SfDMY6y&amp;sz=w1000</v>
      </c>
      <c r="AF709" s="90" t="s">
        <v>908</v>
      </c>
      <c r="AG709" s="90" t="str">
        <f t="shared" ref="AG709:AG740" si="47">CONCATENATE("https://drive.google.com/thumbnail?id=", MID(AH709, FIND("/d/", AH709) + 3, FIND("/view", AH709) - FIND("/d/", AH709) - 3), "&amp;sz=w1000")</f>
        <v>https://drive.google.com/thumbnail?id=1QZ18QaTmJF4nT-dAtMgJlTUA-K3sOYAQ&amp;sz=w1000</v>
      </c>
      <c r="AH709" s="90" t="s">
        <v>923</v>
      </c>
    </row>
    <row r="710" spans="1:34" ht="22.15" customHeight="1">
      <c r="A710" s="30">
        <v>45548</v>
      </c>
      <c r="B710" s="2" t="s">
        <v>260</v>
      </c>
      <c r="C710" s="2" t="s">
        <v>262</v>
      </c>
      <c r="D710" s="16" t="str" cm="1">
        <f t="array" ref="D710">_xlfn.XLOOKUP(1, (Table1[Project Name]=Table2[[#This Row],[Project ID]])*(Table1[Plot]=Table2[[#This Row],[Plot]]), Table1[Project ID])</f>
        <v>SC-06</v>
      </c>
      <c r="E710" s="69">
        <v>362</v>
      </c>
      <c r="F710" s="70">
        <v>185</v>
      </c>
      <c r="G710" s="69">
        <f>Table2[[#This Row],[Time Elapsed]]+Table2[[#This Row],[Time Remaining]]</f>
        <v>547</v>
      </c>
      <c r="H710" s="70" t="s">
        <v>862</v>
      </c>
      <c r="I710" s="70" t="s">
        <v>693</v>
      </c>
      <c r="J710" s="188">
        <v>0.2903</v>
      </c>
      <c r="K710" s="189">
        <v>0.21879999999999999</v>
      </c>
      <c r="L710" s="13">
        <f>Table2[[#This Row],[Actual %]]-Table2[[#This Row],[Plan %]]</f>
        <v>-7.1500000000000008E-2</v>
      </c>
      <c r="M710" s="190" t="s">
        <v>703</v>
      </c>
      <c r="N710" s="227">
        <v>45510</v>
      </c>
      <c r="O710" s="227" t="s">
        <v>796</v>
      </c>
      <c r="P710" s="227">
        <v>45562</v>
      </c>
      <c r="Q710" s="198">
        <v>45555</v>
      </c>
      <c r="R710" s="70" t="s">
        <v>879</v>
      </c>
      <c r="S710" s="70" t="s">
        <v>701</v>
      </c>
      <c r="T710" s="191" t="s">
        <v>802</v>
      </c>
      <c r="U710" s="35">
        <v>78077600</v>
      </c>
      <c r="V710" s="36">
        <v>0</v>
      </c>
      <c r="W710" s="36">
        <f>Table2[[#This Row],[Construction Contract Amount]]+Table2[[#This Row],[Cumulative Variations]]</f>
        <v>78077600</v>
      </c>
      <c r="X710" s="36">
        <v>1576709</v>
      </c>
      <c r="Y710" s="201">
        <v>0</v>
      </c>
      <c r="Z710" s="36">
        <f>Table2[[#This Row],[Final Contract Value]]+Table2[[#This Row],[Supervision Contract amount]]+Table2[[#This Row],[Authority Cost]]</f>
        <v>79654309</v>
      </c>
      <c r="AA710" s="36">
        <v>10862786.894588601</v>
      </c>
      <c r="AB710" s="36">
        <v>180000</v>
      </c>
      <c r="AC710" s="102" t="str">
        <f t="shared" si="45"/>
        <v>https://drive.google.com/thumbnail?id=13q2lrMXyrD-jFwOUSAmyXAyHguPjfyop&amp;sz=w1000</v>
      </c>
      <c r="AD710" s="90" t="s">
        <v>893</v>
      </c>
      <c r="AE710" s="103" t="str">
        <f t="shared" si="46"/>
        <v>https://drive.google.com/thumbnail?id=1oGYK0VIxvZWojb4mGJZZsBVC1SfDMY6y&amp;sz=w1000</v>
      </c>
      <c r="AF710" s="90" t="s">
        <v>908</v>
      </c>
      <c r="AG710" s="90" t="str">
        <f t="shared" si="47"/>
        <v>https://drive.google.com/thumbnail?id=1QZ18QaTmJF4nT-dAtMgJlTUA-K3sOYAQ&amp;sz=w1000</v>
      </c>
      <c r="AH710" s="90" t="s">
        <v>923</v>
      </c>
    </row>
    <row r="711" spans="1:34" ht="22.15" customHeight="1">
      <c r="A711" s="30">
        <v>45548</v>
      </c>
      <c r="B711" s="2" t="s">
        <v>260</v>
      </c>
      <c r="C711" s="2" t="s">
        <v>262</v>
      </c>
      <c r="D711" s="16" t="str" cm="1">
        <f t="array" ref="D711">_xlfn.XLOOKUP(1, (Table1[Project Name]=Table2[[#This Row],[Project ID]])*(Table1[Plot]=Table2[[#This Row],[Plot]]), Table1[Project ID])</f>
        <v>SC-06</v>
      </c>
      <c r="E711" s="69">
        <v>362</v>
      </c>
      <c r="F711" s="70">
        <v>185</v>
      </c>
      <c r="G711" s="69">
        <f>Table2[[#This Row],[Time Elapsed]]+Table2[[#This Row],[Time Remaining]]</f>
        <v>547</v>
      </c>
      <c r="H711" s="70" t="s">
        <v>862</v>
      </c>
      <c r="I711" s="70" t="s">
        <v>693</v>
      </c>
      <c r="J711" s="188">
        <v>0.2903</v>
      </c>
      <c r="K711" s="189">
        <v>0.21879999999999999</v>
      </c>
      <c r="L711" s="13">
        <f>Table2[[#This Row],[Actual %]]-Table2[[#This Row],[Plan %]]</f>
        <v>-7.1500000000000008E-2</v>
      </c>
      <c r="M711" s="190" t="s">
        <v>704</v>
      </c>
      <c r="N711" s="227">
        <v>45603</v>
      </c>
      <c r="O711" s="227" t="s">
        <v>796</v>
      </c>
      <c r="P711" s="227">
        <v>45594</v>
      </c>
      <c r="Q711" s="198">
        <v>45555</v>
      </c>
      <c r="R711" s="70" t="s">
        <v>879</v>
      </c>
      <c r="S711" s="70" t="s">
        <v>701</v>
      </c>
      <c r="T711" s="191" t="s">
        <v>802</v>
      </c>
      <c r="U711" s="35">
        <v>78077600</v>
      </c>
      <c r="V711" s="36">
        <v>0</v>
      </c>
      <c r="W711" s="36">
        <f>Table2[[#This Row],[Construction Contract Amount]]+Table2[[#This Row],[Cumulative Variations]]</f>
        <v>78077600</v>
      </c>
      <c r="X711" s="36">
        <v>1576709</v>
      </c>
      <c r="Y711" s="201">
        <v>0</v>
      </c>
      <c r="Z711" s="36">
        <f>Table2[[#This Row],[Final Contract Value]]+Table2[[#This Row],[Supervision Contract amount]]+Table2[[#This Row],[Authority Cost]]</f>
        <v>79654309</v>
      </c>
      <c r="AA711" s="36">
        <v>10862786.894588601</v>
      </c>
      <c r="AB711" s="36">
        <v>180000</v>
      </c>
      <c r="AC711" s="102" t="str">
        <f t="shared" si="45"/>
        <v>https://drive.google.com/thumbnail?id=13q2lrMXyrD-jFwOUSAmyXAyHguPjfyop&amp;sz=w1000</v>
      </c>
      <c r="AD711" s="90" t="s">
        <v>893</v>
      </c>
      <c r="AE711" s="103" t="str">
        <f t="shared" si="46"/>
        <v>https://drive.google.com/thumbnail?id=1oGYK0VIxvZWojb4mGJZZsBVC1SfDMY6y&amp;sz=w1000</v>
      </c>
      <c r="AF711" s="90" t="s">
        <v>908</v>
      </c>
      <c r="AG711" s="90" t="str">
        <f t="shared" si="47"/>
        <v>https://drive.google.com/thumbnail?id=1QZ18QaTmJF4nT-dAtMgJlTUA-K3sOYAQ&amp;sz=w1000</v>
      </c>
      <c r="AH711" s="90" t="s">
        <v>923</v>
      </c>
    </row>
    <row r="712" spans="1:34" ht="22.15" customHeight="1">
      <c r="A712" s="30">
        <v>45548</v>
      </c>
      <c r="B712" s="2" t="s">
        <v>260</v>
      </c>
      <c r="C712" s="2" t="s">
        <v>262</v>
      </c>
      <c r="D712" s="16" t="str" cm="1">
        <f t="array" ref="D712">_xlfn.XLOOKUP(1, (Table1[Project Name]=Table2[[#This Row],[Project ID]])*(Table1[Plot]=Table2[[#This Row],[Plot]]), Table1[Project ID])</f>
        <v>SC-06</v>
      </c>
      <c r="E712" s="69">
        <v>362</v>
      </c>
      <c r="F712" s="70">
        <v>185</v>
      </c>
      <c r="G712" s="69">
        <f>Table2[[#This Row],[Time Elapsed]]+Table2[[#This Row],[Time Remaining]]</f>
        <v>547</v>
      </c>
      <c r="H712" s="70" t="s">
        <v>862</v>
      </c>
      <c r="I712" s="70" t="s">
        <v>693</v>
      </c>
      <c r="J712" s="188">
        <v>0.2903</v>
      </c>
      <c r="K712" s="189">
        <v>0.21879999999999999</v>
      </c>
      <c r="L712" s="13">
        <f>Table2[[#This Row],[Actual %]]-Table2[[#This Row],[Plan %]]</f>
        <v>-7.1500000000000008E-2</v>
      </c>
      <c r="M712" s="190" t="s">
        <v>705</v>
      </c>
      <c r="N712" s="227">
        <v>45510</v>
      </c>
      <c r="O712" s="227">
        <v>45486</v>
      </c>
      <c r="P712" s="227" t="s">
        <v>796</v>
      </c>
      <c r="Q712" s="198">
        <v>45555</v>
      </c>
      <c r="R712" s="70" t="s">
        <v>879</v>
      </c>
      <c r="S712" s="70" t="s">
        <v>701</v>
      </c>
      <c r="T712" s="191" t="s">
        <v>802</v>
      </c>
      <c r="U712" s="35">
        <v>78077600</v>
      </c>
      <c r="V712" s="36">
        <v>0</v>
      </c>
      <c r="W712" s="36">
        <f>Table2[[#This Row],[Construction Contract Amount]]+Table2[[#This Row],[Cumulative Variations]]</f>
        <v>78077600</v>
      </c>
      <c r="X712" s="36">
        <v>1576709</v>
      </c>
      <c r="Y712" s="201">
        <v>0</v>
      </c>
      <c r="Z712" s="36">
        <f>Table2[[#This Row],[Final Contract Value]]+Table2[[#This Row],[Supervision Contract amount]]+Table2[[#This Row],[Authority Cost]]</f>
        <v>79654309</v>
      </c>
      <c r="AA712" s="36">
        <v>10862786.894588601</v>
      </c>
      <c r="AB712" s="36">
        <v>180000</v>
      </c>
      <c r="AC712" s="102" t="str">
        <f t="shared" si="45"/>
        <v>https://drive.google.com/thumbnail?id=13q2lrMXyrD-jFwOUSAmyXAyHguPjfyop&amp;sz=w1000</v>
      </c>
      <c r="AD712" s="90" t="s">
        <v>893</v>
      </c>
      <c r="AE712" s="103" t="str">
        <f t="shared" si="46"/>
        <v>https://drive.google.com/thumbnail?id=1oGYK0VIxvZWojb4mGJZZsBVC1SfDMY6y&amp;sz=w1000</v>
      </c>
      <c r="AF712" s="90" t="s">
        <v>908</v>
      </c>
      <c r="AG712" s="90" t="str">
        <f t="shared" si="47"/>
        <v>https://drive.google.com/thumbnail?id=1QZ18QaTmJF4nT-dAtMgJlTUA-K3sOYAQ&amp;sz=w1000</v>
      </c>
      <c r="AH712" s="90" t="s">
        <v>923</v>
      </c>
    </row>
    <row r="713" spans="1:34" ht="22.15" customHeight="1">
      <c r="A713" s="30">
        <v>45548</v>
      </c>
      <c r="B713" s="2" t="s">
        <v>260</v>
      </c>
      <c r="C713" s="2" t="s">
        <v>262</v>
      </c>
      <c r="D713" s="16" t="str" cm="1">
        <f t="array" ref="D713">_xlfn.XLOOKUP(1, (Table1[Project Name]=Table2[[#This Row],[Project ID]])*(Table1[Plot]=Table2[[#This Row],[Plot]]), Table1[Project ID])</f>
        <v>SC-06</v>
      </c>
      <c r="E713" s="69">
        <v>362</v>
      </c>
      <c r="F713" s="70">
        <v>185</v>
      </c>
      <c r="G713" s="69">
        <f>Table2[[#This Row],[Time Elapsed]]+Table2[[#This Row],[Time Remaining]]</f>
        <v>547</v>
      </c>
      <c r="H713" s="70" t="s">
        <v>862</v>
      </c>
      <c r="I713" s="70" t="s">
        <v>693</v>
      </c>
      <c r="J713" s="188">
        <v>0.2903</v>
      </c>
      <c r="K713" s="189">
        <v>0.21879999999999999</v>
      </c>
      <c r="L713" s="13">
        <f>Table2[[#This Row],[Actual %]]-Table2[[#This Row],[Plan %]]</f>
        <v>-7.1500000000000008E-2</v>
      </c>
      <c r="M713" s="190" t="s">
        <v>706</v>
      </c>
      <c r="N713" s="227">
        <v>45596</v>
      </c>
      <c r="O713" s="227" t="s">
        <v>796</v>
      </c>
      <c r="P713" s="227">
        <v>45597</v>
      </c>
      <c r="Q713" s="198">
        <v>45555</v>
      </c>
      <c r="R713" s="70" t="s">
        <v>879</v>
      </c>
      <c r="S713" s="70" t="s">
        <v>701</v>
      </c>
      <c r="T713" s="191" t="s">
        <v>802</v>
      </c>
      <c r="U713" s="35">
        <v>78077600</v>
      </c>
      <c r="V713" s="36">
        <v>0</v>
      </c>
      <c r="W713" s="36">
        <f>Table2[[#This Row],[Construction Contract Amount]]+Table2[[#This Row],[Cumulative Variations]]</f>
        <v>78077600</v>
      </c>
      <c r="X713" s="36">
        <v>1576709</v>
      </c>
      <c r="Y713" s="201">
        <v>0</v>
      </c>
      <c r="Z713" s="36">
        <f>Table2[[#This Row],[Final Contract Value]]+Table2[[#This Row],[Supervision Contract amount]]+Table2[[#This Row],[Authority Cost]]</f>
        <v>79654309</v>
      </c>
      <c r="AA713" s="36">
        <v>10862786.894588601</v>
      </c>
      <c r="AB713" s="36">
        <v>180000</v>
      </c>
      <c r="AC713" s="102" t="str">
        <f t="shared" si="45"/>
        <v>https://drive.google.com/thumbnail?id=13q2lrMXyrD-jFwOUSAmyXAyHguPjfyop&amp;sz=w1000</v>
      </c>
      <c r="AD713" s="90" t="s">
        <v>893</v>
      </c>
      <c r="AE713" s="103" t="str">
        <f t="shared" si="46"/>
        <v>https://drive.google.com/thumbnail?id=1oGYK0VIxvZWojb4mGJZZsBVC1SfDMY6y&amp;sz=w1000</v>
      </c>
      <c r="AF713" s="90" t="s">
        <v>908</v>
      </c>
      <c r="AG713" s="90" t="str">
        <f t="shared" si="47"/>
        <v>https://drive.google.com/thumbnail?id=1QZ18QaTmJF4nT-dAtMgJlTUA-K3sOYAQ&amp;sz=w1000</v>
      </c>
      <c r="AH713" s="90" t="s">
        <v>923</v>
      </c>
    </row>
    <row r="714" spans="1:34" ht="22.15" customHeight="1">
      <c r="A714" s="30">
        <v>45548</v>
      </c>
      <c r="B714" s="2" t="s">
        <v>260</v>
      </c>
      <c r="C714" s="2" t="s">
        <v>262</v>
      </c>
      <c r="D714" s="16" t="str" cm="1">
        <f t="array" ref="D714">_xlfn.XLOOKUP(1, (Table1[Project Name]=Table2[[#This Row],[Project ID]])*(Table1[Plot]=Table2[[#This Row],[Plot]]), Table1[Project ID])</f>
        <v>SC-06</v>
      </c>
      <c r="E714" s="69">
        <v>362</v>
      </c>
      <c r="F714" s="70">
        <v>185</v>
      </c>
      <c r="G714" s="69">
        <f>Table2[[#This Row],[Time Elapsed]]+Table2[[#This Row],[Time Remaining]]</f>
        <v>547</v>
      </c>
      <c r="H714" s="70" t="s">
        <v>862</v>
      </c>
      <c r="I714" s="70" t="s">
        <v>693</v>
      </c>
      <c r="J714" s="188">
        <v>0.2903</v>
      </c>
      <c r="K714" s="189">
        <v>0.21879999999999999</v>
      </c>
      <c r="L714" s="13">
        <f>Table2[[#This Row],[Actual %]]-Table2[[#This Row],[Plan %]]</f>
        <v>-7.1500000000000008E-2</v>
      </c>
      <c r="M714" s="190" t="s">
        <v>280</v>
      </c>
      <c r="N714" s="227">
        <v>45682</v>
      </c>
      <c r="O714" s="227" t="s">
        <v>796</v>
      </c>
      <c r="P714" s="227">
        <v>45783</v>
      </c>
      <c r="Q714" s="198">
        <v>45555</v>
      </c>
      <c r="R714" s="70" t="s">
        <v>879</v>
      </c>
      <c r="S714" s="70" t="s">
        <v>701</v>
      </c>
      <c r="T714" s="191" t="s">
        <v>802</v>
      </c>
      <c r="U714" s="35">
        <v>78077600</v>
      </c>
      <c r="V714" s="36">
        <v>0</v>
      </c>
      <c r="W714" s="36">
        <f>Table2[[#This Row],[Construction Contract Amount]]+Table2[[#This Row],[Cumulative Variations]]</f>
        <v>78077600</v>
      </c>
      <c r="X714" s="36">
        <v>1576709</v>
      </c>
      <c r="Y714" s="201">
        <v>0</v>
      </c>
      <c r="Z714" s="36">
        <f>Table2[[#This Row],[Final Contract Value]]+Table2[[#This Row],[Supervision Contract amount]]+Table2[[#This Row],[Authority Cost]]</f>
        <v>79654309</v>
      </c>
      <c r="AA714" s="36">
        <v>10862786.894588601</v>
      </c>
      <c r="AB714" s="36">
        <v>180000</v>
      </c>
      <c r="AC714" s="102" t="str">
        <f t="shared" si="45"/>
        <v>https://drive.google.com/thumbnail?id=13q2lrMXyrD-jFwOUSAmyXAyHguPjfyop&amp;sz=w1000</v>
      </c>
      <c r="AD714" s="90" t="s">
        <v>893</v>
      </c>
      <c r="AE714" s="103" t="str">
        <f t="shared" si="46"/>
        <v>https://drive.google.com/thumbnail?id=1oGYK0VIxvZWojb4mGJZZsBVC1SfDMY6y&amp;sz=w1000</v>
      </c>
      <c r="AF714" s="90" t="s">
        <v>908</v>
      </c>
      <c r="AG714" s="90" t="str">
        <f t="shared" si="47"/>
        <v>https://drive.google.com/thumbnail?id=1QZ18QaTmJF4nT-dAtMgJlTUA-K3sOYAQ&amp;sz=w1000</v>
      </c>
      <c r="AH714" s="90" t="s">
        <v>923</v>
      </c>
    </row>
    <row r="715" spans="1:34" ht="22.15" customHeight="1">
      <c r="A715" s="30">
        <v>45548</v>
      </c>
      <c r="B715" s="2" t="s">
        <v>260</v>
      </c>
      <c r="C715" s="2" t="s">
        <v>262</v>
      </c>
      <c r="D715" s="16" t="str" cm="1">
        <f t="array" ref="D715">_xlfn.XLOOKUP(1, (Table1[Project Name]=Table2[[#This Row],[Project ID]])*(Table1[Plot]=Table2[[#This Row],[Plot]]), Table1[Project ID])</f>
        <v>SC-06</v>
      </c>
      <c r="E715" s="69">
        <v>362</v>
      </c>
      <c r="F715" s="70">
        <v>185</v>
      </c>
      <c r="G715" s="69">
        <f>Table2[[#This Row],[Time Elapsed]]+Table2[[#This Row],[Time Remaining]]</f>
        <v>547</v>
      </c>
      <c r="H715" s="70" t="s">
        <v>862</v>
      </c>
      <c r="I715" s="70" t="s">
        <v>693</v>
      </c>
      <c r="J715" s="188">
        <v>0.2903</v>
      </c>
      <c r="K715" s="189">
        <v>0.21879999999999999</v>
      </c>
      <c r="L715" s="13">
        <f>Table2[[#This Row],[Actual %]]-Table2[[#This Row],[Plan %]]</f>
        <v>-7.1500000000000008E-2</v>
      </c>
      <c r="M715" s="190" t="s">
        <v>343</v>
      </c>
      <c r="N715" s="227">
        <v>45701</v>
      </c>
      <c r="O715" s="227" t="s">
        <v>796</v>
      </c>
      <c r="P715" s="227">
        <v>45803</v>
      </c>
      <c r="Q715" s="198">
        <v>45555</v>
      </c>
      <c r="R715" s="70" t="s">
        <v>879</v>
      </c>
      <c r="S715" s="70" t="s">
        <v>701</v>
      </c>
      <c r="T715" s="191" t="s">
        <v>802</v>
      </c>
      <c r="U715" s="35">
        <v>78077600</v>
      </c>
      <c r="V715" s="36">
        <v>0</v>
      </c>
      <c r="W715" s="36">
        <f>Table2[[#This Row],[Construction Contract Amount]]+Table2[[#This Row],[Cumulative Variations]]</f>
        <v>78077600</v>
      </c>
      <c r="X715" s="36">
        <v>1576709</v>
      </c>
      <c r="Y715" s="201">
        <v>0</v>
      </c>
      <c r="Z715" s="36">
        <f>Table2[[#This Row],[Final Contract Value]]+Table2[[#This Row],[Supervision Contract amount]]+Table2[[#This Row],[Authority Cost]]</f>
        <v>79654309</v>
      </c>
      <c r="AA715" s="36">
        <v>10862786.894588601</v>
      </c>
      <c r="AB715" s="36">
        <v>180000</v>
      </c>
      <c r="AC715" s="102" t="str">
        <f t="shared" si="45"/>
        <v>https://drive.google.com/thumbnail?id=13q2lrMXyrD-jFwOUSAmyXAyHguPjfyop&amp;sz=w1000</v>
      </c>
      <c r="AD715" s="90" t="s">
        <v>893</v>
      </c>
      <c r="AE715" s="103" t="str">
        <f t="shared" si="46"/>
        <v>https://drive.google.com/thumbnail?id=1oGYK0VIxvZWojb4mGJZZsBVC1SfDMY6y&amp;sz=w1000</v>
      </c>
      <c r="AF715" s="90" t="s">
        <v>908</v>
      </c>
      <c r="AG715" s="90" t="str">
        <f t="shared" si="47"/>
        <v>https://drive.google.com/thumbnail?id=1QZ18QaTmJF4nT-dAtMgJlTUA-K3sOYAQ&amp;sz=w1000</v>
      </c>
      <c r="AH715" s="90" t="s">
        <v>923</v>
      </c>
    </row>
    <row r="716" spans="1:34" ht="22.15" customHeight="1">
      <c r="A716" s="30">
        <v>45548</v>
      </c>
      <c r="B716" s="2" t="s">
        <v>260</v>
      </c>
      <c r="C716" s="2" t="s">
        <v>262</v>
      </c>
      <c r="D716" s="16" t="str" cm="1">
        <f t="array" ref="D716">_xlfn.XLOOKUP(1, (Table1[Project Name]=Table2[[#This Row],[Project ID]])*(Table1[Plot]=Table2[[#This Row],[Plot]]), Table1[Project ID])</f>
        <v>SC-06</v>
      </c>
      <c r="E716" s="69">
        <v>362</v>
      </c>
      <c r="F716" s="70">
        <v>185</v>
      </c>
      <c r="G716" s="69">
        <f>Table2[[#This Row],[Time Elapsed]]+Table2[[#This Row],[Time Remaining]]</f>
        <v>547</v>
      </c>
      <c r="H716" s="70" t="s">
        <v>862</v>
      </c>
      <c r="I716" s="70" t="s">
        <v>693</v>
      </c>
      <c r="J716" s="188">
        <v>0.2903</v>
      </c>
      <c r="K716" s="189">
        <v>0.21879999999999999</v>
      </c>
      <c r="L716" s="13">
        <f>Table2[[#This Row],[Actual %]]-Table2[[#This Row],[Plan %]]</f>
        <v>-7.1500000000000008E-2</v>
      </c>
      <c r="M716" s="190" t="s">
        <v>344</v>
      </c>
      <c r="N716" s="227">
        <v>45720</v>
      </c>
      <c r="O716" s="227" t="s">
        <v>796</v>
      </c>
      <c r="P716" s="227">
        <v>45824</v>
      </c>
      <c r="Q716" s="198">
        <v>45555</v>
      </c>
      <c r="R716" s="70" t="s">
        <v>879</v>
      </c>
      <c r="S716" s="70" t="s">
        <v>701</v>
      </c>
      <c r="T716" s="191" t="s">
        <v>802</v>
      </c>
      <c r="U716" s="35">
        <v>78077600</v>
      </c>
      <c r="V716" s="36">
        <v>0</v>
      </c>
      <c r="W716" s="36">
        <f>Table2[[#This Row],[Construction Contract Amount]]+Table2[[#This Row],[Cumulative Variations]]</f>
        <v>78077600</v>
      </c>
      <c r="X716" s="36">
        <v>1576709</v>
      </c>
      <c r="Y716" s="201">
        <v>0</v>
      </c>
      <c r="Z716" s="36">
        <f>Table2[[#This Row],[Final Contract Value]]+Table2[[#This Row],[Supervision Contract amount]]+Table2[[#This Row],[Authority Cost]]</f>
        <v>79654309</v>
      </c>
      <c r="AA716" s="36">
        <v>10862786.894588601</v>
      </c>
      <c r="AB716" s="36">
        <v>180000</v>
      </c>
      <c r="AC716" s="102" t="str">
        <f t="shared" si="45"/>
        <v>https://drive.google.com/thumbnail?id=13q2lrMXyrD-jFwOUSAmyXAyHguPjfyop&amp;sz=w1000</v>
      </c>
      <c r="AD716" s="90" t="s">
        <v>893</v>
      </c>
      <c r="AE716" s="103" t="str">
        <f t="shared" si="46"/>
        <v>https://drive.google.com/thumbnail?id=1oGYK0VIxvZWojb4mGJZZsBVC1SfDMY6y&amp;sz=w1000</v>
      </c>
      <c r="AF716" s="90" t="s">
        <v>908</v>
      </c>
      <c r="AG716" s="90" t="str">
        <f t="shared" si="47"/>
        <v>https://drive.google.com/thumbnail?id=1QZ18QaTmJF4nT-dAtMgJlTUA-K3sOYAQ&amp;sz=w1000</v>
      </c>
      <c r="AH716" s="90" t="s">
        <v>923</v>
      </c>
    </row>
    <row r="717" spans="1:34" ht="22.15" customHeight="1">
      <c r="A717" s="30">
        <v>45548</v>
      </c>
      <c r="B717" s="2" t="s">
        <v>260</v>
      </c>
      <c r="C717" s="2" t="s">
        <v>262</v>
      </c>
      <c r="D717" s="16" t="str" cm="1">
        <f t="array" ref="D717">_xlfn.XLOOKUP(1, (Table1[Project Name]=Table2[[#This Row],[Project ID]])*(Table1[Plot]=Table2[[#This Row],[Plot]]), Table1[Project ID])</f>
        <v>SC-06</v>
      </c>
      <c r="E717" s="69">
        <v>362</v>
      </c>
      <c r="F717" s="70">
        <v>185</v>
      </c>
      <c r="G717" s="69">
        <f>Table2[[#This Row],[Time Elapsed]]+Table2[[#This Row],[Time Remaining]]</f>
        <v>547</v>
      </c>
      <c r="H717" s="70" t="s">
        <v>862</v>
      </c>
      <c r="I717" s="70" t="s">
        <v>693</v>
      </c>
      <c r="J717" s="188">
        <v>0.2903</v>
      </c>
      <c r="K717" s="189">
        <v>0.21879999999999999</v>
      </c>
      <c r="L717" s="13">
        <f>Table2[[#This Row],[Actual %]]-Table2[[#This Row],[Plan %]]</f>
        <v>-7.1500000000000008E-2</v>
      </c>
      <c r="M717" s="190" t="s">
        <v>302</v>
      </c>
      <c r="N717" s="227">
        <v>45733</v>
      </c>
      <c r="O717" s="227" t="s">
        <v>796</v>
      </c>
      <c r="P717" s="227">
        <v>45838</v>
      </c>
      <c r="Q717" s="198">
        <v>45555</v>
      </c>
      <c r="R717" s="70" t="s">
        <v>879</v>
      </c>
      <c r="S717" s="70" t="s">
        <v>701</v>
      </c>
      <c r="T717" s="191" t="s">
        <v>802</v>
      </c>
      <c r="U717" s="35">
        <v>78077600</v>
      </c>
      <c r="V717" s="36">
        <v>0</v>
      </c>
      <c r="W717" s="36">
        <f>Table2[[#This Row],[Construction Contract Amount]]+Table2[[#This Row],[Cumulative Variations]]</f>
        <v>78077600</v>
      </c>
      <c r="X717" s="36">
        <v>1576709</v>
      </c>
      <c r="Y717" s="201">
        <v>0</v>
      </c>
      <c r="Z717" s="36">
        <f>Table2[[#This Row],[Final Contract Value]]+Table2[[#This Row],[Supervision Contract amount]]+Table2[[#This Row],[Authority Cost]]</f>
        <v>79654309</v>
      </c>
      <c r="AA717" s="36">
        <v>10862786.894588601</v>
      </c>
      <c r="AB717" s="36">
        <v>180000</v>
      </c>
      <c r="AC717" s="102" t="str">
        <f t="shared" si="45"/>
        <v>https://drive.google.com/thumbnail?id=13q2lrMXyrD-jFwOUSAmyXAyHguPjfyop&amp;sz=w1000</v>
      </c>
      <c r="AD717" s="90" t="s">
        <v>893</v>
      </c>
      <c r="AE717" s="103" t="str">
        <f t="shared" si="46"/>
        <v>https://drive.google.com/thumbnail?id=1oGYK0VIxvZWojb4mGJZZsBVC1SfDMY6y&amp;sz=w1000</v>
      </c>
      <c r="AF717" s="90" t="s">
        <v>908</v>
      </c>
      <c r="AG717" s="90" t="str">
        <f t="shared" si="47"/>
        <v>https://drive.google.com/thumbnail?id=1QZ18QaTmJF4nT-dAtMgJlTUA-K3sOYAQ&amp;sz=w1000</v>
      </c>
      <c r="AH717" s="90" t="s">
        <v>923</v>
      </c>
    </row>
    <row r="718" spans="1:34" ht="22.15" customHeight="1">
      <c r="A718" s="30">
        <v>45548</v>
      </c>
      <c r="B718" s="2" t="s">
        <v>264</v>
      </c>
      <c r="C718" s="2" t="s">
        <v>266</v>
      </c>
      <c r="D718" s="16" t="str" cm="1">
        <f t="array" ref="D718">_xlfn.XLOOKUP(1, (Table1[Project Name]=Table2[[#This Row],[Project ID]])*(Table1[Plot]=Table2[[#This Row],[Plot]]), Table1[Project ID])</f>
        <v>SC-07</v>
      </c>
      <c r="E718" s="69">
        <v>362</v>
      </c>
      <c r="F718" s="70">
        <v>185</v>
      </c>
      <c r="G718" s="69">
        <f>Table2[[#This Row],[Time Elapsed]]+Table2[[#This Row],[Time Remaining]]</f>
        <v>547</v>
      </c>
      <c r="H718" s="70" t="s">
        <v>863</v>
      </c>
      <c r="I718" s="70" t="s">
        <v>693</v>
      </c>
      <c r="J718" s="188">
        <v>0.2903</v>
      </c>
      <c r="K718" s="189">
        <v>0.2621</v>
      </c>
      <c r="L718" s="13">
        <f>Table2[[#This Row],[Actual %]]-Table2[[#This Row],[Plan %]]</f>
        <v>-2.8200000000000003E-2</v>
      </c>
      <c r="M718" s="190" t="s">
        <v>285</v>
      </c>
      <c r="N718" s="227">
        <v>45187</v>
      </c>
      <c r="O718" s="227">
        <v>45195</v>
      </c>
      <c r="P718" s="227" t="s">
        <v>796</v>
      </c>
      <c r="Q718" s="198">
        <v>45555</v>
      </c>
      <c r="R718" s="70" t="s">
        <v>879</v>
      </c>
      <c r="S718" s="70" t="s">
        <v>701</v>
      </c>
      <c r="T718" s="191" t="s">
        <v>803</v>
      </c>
      <c r="U718" s="35">
        <v>78077600</v>
      </c>
      <c r="V718" s="36">
        <v>0</v>
      </c>
      <c r="W718" s="36">
        <f>Table2[[#This Row],[Construction Contract Amount]]+Table2[[#This Row],[Cumulative Variations]]</f>
        <v>78077600</v>
      </c>
      <c r="X718" s="36">
        <v>1576709</v>
      </c>
      <c r="Y718" s="201">
        <v>0</v>
      </c>
      <c r="Z718" s="36">
        <f>Table2[[#This Row],[Final Contract Value]]+Table2[[#This Row],[Supervision Contract amount]]+Table2[[#This Row],[Authority Cost]]</f>
        <v>79654309</v>
      </c>
      <c r="AA718" s="36">
        <v>11500494.390483664</v>
      </c>
      <c r="AB718" s="36">
        <v>180000</v>
      </c>
      <c r="AC718" s="102" t="str">
        <f t="shared" si="45"/>
        <v>https://drive.google.com/thumbnail?id=1xxrE3LPgzlDH2hVcRgO9_8Tj9dwrwVwk&amp;sz=w1000</v>
      </c>
      <c r="AD718" s="90" t="s">
        <v>894</v>
      </c>
      <c r="AE718" s="103" t="str">
        <f t="shared" si="46"/>
        <v>https://drive.google.com/thumbnail?id=1oxqPS_1tBA-gVsLfO5IQXOGLDroKN7-w&amp;sz=w1000</v>
      </c>
      <c r="AF718" s="90" t="s">
        <v>909</v>
      </c>
      <c r="AG718" s="90" t="str">
        <f t="shared" si="47"/>
        <v>https://drive.google.com/thumbnail?id=1m_ZcOGPlgePKQ5iHcOHOG_LcxNkDkiJ-&amp;sz=w1000</v>
      </c>
      <c r="AH718" s="90" t="s">
        <v>924</v>
      </c>
    </row>
    <row r="719" spans="1:34" ht="22.15" customHeight="1">
      <c r="A719" s="30">
        <v>45548</v>
      </c>
      <c r="B719" s="2" t="s">
        <v>264</v>
      </c>
      <c r="C719" s="2" t="s">
        <v>266</v>
      </c>
      <c r="D719" s="16" t="str" cm="1">
        <f t="array" ref="D719">_xlfn.XLOOKUP(1, (Table1[Project Name]=Table2[[#This Row],[Project ID]])*(Table1[Plot]=Table2[[#This Row],[Plot]]), Table1[Project ID])</f>
        <v>SC-07</v>
      </c>
      <c r="E719" s="69">
        <v>362</v>
      </c>
      <c r="F719" s="70">
        <v>185</v>
      </c>
      <c r="G719" s="69">
        <f>Table2[[#This Row],[Time Elapsed]]+Table2[[#This Row],[Time Remaining]]</f>
        <v>547</v>
      </c>
      <c r="H719" s="70" t="s">
        <v>863</v>
      </c>
      <c r="I719" s="70" t="s">
        <v>693</v>
      </c>
      <c r="J719" s="188">
        <v>0.2903</v>
      </c>
      <c r="K719" s="189">
        <v>0.2621</v>
      </c>
      <c r="L719" s="13">
        <f>Table2[[#This Row],[Actual %]]-Table2[[#This Row],[Plan %]]</f>
        <v>-2.8200000000000003E-2</v>
      </c>
      <c r="M719" s="190" t="s">
        <v>51</v>
      </c>
      <c r="N719" s="227">
        <v>45220</v>
      </c>
      <c r="O719" s="227">
        <v>45304</v>
      </c>
      <c r="P719" s="227" t="s">
        <v>796</v>
      </c>
      <c r="Q719" s="198">
        <v>45555</v>
      </c>
      <c r="R719" s="70" t="s">
        <v>879</v>
      </c>
      <c r="S719" s="70" t="s">
        <v>701</v>
      </c>
      <c r="T719" s="191" t="s">
        <v>803</v>
      </c>
      <c r="U719" s="35">
        <v>78077600</v>
      </c>
      <c r="V719" s="36">
        <v>0</v>
      </c>
      <c r="W719" s="36">
        <f>Table2[[#This Row],[Construction Contract Amount]]+Table2[[#This Row],[Cumulative Variations]]</f>
        <v>78077600</v>
      </c>
      <c r="X719" s="36">
        <v>1576709</v>
      </c>
      <c r="Y719" s="201">
        <v>0</v>
      </c>
      <c r="Z719" s="36">
        <f>Table2[[#This Row],[Final Contract Value]]+Table2[[#This Row],[Supervision Contract amount]]+Table2[[#This Row],[Authority Cost]]</f>
        <v>79654309</v>
      </c>
      <c r="AA719" s="36">
        <v>11500494.390483664</v>
      </c>
      <c r="AB719" s="36">
        <v>180000</v>
      </c>
      <c r="AC719" s="102" t="str">
        <f t="shared" si="45"/>
        <v>https://drive.google.com/thumbnail?id=1xxrE3LPgzlDH2hVcRgO9_8Tj9dwrwVwk&amp;sz=w1000</v>
      </c>
      <c r="AD719" s="90" t="s">
        <v>894</v>
      </c>
      <c r="AE719" s="103" t="str">
        <f t="shared" si="46"/>
        <v>https://drive.google.com/thumbnail?id=1oxqPS_1tBA-gVsLfO5IQXOGLDroKN7-w&amp;sz=w1000</v>
      </c>
      <c r="AF719" s="90" t="s">
        <v>909</v>
      </c>
      <c r="AG719" s="90" t="str">
        <f t="shared" si="47"/>
        <v>https://drive.google.com/thumbnail?id=1m_ZcOGPlgePKQ5iHcOHOG_LcxNkDkiJ-&amp;sz=w1000</v>
      </c>
      <c r="AH719" s="90" t="s">
        <v>924</v>
      </c>
    </row>
    <row r="720" spans="1:34" ht="22.15" customHeight="1">
      <c r="A720" s="30">
        <v>45548</v>
      </c>
      <c r="B720" s="2" t="s">
        <v>264</v>
      </c>
      <c r="C720" s="2" t="s">
        <v>266</v>
      </c>
      <c r="D720" s="16" t="str" cm="1">
        <f t="array" ref="D720">_xlfn.XLOOKUP(1, (Table1[Project Name]=Table2[[#This Row],[Project ID]])*(Table1[Plot]=Table2[[#This Row],[Plot]]), Table1[Project ID])</f>
        <v>SC-07</v>
      </c>
      <c r="E720" s="69">
        <v>362</v>
      </c>
      <c r="F720" s="70">
        <v>185</v>
      </c>
      <c r="G720" s="69">
        <f>Table2[[#This Row],[Time Elapsed]]+Table2[[#This Row],[Time Remaining]]</f>
        <v>547</v>
      </c>
      <c r="H720" s="70" t="s">
        <v>863</v>
      </c>
      <c r="I720" s="70" t="s">
        <v>693</v>
      </c>
      <c r="J720" s="188">
        <v>0.2903</v>
      </c>
      <c r="K720" s="189">
        <v>0.2621</v>
      </c>
      <c r="L720" s="13">
        <f>Table2[[#This Row],[Actual %]]-Table2[[#This Row],[Plan %]]</f>
        <v>-2.8200000000000003E-2</v>
      </c>
      <c r="M720" s="190" t="s">
        <v>287</v>
      </c>
      <c r="N720" s="227">
        <v>45429</v>
      </c>
      <c r="O720" s="227">
        <v>45439</v>
      </c>
      <c r="P720" s="227" t="s">
        <v>796</v>
      </c>
      <c r="Q720" s="198">
        <v>45555</v>
      </c>
      <c r="R720" s="70" t="s">
        <v>879</v>
      </c>
      <c r="S720" s="70" t="s">
        <v>701</v>
      </c>
      <c r="T720" s="191" t="s">
        <v>803</v>
      </c>
      <c r="U720" s="35">
        <v>78077600</v>
      </c>
      <c r="V720" s="36">
        <v>0</v>
      </c>
      <c r="W720" s="36">
        <f>Table2[[#This Row],[Construction Contract Amount]]+Table2[[#This Row],[Cumulative Variations]]</f>
        <v>78077600</v>
      </c>
      <c r="X720" s="36">
        <v>1576709</v>
      </c>
      <c r="Y720" s="201">
        <v>0</v>
      </c>
      <c r="Z720" s="36">
        <f>Table2[[#This Row],[Final Contract Value]]+Table2[[#This Row],[Supervision Contract amount]]+Table2[[#This Row],[Authority Cost]]</f>
        <v>79654309</v>
      </c>
      <c r="AA720" s="36">
        <v>11500494.390483664</v>
      </c>
      <c r="AB720" s="36">
        <v>180000</v>
      </c>
      <c r="AC720" s="102" t="str">
        <f t="shared" si="45"/>
        <v>https://drive.google.com/thumbnail?id=1xxrE3LPgzlDH2hVcRgO9_8Tj9dwrwVwk&amp;sz=w1000</v>
      </c>
      <c r="AD720" s="90" t="s">
        <v>894</v>
      </c>
      <c r="AE720" s="103" t="str">
        <f t="shared" si="46"/>
        <v>https://drive.google.com/thumbnail?id=1oxqPS_1tBA-gVsLfO5IQXOGLDroKN7-w&amp;sz=w1000</v>
      </c>
      <c r="AF720" s="90" t="s">
        <v>909</v>
      </c>
      <c r="AG720" s="90" t="str">
        <f t="shared" si="47"/>
        <v>https://drive.google.com/thumbnail?id=1m_ZcOGPlgePKQ5iHcOHOG_LcxNkDkiJ-&amp;sz=w1000</v>
      </c>
      <c r="AH720" s="90" t="s">
        <v>924</v>
      </c>
    </row>
    <row r="721" spans="1:34" ht="22.15" customHeight="1">
      <c r="A721" s="30">
        <v>45548</v>
      </c>
      <c r="B721" s="2" t="s">
        <v>264</v>
      </c>
      <c r="C721" s="2" t="s">
        <v>266</v>
      </c>
      <c r="D721" s="16" t="str" cm="1">
        <f t="array" ref="D721">_xlfn.XLOOKUP(1, (Table1[Project Name]=Table2[[#This Row],[Project ID]])*(Table1[Plot]=Table2[[#This Row],[Plot]]), Table1[Project ID])</f>
        <v>SC-07</v>
      </c>
      <c r="E721" s="69">
        <v>362</v>
      </c>
      <c r="F721" s="70">
        <v>185</v>
      </c>
      <c r="G721" s="69">
        <f>Table2[[#This Row],[Time Elapsed]]+Table2[[#This Row],[Time Remaining]]</f>
        <v>547</v>
      </c>
      <c r="H721" s="70" t="s">
        <v>863</v>
      </c>
      <c r="I721" s="70" t="s">
        <v>693</v>
      </c>
      <c r="J721" s="188">
        <v>0.2903</v>
      </c>
      <c r="K721" s="189">
        <v>0.2621</v>
      </c>
      <c r="L721" s="13">
        <f>Table2[[#This Row],[Actual %]]-Table2[[#This Row],[Plan %]]</f>
        <v>-2.8200000000000003E-2</v>
      </c>
      <c r="M721" s="190" t="s">
        <v>703</v>
      </c>
      <c r="N721" s="227">
        <v>45510</v>
      </c>
      <c r="O721" s="227">
        <v>45525</v>
      </c>
      <c r="P721" s="227" t="s">
        <v>796</v>
      </c>
      <c r="Q721" s="198">
        <v>45555</v>
      </c>
      <c r="R721" s="70" t="s">
        <v>879</v>
      </c>
      <c r="S721" s="70" t="s">
        <v>701</v>
      </c>
      <c r="T721" s="191" t="s">
        <v>803</v>
      </c>
      <c r="U721" s="35">
        <v>78077600</v>
      </c>
      <c r="V721" s="36">
        <v>0</v>
      </c>
      <c r="W721" s="36">
        <f>Table2[[#This Row],[Construction Contract Amount]]+Table2[[#This Row],[Cumulative Variations]]</f>
        <v>78077600</v>
      </c>
      <c r="X721" s="36">
        <v>1576709</v>
      </c>
      <c r="Y721" s="201">
        <v>0</v>
      </c>
      <c r="Z721" s="36">
        <f>Table2[[#This Row],[Final Contract Value]]+Table2[[#This Row],[Supervision Contract amount]]+Table2[[#This Row],[Authority Cost]]</f>
        <v>79654309</v>
      </c>
      <c r="AA721" s="36">
        <v>11500494.390483664</v>
      </c>
      <c r="AB721" s="36">
        <v>180000</v>
      </c>
      <c r="AC721" s="102" t="str">
        <f t="shared" si="45"/>
        <v>https://drive.google.com/thumbnail?id=1xxrE3LPgzlDH2hVcRgO9_8Tj9dwrwVwk&amp;sz=w1000</v>
      </c>
      <c r="AD721" s="90" t="s">
        <v>894</v>
      </c>
      <c r="AE721" s="103" t="str">
        <f t="shared" si="46"/>
        <v>https://drive.google.com/thumbnail?id=1oxqPS_1tBA-gVsLfO5IQXOGLDroKN7-w&amp;sz=w1000</v>
      </c>
      <c r="AF721" s="90" t="s">
        <v>909</v>
      </c>
      <c r="AG721" s="90" t="str">
        <f t="shared" si="47"/>
        <v>https://drive.google.com/thumbnail?id=1m_ZcOGPlgePKQ5iHcOHOG_LcxNkDkiJ-&amp;sz=w1000</v>
      </c>
      <c r="AH721" s="90" t="s">
        <v>924</v>
      </c>
    </row>
    <row r="722" spans="1:34" ht="22.15" customHeight="1">
      <c r="A722" s="30">
        <v>45548</v>
      </c>
      <c r="B722" s="2" t="s">
        <v>264</v>
      </c>
      <c r="C722" s="2" t="s">
        <v>266</v>
      </c>
      <c r="D722" s="16" t="str" cm="1">
        <f t="array" ref="D722">_xlfn.XLOOKUP(1, (Table1[Project Name]=Table2[[#This Row],[Project ID]])*(Table1[Plot]=Table2[[#This Row],[Plot]]), Table1[Project ID])</f>
        <v>SC-07</v>
      </c>
      <c r="E722" s="69">
        <v>362</v>
      </c>
      <c r="F722" s="70">
        <v>185</v>
      </c>
      <c r="G722" s="69">
        <f>Table2[[#This Row],[Time Elapsed]]+Table2[[#This Row],[Time Remaining]]</f>
        <v>547</v>
      </c>
      <c r="H722" s="70" t="s">
        <v>863</v>
      </c>
      <c r="I722" s="70" t="s">
        <v>693</v>
      </c>
      <c r="J722" s="188">
        <v>0.2903</v>
      </c>
      <c r="K722" s="189">
        <v>0.2621</v>
      </c>
      <c r="L722" s="13">
        <f>Table2[[#This Row],[Actual %]]-Table2[[#This Row],[Plan %]]</f>
        <v>-2.8200000000000003E-2</v>
      </c>
      <c r="M722" s="190" t="s">
        <v>704</v>
      </c>
      <c r="N722" s="227">
        <v>45603</v>
      </c>
      <c r="O722" s="227" t="s">
        <v>796</v>
      </c>
      <c r="P722" s="227">
        <v>45591</v>
      </c>
      <c r="Q722" s="198">
        <v>45555</v>
      </c>
      <c r="R722" s="70" t="s">
        <v>879</v>
      </c>
      <c r="S722" s="70" t="s">
        <v>701</v>
      </c>
      <c r="T722" s="191" t="s">
        <v>803</v>
      </c>
      <c r="U722" s="35">
        <v>78077600</v>
      </c>
      <c r="V722" s="36">
        <v>0</v>
      </c>
      <c r="W722" s="36">
        <f>Table2[[#This Row],[Construction Contract Amount]]+Table2[[#This Row],[Cumulative Variations]]</f>
        <v>78077600</v>
      </c>
      <c r="X722" s="36">
        <v>1576709</v>
      </c>
      <c r="Y722" s="201">
        <v>0</v>
      </c>
      <c r="Z722" s="36">
        <f>Table2[[#This Row],[Final Contract Value]]+Table2[[#This Row],[Supervision Contract amount]]+Table2[[#This Row],[Authority Cost]]</f>
        <v>79654309</v>
      </c>
      <c r="AA722" s="36">
        <v>11500494.390483664</v>
      </c>
      <c r="AB722" s="36">
        <v>180000</v>
      </c>
      <c r="AC722" s="102" t="str">
        <f t="shared" si="45"/>
        <v>https://drive.google.com/thumbnail?id=1xxrE3LPgzlDH2hVcRgO9_8Tj9dwrwVwk&amp;sz=w1000</v>
      </c>
      <c r="AD722" s="90" t="s">
        <v>894</v>
      </c>
      <c r="AE722" s="103" t="str">
        <f t="shared" si="46"/>
        <v>https://drive.google.com/thumbnail?id=1oxqPS_1tBA-gVsLfO5IQXOGLDroKN7-w&amp;sz=w1000</v>
      </c>
      <c r="AF722" s="90" t="s">
        <v>909</v>
      </c>
      <c r="AG722" s="90" t="str">
        <f t="shared" si="47"/>
        <v>https://drive.google.com/thumbnail?id=1m_ZcOGPlgePKQ5iHcOHOG_LcxNkDkiJ-&amp;sz=w1000</v>
      </c>
      <c r="AH722" s="90" t="s">
        <v>924</v>
      </c>
    </row>
    <row r="723" spans="1:34" ht="22.15" customHeight="1">
      <c r="A723" s="30">
        <v>45548</v>
      </c>
      <c r="B723" s="2" t="s">
        <v>264</v>
      </c>
      <c r="C723" s="2" t="s">
        <v>266</v>
      </c>
      <c r="D723" s="16" t="str" cm="1">
        <f t="array" ref="D723">_xlfn.XLOOKUP(1, (Table1[Project Name]=Table2[[#This Row],[Project ID]])*(Table1[Plot]=Table2[[#This Row],[Plot]]), Table1[Project ID])</f>
        <v>SC-07</v>
      </c>
      <c r="E723" s="69">
        <v>362</v>
      </c>
      <c r="F723" s="70">
        <v>185</v>
      </c>
      <c r="G723" s="69">
        <f>Table2[[#This Row],[Time Elapsed]]+Table2[[#This Row],[Time Remaining]]</f>
        <v>547</v>
      </c>
      <c r="H723" s="70" t="s">
        <v>863</v>
      </c>
      <c r="I723" s="70" t="s">
        <v>693</v>
      </c>
      <c r="J723" s="188">
        <v>0.2903</v>
      </c>
      <c r="K723" s="189">
        <v>0.2621</v>
      </c>
      <c r="L723" s="13">
        <f>Table2[[#This Row],[Actual %]]-Table2[[#This Row],[Plan %]]</f>
        <v>-2.8200000000000003E-2</v>
      </c>
      <c r="M723" s="190" t="s">
        <v>705</v>
      </c>
      <c r="N723" s="227">
        <v>45510</v>
      </c>
      <c r="O723" s="227">
        <v>45504</v>
      </c>
      <c r="P723" s="227" t="s">
        <v>796</v>
      </c>
      <c r="Q723" s="198">
        <v>45555</v>
      </c>
      <c r="R723" s="70" t="s">
        <v>879</v>
      </c>
      <c r="S723" s="70" t="s">
        <v>701</v>
      </c>
      <c r="T723" s="191" t="s">
        <v>803</v>
      </c>
      <c r="U723" s="35">
        <v>78077600</v>
      </c>
      <c r="V723" s="36">
        <v>0</v>
      </c>
      <c r="W723" s="36">
        <f>Table2[[#This Row],[Construction Contract Amount]]+Table2[[#This Row],[Cumulative Variations]]</f>
        <v>78077600</v>
      </c>
      <c r="X723" s="36">
        <v>1576709</v>
      </c>
      <c r="Y723" s="201">
        <v>0</v>
      </c>
      <c r="Z723" s="36">
        <f>Table2[[#This Row],[Final Contract Value]]+Table2[[#This Row],[Supervision Contract amount]]+Table2[[#This Row],[Authority Cost]]</f>
        <v>79654309</v>
      </c>
      <c r="AA723" s="36">
        <v>11500494.390483664</v>
      </c>
      <c r="AB723" s="36">
        <v>180000</v>
      </c>
      <c r="AC723" s="102" t="str">
        <f t="shared" si="45"/>
        <v>https://drive.google.com/thumbnail?id=1xxrE3LPgzlDH2hVcRgO9_8Tj9dwrwVwk&amp;sz=w1000</v>
      </c>
      <c r="AD723" s="90" t="s">
        <v>894</v>
      </c>
      <c r="AE723" s="103" t="str">
        <f t="shared" si="46"/>
        <v>https://drive.google.com/thumbnail?id=1oxqPS_1tBA-gVsLfO5IQXOGLDroKN7-w&amp;sz=w1000</v>
      </c>
      <c r="AF723" s="90" t="s">
        <v>909</v>
      </c>
      <c r="AG723" s="90" t="str">
        <f t="shared" si="47"/>
        <v>https://drive.google.com/thumbnail?id=1m_ZcOGPlgePKQ5iHcOHOG_LcxNkDkiJ-&amp;sz=w1000</v>
      </c>
      <c r="AH723" s="90" t="s">
        <v>924</v>
      </c>
    </row>
    <row r="724" spans="1:34" ht="22.15" customHeight="1">
      <c r="A724" s="30">
        <v>45548</v>
      </c>
      <c r="B724" s="2" t="s">
        <v>264</v>
      </c>
      <c r="C724" s="2" t="s">
        <v>266</v>
      </c>
      <c r="D724" s="16" t="str" cm="1">
        <f t="array" ref="D724">_xlfn.XLOOKUP(1, (Table1[Project Name]=Table2[[#This Row],[Project ID]])*(Table1[Plot]=Table2[[#This Row],[Plot]]), Table1[Project ID])</f>
        <v>SC-07</v>
      </c>
      <c r="E724" s="69">
        <v>362</v>
      </c>
      <c r="F724" s="70">
        <v>185</v>
      </c>
      <c r="G724" s="69">
        <f>Table2[[#This Row],[Time Elapsed]]+Table2[[#This Row],[Time Remaining]]</f>
        <v>547</v>
      </c>
      <c r="H724" s="70" t="s">
        <v>863</v>
      </c>
      <c r="I724" s="70" t="s">
        <v>693</v>
      </c>
      <c r="J724" s="188">
        <v>0.2903</v>
      </c>
      <c r="K724" s="189">
        <v>0.2621</v>
      </c>
      <c r="L724" s="13">
        <f>Table2[[#This Row],[Actual %]]-Table2[[#This Row],[Plan %]]</f>
        <v>-2.8200000000000003E-2</v>
      </c>
      <c r="M724" s="190" t="s">
        <v>706</v>
      </c>
      <c r="N724" s="227">
        <v>45596</v>
      </c>
      <c r="O724" s="227" t="s">
        <v>796</v>
      </c>
      <c r="P724" s="227">
        <v>45604</v>
      </c>
      <c r="Q724" s="198">
        <v>45555</v>
      </c>
      <c r="R724" s="70" t="s">
        <v>879</v>
      </c>
      <c r="S724" s="70" t="s">
        <v>701</v>
      </c>
      <c r="T724" s="191" t="s">
        <v>803</v>
      </c>
      <c r="U724" s="35">
        <v>78077600</v>
      </c>
      <c r="V724" s="36">
        <v>0</v>
      </c>
      <c r="W724" s="36">
        <f>Table2[[#This Row],[Construction Contract Amount]]+Table2[[#This Row],[Cumulative Variations]]</f>
        <v>78077600</v>
      </c>
      <c r="X724" s="36">
        <v>1576709</v>
      </c>
      <c r="Y724" s="201">
        <v>0</v>
      </c>
      <c r="Z724" s="36">
        <f>Table2[[#This Row],[Final Contract Value]]+Table2[[#This Row],[Supervision Contract amount]]+Table2[[#This Row],[Authority Cost]]</f>
        <v>79654309</v>
      </c>
      <c r="AA724" s="36">
        <v>11500494.390483664</v>
      </c>
      <c r="AB724" s="36">
        <v>180000</v>
      </c>
      <c r="AC724" s="102" t="str">
        <f t="shared" si="45"/>
        <v>https://drive.google.com/thumbnail?id=1xxrE3LPgzlDH2hVcRgO9_8Tj9dwrwVwk&amp;sz=w1000</v>
      </c>
      <c r="AD724" s="90" t="s">
        <v>894</v>
      </c>
      <c r="AE724" s="103" t="str">
        <f t="shared" si="46"/>
        <v>https://drive.google.com/thumbnail?id=1oxqPS_1tBA-gVsLfO5IQXOGLDroKN7-w&amp;sz=w1000</v>
      </c>
      <c r="AF724" s="90" t="s">
        <v>909</v>
      </c>
      <c r="AG724" s="90" t="str">
        <f t="shared" si="47"/>
        <v>https://drive.google.com/thumbnail?id=1m_ZcOGPlgePKQ5iHcOHOG_LcxNkDkiJ-&amp;sz=w1000</v>
      </c>
      <c r="AH724" s="90" t="s">
        <v>924</v>
      </c>
    </row>
    <row r="725" spans="1:34" ht="22.15" customHeight="1">
      <c r="A725" s="30">
        <v>45548</v>
      </c>
      <c r="B725" s="2" t="s">
        <v>264</v>
      </c>
      <c r="C725" s="2" t="s">
        <v>266</v>
      </c>
      <c r="D725" s="16" t="str" cm="1">
        <f t="array" ref="D725">_xlfn.XLOOKUP(1, (Table1[Project Name]=Table2[[#This Row],[Project ID]])*(Table1[Plot]=Table2[[#This Row],[Plot]]), Table1[Project ID])</f>
        <v>SC-07</v>
      </c>
      <c r="E725" s="69">
        <v>362</v>
      </c>
      <c r="F725" s="70">
        <v>185</v>
      </c>
      <c r="G725" s="69">
        <f>Table2[[#This Row],[Time Elapsed]]+Table2[[#This Row],[Time Remaining]]</f>
        <v>547</v>
      </c>
      <c r="H725" s="70" t="s">
        <v>863</v>
      </c>
      <c r="I725" s="70" t="s">
        <v>693</v>
      </c>
      <c r="J725" s="188">
        <v>0.2903</v>
      </c>
      <c r="K725" s="189">
        <v>0.2621</v>
      </c>
      <c r="L725" s="13">
        <f>Table2[[#This Row],[Actual %]]-Table2[[#This Row],[Plan %]]</f>
        <v>-2.8200000000000003E-2</v>
      </c>
      <c r="M725" s="190" t="s">
        <v>280</v>
      </c>
      <c r="N725" s="227">
        <v>45682</v>
      </c>
      <c r="O725" s="227" t="s">
        <v>796</v>
      </c>
      <c r="P725" s="227">
        <v>45783</v>
      </c>
      <c r="Q725" s="198">
        <v>45555</v>
      </c>
      <c r="R725" s="70" t="s">
        <v>879</v>
      </c>
      <c r="S725" s="70" t="s">
        <v>701</v>
      </c>
      <c r="T725" s="191" t="s">
        <v>803</v>
      </c>
      <c r="U725" s="35">
        <v>78077600</v>
      </c>
      <c r="V725" s="36">
        <v>0</v>
      </c>
      <c r="W725" s="36">
        <f>Table2[[#This Row],[Construction Contract Amount]]+Table2[[#This Row],[Cumulative Variations]]</f>
        <v>78077600</v>
      </c>
      <c r="X725" s="36">
        <v>1576709</v>
      </c>
      <c r="Y725" s="201">
        <v>0</v>
      </c>
      <c r="Z725" s="36">
        <f>Table2[[#This Row],[Final Contract Value]]+Table2[[#This Row],[Supervision Contract amount]]+Table2[[#This Row],[Authority Cost]]</f>
        <v>79654309</v>
      </c>
      <c r="AA725" s="36">
        <v>11500494.390483664</v>
      </c>
      <c r="AB725" s="36">
        <v>180000</v>
      </c>
      <c r="AC725" s="102" t="str">
        <f t="shared" si="45"/>
        <v>https://drive.google.com/thumbnail?id=1xxrE3LPgzlDH2hVcRgO9_8Tj9dwrwVwk&amp;sz=w1000</v>
      </c>
      <c r="AD725" s="90" t="s">
        <v>894</v>
      </c>
      <c r="AE725" s="103" t="str">
        <f t="shared" si="46"/>
        <v>https://drive.google.com/thumbnail?id=1oxqPS_1tBA-gVsLfO5IQXOGLDroKN7-w&amp;sz=w1000</v>
      </c>
      <c r="AF725" s="90" t="s">
        <v>909</v>
      </c>
      <c r="AG725" s="90" t="str">
        <f t="shared" si="47"/>
        <v>https://drive.google.com/thumbnail?id=1m_ZcOGPlgePKQ5iHcOHOG_LcxNkDkiJ-&amp;sz=w1000</v>
      </c>
      <c r="AH725" s="90" t="s">
        <v>924</v>
      </c>
    </row>
    <row r="726" spans="1:34" ht="22.15" customHeight="1">
      <c r="A726" s="30">
        <v>45548</v>
      </c>
      <c r="B726" s="2" t="s">
        <v>264</v>
      </c>
      <c r="C726" s="2" t="s">
        <v>266</v>
      </c>
      <c r="D726" s="16" t="str" cm="1">
        <f t="array" ref="D726">_xlfn.XLOOKUP(1, (Table1[Project Name]=Table2[[#This Row],[Project ID]])*(Table1[Plot]=Table2[[#This Row],[Plot]]), Table1[Project ID])</f>
        <v>SC-07</v>
      </c>
      <c r="E726" s="69">
        <v>362</v>
      </c>
      <c r="F726" s="70">
        <v>185</v>
      </c>
      <c r="G726" s="69">
        <f>Table2[[#This Row],[Time Elapsed]]+Table2[[#This Row],[Time Remaining]]</f>
        <v>547</v>
      </c>
      <c r="H726" s="70" t="s">
        <v>863</v>
      </c>
      <c r="I726" s="70" t="s">
        <v>693</v>
      </c>
      <c r="J726" s="188">
        <v>0.2903</v>
      </c>
      <c r="K726" s="189">
        <v>0.2621</v>
      </c>
      <c r="L726" s="13">
        <f>Table2[[#This Row],[Actual %]]-Table2[[#This Row],[Plan %]]</f>
        <v>-2.8200000000000003E-2</v>
      </c>
      <c r="M726" s="190" t="s">
        <v>343</v>
      </c>
      <c r="N726" s="227">
        <v>45701</v>
      </c>
      <c r="O726" s="227" t="s">
        <v>796</v>
      </c>
      <c r="P726" s="227">
        <v>45803</v>
      </c>
      <c r="Q726" s="198">
        <v>45555</v>
      </c>
      <c r="R726" s="70" t="s">
        <v>879</v>
      </c>
      <c r="S726" s="70" t="s">
        <v>701</v>
      </c>
      <c r="T726" s="191" t="s">
        <v>803</v>
      </c>
      <c r="U726" s="35">
        <v>78077600</v>
      </c>
      <c r="V726" s="36">
        <v>0</v>
      </c>
      <c r="W726" s="36">
        <f>Table2[[#This Row],[Construction Contract Amount]]+Table2[[#This Row],[Cumulative Variations]]</f>
        <v>78077600</v>
      </c>
      <c r="X726" s="36">
        <v>1576709</v>
      </c>
      <c r="Y726" s="201">
        <v>0</v>
      </c>
      <c r="Z726" s="36">
        <f>Table2[[#This Row],[Final Contract Value]]+Table2[[#This Row],[Supervision Contract amount]]+Table2[[#This Row],[Authority Cost]]</f>
        <v>79654309</v>
      </c>
      <c r="AA726" s="36">
        <v>11500494.390483664</v>
      </c>
      <c r="AB726" s="36">
        <v>180000</v>
      </c>
      <c r="AC726" s="102" t="str">
        <f t="shared" si="45"/>
        <v>https://drive.google.com/thumbnail?id=1xxrE3LPgzlDH2hVcRgO9_8Tj9dwrwVwk&amp;sz=w1000</v>
      </c>
      <c r="AD726" s="90" t="s">
        <v>894</v>
      </c>
      <c r="AE726" s="103" t="str">
        <f t="shared" si="46"/>
        <v>https://drive.google.com/thumbnail?id=1oxqPS_1tBA-gVsLfO5IQXOGLDroKN7-w&amp;sz=w1000</v>
      </c>
      <c r="AF726" s="90" t="s">
        <v>909</v>
      </c>
      <c r="AG726" s="90" t="str">
        <f t="shared" si="47"/>
        <v>https://drive.google.com/thumbnail?id=1m_ZcOGPlgePKQ5iHcOHOG_LcxNkDkiJ-&amp;sz=w1000</v>
      </c>
      <c r="AH726" s="90" t="s">
        <v>924</v>
      </c>
    </row>
    <row r="727" spans="1:34" ht="22.15" customHeight="1">
      <c r="A727" s="30">
        <v>45548</v>
      </c>
      <c r="B727" s="2" t="s">
        <v>264</v>
      </c>
      <c r="C727" s="2" t="s">
        <v>266</v>
      </c>
      <c r="D727" s="16" t="str" cm="1">
        <f t="array" ref="D727">_xlfn.XLOOKUP(1, (Table1[Project Name]=Table2[[#This Row],[Project ID]])*(Table1[Plot]=Table2[[#This Row],[Plot]]), Table1[Project ID])</f>
        <v>SC-07</v>
      </c>
      <c r="E727" s="69">
        <v>362</v>
      </c>
      <c r="F727" s="70">
        <v>185</v>
      </c>
      <c r="G727" s="69">
        <f>Table2[[#This Row],[Time Elapsed]]+Table2[[#This Row],[Time Remaining]]</f>
        <v>547</v>
      </c>
      <c r="H727" s="70" t="s">
        <v>863</v>
      </c>
      <c r="I727" s="70" t="s">
        <v>693</v>
      </c>
      <c r="J727" s="188">
        <v>0.2903</v>
      </c>
      <c r="K727" s="189">
        <v>0.2621</v>
      </c>
      <c r="L727" s="13">
        <f>Table2[[#This Row],[Actual %]]-Table2[[#This Row],[Plan %]]</f>
        <v>-2.8200000000000003E-2</v>
      </c>
      <c r="M727" s="190" t="s">
        <v>344</v>
      </c>
      <c r="N727" s="227">
        <v>45720</v>
      </c>
      <c r="O727" s="227" t="s">
        <v>796</v>
      </c>
      <c r="P727" s="227">
        <v>45824</v>
      </c>
      <c r="Q727" s="198">
        <v>45555</v>
      </c>
      <c r="R727" s="70" t="s">
        <v>879</v>
      </c>
      <c r="S727" s="70" t="s">
        <v>701</v>
      </c>
      <c r="T727" s="191" t="s">
        <v>803</v>
      </c>
      <c r="U727" s="35">
        <v>78077600</v>
      </c>
      <c r="V727" s="36">
        <v>0</v>
      </c>
      <c r="W727" s="36">
        <f>Table2[[#This Row],[Construction Contract Amount]]+Table2[[#This Row],[Cumulative Variations]]</f>
        <v>78077600</v>
      </c>
      <c r="X727" s="36">
        <v>1576709</v>
      </c>
      <c r="Y727" s="201">
        <v>0</v>
      </c>
      <c r="Z727" s="36">
        <f>Table2[[#This Row],[Final Contract Value]]+Table2[[#This Row],[Supervision Contract amount]]+Table2[[#This Row],[Authority Cost]]</f>
        <v>79654309</v>
      </c>
      <c r="AA727" s="36">
        <v>11500494.390483664</v>
      </c>
      <c r="AB727" s="36">
        <v>180000</v>
      </c>
      <c r="AC727" s="102" t="str">
        <f t="shared" si="45"/>
        <v>https://drive.google.com/thumbnail?id=1xxrE3LPgzlDH2hVcRgO9_8Tj9dwrwVwk&amp;sz=w1000</v>
      </c>
      <c r="AD727" s="90" t="s">
        <v>894</v>
      </c>
      <c r="AE727" s="103" t="str">
        <f t="shared" si="46"/>
        <v>https://drive.google.com/thumbnail?id=1oxqPS_1tBA-gVsLfO5IQXOGLDroKN7-w&amp;sz=w1000</v>
      </c>
      <c r="AF727" s="90" t="s">
        <v>909</v>
      </c>
      <c r="AG727" s="90" t="str">
        <f t="shared" si="47"/>
        <v>https://drive.google.com/thumbnail?id=1m_ZcOGPlgePKQ5iHcOHOG_LcxNkDkiJ-&amp;sz=w1000</v>
      </c>
      <c r="AH727" s="90" t="s">
        <v>924</v>
      </c>
    </row>
    <row r="728" spans="1:34" ht="22.15" customHeight="1">
      <c r="A728" s="30">
        <v>45548</v>
      </c>
      <c r="B728" s="2" t="s">
        <v>264</v>
      </c>
      <c r="C728" s="2" t="s">
        <v>266</v>
      </c>
      <c r="D728" s="16" t="str" cm="1">
        <f t="array" ref="D728">_xlfn.XLOOKUP(1, (Table1[Project Name]=Table2[[#This Row],[Project ID]])*(Table1[Plot]=Table2[[#This Row],[Plot]]), Table1[Project ID])</f>
        <v>SC-07</v>
      </c>
      <c r="E728" s="69">
        <v>362</v>
      </c>
      <c r="F728" s="70">
        <v>185</v>
      </c>
      <c r="G728" s="69">
        <f>Table2[[#This Row],[Time Elapsed]]+Table2[[#This Row],[Time Remaining]]</f>
        <v>547</v>
      </c>
      <c r="H728" s="70" t="s">
        <v>863</v>
      </c>
      <c r="I728" s="70" t="s">
        <v>693</v>
      </c>
      <c r="J728" s="188">
        <v>0.2903</v>
      </c>
      <c r="K728" s="189">
        <v>0.2621</v>
      </c>
      <c r="L728" s="13">
        <f>Table2[[#This Row],[Actual %]]-Table2[[#This Row],[Plan %]]</f>
        <v>-2.8200000000000003E-2</v>
      </c>
      <c r="M728" s="190" t="s">
        <v>302</v>
      </c>
      <c r="N728" s="227">
        <v>45733</v>
      </c>
      <c r="O728" s="227" t="s">
        <v>796</v>
      </c>
      <c r="P728" s="227">
        <v>45838</v>
      </c>
      <c r="Q728" s="198">
        <v>45555</v>
      </c>
      <c r="R728" s="70" t="s">
        <v>879</v>
      </c>
      <c r="S728" s="70" t="s">
        <v>701</v>
      </c>
      <c r="T728" s="191" t="s">
        <v>803</v>
      </c>
      <c r="U728" s="35">
        <v>78077600</v>
      </c>
      <c r="V728" s="36">
        <v>0</v>
      </c>
      <c r="W728" s="36">
        <f>Table2[[#This Row],[Construction Contract Amount]]+Table2[[#This Row],[Cumulative Variations]]</f>
        <v>78077600</v>
      </c>
      <c r="X728" s="36">
        <v>1576709</v>
      </c>
      <c r="Y728" s="201">
        <v>0</v>
      </c>
      <c r="Z728" s="36">
        <f>Table2[[#This Row],[Final Contract Value]]+Table2[[#This Row],[Supervision Contract amount]]+Table2[[#This Row],[Authority Cost]]</f>
        <v>79654309</v>
      </c>
      <c r="AA728" s="36">
        <v>11500494.390483664</v>
      </c>
      <c r="AB728" s="36">
        <v>180000</v>
      </c>
      <c r="AC728" s="102" t="str">
        <f t="shared" si="45"/>
        <v>https://drive.google.com/thumbnail?id=1xxrE3LPgzlDH2hVcRgO9_8Tj9dwrwVwk&amp;sz=w1000</v>
      </c>
      <c r="AD728" s="90" t="s">
        <v>894</v>
      </c>
      <c r="AE728" s="103" t="str">
        <f t="shared" si="46"/>
        <v>https://drive.google.com/thumbnail?id=1oxqPS_1tBA-gVsLfO5IQXOGLDroKN7-w&amp;sz=w1000</v>
      </c>
      <c r="AF728" s="90" t="s">
        <v>909</v>
      </c>
      <c r="AG728" s="90" t="str">
        <f t="shared" si="47"/>
        <v>https://drive.google.com/thumbnail?id=1m_ZcOGPlgePKQ5iHcOHOG_LcxNkDkiJ-&amp;sz=w1000</v>
      </c>
      <c r="AH728" s="90" t="s">
        <v>924</v>
      </c>
    </row>
    <row r="729" spans="1:34" ht="22.15" customHeight="1">
      <c r="A729" s="30">
        <v>45548</v>
      </c>
      <c r="B729" s="2" t="s">
        <v>75</v>
      </c>
      <c r="C729" s="2" t="s">
        <v>78</v>
      </c>
      <c r="D729" s="16" t="str" cm="1">
        <f t="array" ref="D729">_xlfn.XLOOKUP(1, (Table1[Project Name]=Table2[[#This Row],[Project ID]])*(Table1[Plot]=Table2[[#This Row],[Plot]]), Table1[Project ID])</f>
        <v>MJ-04</v>
      </c>
      <c r="E729" s="69">
        <v>110</v>
      </c>
      <c r="F729" s="70">
        <v>620</v>
      </c>
      <c r="G729" s="69">
        <f>Table2[[#This Row],[Time Elapsed]]+Table2[[#This Row],[Time Remaining]]</f>
        <v>730</v>
      </c>
      <c r="H729" s="136" t="s">
        <v>763</v>
      </c>
      <c r="I729" s="136" t="s">
        <v>666</v>
      </c>
      <c r="J729" s="13">
        <v>9.1200000000000003E-2</v>
      </c>
      <c r="K729" s="137">
        <v>9.1200000000000003E-2</v>
      </c>
      <c r="L729" s="13">
        <f>Table2[[#This Row],[Actual %]]-Table2[[#This Row],[Plan %]]</f>
        <v>0</v>
      </c>
      <c r="M729" s="190" t="s">
        <v>28</v>
      </c>
      <c r="N729" s="227">
        <v>45446</v>
      </c>
      <c r="O729" s="227">
        <v>45446</v>
      </c>
      <c r="P729" s="227"/>
      <c r="Q729" s="198">
        <v>45555</v>
      </c>
      <c r="R729" s="70" t="s">
        <v>778</v>
      </c>
      <c r="S729" s="70" t="s">
        <v>880</v>
      </c>
      <c r="T729" s="191" t="s">
        <v>780</v>
      </c>
      <c r="U729" s="35">
        <v>106953287.34999999</v>
      </c>
      <c r="V729" s="36">
        <v>0</v>
      </c>
      <c r="W729" s="36">
        <f>Table2[[#This Row],[Construction Contract Amount]]+Table2[[#This Row],[Cumulative Variations]]</f>
        <v>106953287.34999999</v>
      </c>
      <c r="X729" s="36">
        <v>3824490.97</v>
      </c>
      <c r="Y729" s="201">
        <v>0</v>
      </c>
      <c r="Z729" s="36">
        <f>Table2[[#This Row],[Final Contract Value]]+Table2[[#This Row],[Supervision Contract amount]]+Table2[[#This Row],[Authority Cost]]</f>
        <v>110777778.31999999</v>
      </c>
      <c r="AA729" s="36">
        <v>10680390</v>
      </c>
      <c r="AB729" s="36">
        <v>199302.08</v>
      </c>
      <c r="AC729" s="102" t="str">
        <f t="shared" si="45"/>
        <v>https://drive.google.com/thumbnail?id=1ruM5f-JPXrFoNb6xNaz40ic4CGr2kGvK&amp;sz=w1000</v>
      </c>
      <c r="AD729" s="90" t="s">
        <v>895</v>
      </c>
      <c r="AE729" s="103" t="str">
        <f t="shared" si="46"/>
        <v>https://drive.google.com/thumbnail?id=1Q6MU9kG1fczWg0z99j87JV0I8dZyJDIP&amp;sz=w1000</v>
      </c>
      <c r="AF729" s="90" t="s">
        <v>910</v>
      </c>
      <c r="AG729" s="90" t="str">
        <f t="shared" si="47"/>
        <v>https://drive.google.com/thumbnail?id=1La3JnRLTGosBhQtrjluRdPiS-rya-Lxf&amp;sz=w1000</v>
      </c>
      <c r="AH729" s="90" t="s">
        <v>925</v>
      </c>
    </row>
    <row r="730" spans="1:34" ht="22.15" customHeight="1">
      <c r="A730" s="30">
        <v>45548</v>
      </c>
      <c r="B730" s="2" t="s">
        <v>75</v>
      </c>
      <c r="C730" s="2" t="s">
        <v>78</v>
      </c>
      <c r="D730" s="16" t="str" cm="1">
        <f t="array" ref="D730">_xlfn.XLOOKUP(1, (Table1[Project Name]=Table2[[#This Row],[Project ID]])*(Table1[Plot]=Table2[[#This Row],[Plot]]), Table1[Project ID])</f>
        <v>MJ-04</v>
      </c>
      <c r="E730" s="69">
        <v>110</v>
      </c>
      <c r="F730" s="70">
        <v>620</v>
      </c>
      <c r="G730" s="69">
        <f>Table2[[#This Row],[Time Elapsed]]+Table2[[#This Row],[Time Remaining]]</f>
        <v>730</v>
      </c>
      <c r="H730" s="136" t="s">
        <v>763</v>
      </c>
      <c r="I730" s="136" t="s">
        <v>666</v>
      </c>
      <c r="J730" s="13">
        <v>9.1200000000000003E-2</v>
      </c>
      <c r="K730" s="137">
        <v>9.1200000000000003E-2</v>
      </c>
      <c r="L730" s="13">
        <f>Table2[[#This Row],[Actual %]]-Table2[[#This Row],[Plan %]]</f>
        <v>0</v>
      </c>
      <c r="M730" s="190" t="s">
        <v>50</v>
      </c>
      <c r="N730" s="227">
        <v>45455</v>
      </c>
      <c r="O730" s="227">
        <v>45439</v>
      </c>
      <c r="P730" s="227"/>
      <c r="Q730" s="198">
        <v>45555</v>
      </c>
      <c r="R730" s="70" t="s">
        <v>778</v>
      </c>
      <c r="S730" s="70" t="s">
        <v>880</v>
      </c>
      <c r="T730" s="191" t="s">
        <v>780</v>
      </c>
      <c r="U730" s="35">
        <v>106953287.34999999</v>
      </c>
      <c r="V730" s="36">
        <v>0</v>
      </c>
      <c r="W730" s="36">
        <f>Table2[[#This Row],[Construction Contract Amount]]+Table2[[#This Row],[Cumulative Variations]]</f>
        <v>106953287.34999999</v>
      </c>
      <c r="X730" s="36">
        <v>3824490.97</v>
      </c>
      <c r="Y730" s="201">
        <v>0</v>
      </c>
      <c r="Z730" s="36">
        <f>Table2[[#This Row],[Final Contract Value]]+Table2[[#This Row],[Supervision Contract amount]]+Table2[[#This Row],[Authority Cost]]</f>
        <v>110777778.31999999</v>
      </c>
      <c r="AA730" s="36">
        <v>10680390</v>
      </c>
      <c r="AB730" s="36">
        <v>199302.08</v>
      </c>
      <c r="AC730" s="102" t="str">
        <f t="shared" si="45"/>
        <v>https://drive.google.com/thumbnail?id=1ruM5f-JPXrFoNb6xNaz40ic4CGr2kGvK&amp;sz=w1000</v>
      </c>
      <c r="AD730" s="90" t="s">
        <v>895</v>
      </c>
      <c r="AE730" s="103" t="str">
        <f t="shared" si="46"/>
        <v>https://drive.google.com/thumbnail?id=1Q6MU9kG1fczWg0z99j87JV0I8dZyJDIP&amp;sz=w1000</v>
      </c>
      <c r="AF730" s="90" t="s">
        <v>910</v>
      </c>
      <c r="AG730" s="90" t="str">
        <f t="shared" si="47"/>
        <v>https://drive.google.com/thumbnail?id=1La3JnRLTGosBhQtrjluRdPiS-rya-Lxf&amp;sz=w1000</v>
      </c>
      <c r="AH730" s="90" t="s">
        <v>925</v>
      </c>
    </row>
    <row r="731" spans="1:34" ht="22.15" customHeight="1">
      <c r="A731" s="30">
        <v>45548</v>
      </c>
      <c r="B731" s="2" t="s">
        <v>75</v>
      </c>
      <c r="C731" s="2" t="s">
        <v>78</v>
      </c>
      <c r="D731" s="16" t="str" cm="1">
        <f t="array" ref="D731">_xlfn.XLOOKUP(1, (Table1[Project Name]=Table2[[#This Row],[Project ID]])*(Table1[Plot]=Table2[[#This Row],[Plot]]), Table1[Project ID])</f>
        <v>MJ-04</v>
      </c>
      <c r="E731" s="69">
        <v>110</v>
      </c>
      <c r="F731" s="70">
        <v>620</v>
      </c>
      <c r="G731" s="69">
        <f>Table2[[#This Row],[Time Elapsed]]+Table2[[#This Row],[Time Remaining]]</f>
        <v>730</v>
      </c>
      <c r="H731" s="136" t="s">
        <v>763</v>
      </c>
      <c r="I731" s="136" t="s">
        <v>666</v>
      </c>
      <c r="J731" s="13">
        <v>9.1200000000000003E-2</v>
      </c>
      <c r="K731" s="137">
        <v>9.1200000000000003E-2</v>
      </c>
      <c r="L731" s="13">
        <f>Table2[[#This Row],[Actual %]]-Table2[[#This Row],[Plan %]]</f>
        <v>0</v>
      </c>
      <c r="M731" s="190" t="s">
        <v>51</v>
      </c>
      <c r="N731" s="227">
        <v>45483</v>
      </c>
      <c r="O731" s="227">
        <v>45519</v>
      </c>
      <c r="P731" s="227"/>
      <c r="Q731" s="198">
        <v>45555</v>
      </c>
      <c r="R731" s="70" t="s">
        <v>778</v>
      </c>
      <c r="S731" s="70" t="s">
        <v>880</v>
      </c>
      <c r="T731" s="191" t="s">
        <v>780</v>
      </c>
      <c r="U731" s="35">
        <v>106953287.34999999</v>
      </c>
      <c r="V731" s="36">
        <v>0</v>
      </c>
      <c r="W731" s="36">
        <f>Table2[[#This Row],[Construction Contract Amount]]+Table2[[#This Row],[Cumulative Variations]]</f>
        <v>106953287.34999999</v>
      </c>
      <c r="X731" s="36">
        <v>3824490.97</v>
      </c>
      <c r="Y731" s="201">
        <v>0</v>
      </c>
      <c r="Z731" s="36">
        <f>Table2[[#This Row],[Final Contract Value]]+Table2[[#This Row],[Supervision Contract amount]]+Table2[[#This Row],[Authority Cost]]</f>
        <v>110777778.31999999</v>
      </c>
      <c r="AA731" s="36">
        <v>10680390</v>
      </c>
      <c r="AB731" s="36">
        <v>199302.08</v>
      </c>
      <c r="AC731" s="102" t="str">
        <f t="shared" si="45"/>
        <v>https://drive.google.com/thumbnail?id=1ruM5f-JPXrFoNb6xNaz40ic4CGr2kGvK&amp;sz=w1000</v>
      </c>
      <c r="AD731" s="90" t="s">
        <v>895</v>
      </c>
      <c r="AE731" s="103" t="str">
        <f t="shared" si="46"/>
        <v>https://drive.google.com/thumbnail?id=1Q6MU9kG1fczWg0z99j87JV0I8dZyJDIP&amp;sz=w1000</v>
      </c>
      <c r="AF731" s="90" t="s">
        <v>910</v>
      </c>
      <c r="AG731" s="90" t="str">
        <f t="shared" si="47"/>
        <v>https://drive.google.com/thumbnail?id=1La3JnRLTGosBhQtrjluRdPiS-rya-Lxf&amp;sz=w1000</v>
      </c>
      <c r="AH731" s="90" t="s">
        <v>925</v>
      </c>
    </row>
    <row r="732" spans="1:34" ht="22.15" customHeight="1">
      <c r="A732" s="30">
        <v>45548</v>
      </c>
      <c r="B732" s="2" t="s">
        <v>75</v>
      </c>
      <c r="C732" s="2" t="s">
        <v>78</v>
      </c>
      <c r="D732" s="16" t="str" cm="1">
        <f t="array" ref="D732">_xlfn.XLOOKUP(1, (Table1[Project Name]=Table2[[#This Row],[Project ID]])*(Table1[Plot]=Table2[[#This Row],[Plot]]), Table1[Project ID])</f>
        <v>MJ-04</v>
      </c>
      <c r="E732" s="69">
        <v>110</v>
      </c>
      <c r="F732" s="70">
        <v>620</v>
      </c>
      <c r="G732" s="69">
        <f>Table2[[#This Row],[Time Elapsed]]+Table2[[#This Row],[Time Remaining]]</f>
        <v>730</v>
      </c>
      <c r="H732" s="136" t="s">
        <v>763</v>
      </c>
      <c r="I732" s="136" t="s">
        <v>666</v>
      </c>
      <c r="J732" s="13">
        <v>9.1200000000000003E-2</v>
      </c>
      <c r="K732" s="137">
        <v>9.1200000000000003E-2</v>
      </c>
      <c r="L732" s="13">
        <f>Table2[[#This Row],[Actual %]]-Table2[[#This Row],[Plan %]]</f>
        <v>0</v>
      </c>
      <c r="M732" s="190" t="s">
        <v>275</v>
      </c>
      <c r="N732" s="227">
        <v>45565</v>
      </c>
      <c r="O732" s="227"/>
      <c r="P732" s="227">
        <v>45565</v>
      </c>
      <c r="Q732" s="198">
        <v>45555</v>
      </c>
      <c r="R732" s="70" t="s">
        <v>778</v>
      </c>
      <c r="S732" s="70" t="s">
        <v>880</v>
      </c>
      <c r="T732" s="191" t="s">
        <v>780</v>
      </c>
      <c r="U732" s="35">
        <v>106953287.34999999</v>
      </c>
      <c r="V732" s="36">
        <v>0</v>
      </c>
      <c r="W732" s="36">
        <f>Table2[[#This Row],[Construction Contract Amount]]+Table2[[#This Row],[Cumulative Variations]]</f>
        <v>106953287.34999999</v>
      </c>
      <c r="X732" s="36">
        <v>3824490.97</v>
      </c>
      <c r="Y732" s="201">
        <v>0</v>
      </c>
      <c r="Z732" s="36">
        <f>Table2[[#This Row],[Final Contract Value]]+Table2[[#This Row],[Supervision Contract amount]]+Table2[[#This Row],[Authority Cost]]</f>
        <v>110777778.31999999</v>
      </c>
      <c r="AA732" s="36">
        <v>10680390</v>
      </c>
      <c r="AB732" s="36">
        <v>199302.08</v>
      </c>
      <c r="AC732" s="102" t="str">
        <f t="shared" si="45"/>
        <v>https://drive.google.com/thumbnail?id=1ruM5f-JPXrFoNb6xNaz40ic4CGr2kGvK&amp;sz=w1000</v>
      </c>
      <c r="AD732" s="90" t="s">
        <v>895</v>
      </c>
      <c r="AE732" s="103" t="str">
        <f t="shared" si="46"/>
        <v>https://drive.google.com/thumbnail?id=1Q6MU9kG1fczWg0z99j87JV0I8dZyJDIP&amp;sz=w1000</v>
      </c>
      <c r="AF732" s="90" t="s">
        <v>910</v>
      </c>
      <c r="AG732" s="90" t="str">
        <f t="shared" si="47"/>
        <v>https://drive.google.com/thumbnail?id=1La3JnRLTGosBhQtrjluRdPiS-rya-Lxf&amp;sz=w1000</v>
      </c>
      <c r="AH732" s="90" t="s">
        <v>925</v>
      </c>
    </row>
    <row r="733" spans="1:34" ht="22.15" customHeight="1">
      <c r="A733" s="30">
        <v>45548</v>
      </c>
      <c r="B733" s="2" t="s">
        <v>75</v>
      </c>
      <c r="C733" s="2" t="s">
        <v>78</v>
      </c>
      <c r="D733" s="16" t="str" cm="1">
        <f t="array" ref="D733">_xlfn.XLOOKUP(1, (Table1[Project Name]=Table2[[#This Row],[Project ID]])*(Table1[Plot]=Table2[[#This Row],[Plot]]), Table1[Project ID])</f>
        <v>MJ-04</v>
      </c>
      <c r="E733" s="69">
        <v>110</v>
      </c>
      <c r="F733" s="70">
        <v>620</v>
      </c>
      <c r="G733" s="69">
        <f>Table2[[#This Row],[Time Elapsed]]+Table2[[#This Row],[Time Remaining]]</f>
        <v>730</v>
      </c>
      <c r="H733" s="136" t="s">
        <v>763</v>
      </c>
      <c r="I733" s="136" t="s">
        <v>666</v>
      </c>
      <c r="J733" s="13">
        <v>9.1200000000000003E-2</v>
      </c>
      <c r="K733" s="137">
        <v>9.1200000000000003E-2</v>
      </c>
      <c r="L733" s="13">
        <f>Table2[[#This Row],[Actual %]]-Table2[[#This Row],[Plan %]]</f>
        <v>0</v>
      </c>
      <c r="M733" s="190" t="s">
        <v>276</v>
      </c>
      <c r="N733" s="227">
        <v>45626</v>
      </c>
      <c r="O733" s="227"/>
      <c r="P733" s="227">
        <v>45626</v>
      </c>
      <c r="Q733" s="198">
        <v>45555</v>
      </c>
      <c r="R733" s="70" t="s">
        <v>778</v>
      </c>
      <c r="S733" s="70" t="s">
        <v>880</v>
      </c>
      <c r="T733" s="191" t="s">
        <v>780</v>
      </c>
      <c r="U733" s="35">
        <v>106953287.34999999</v>
      </c>
      <c r="V733" s="36">
        <v>0</v>
      </c>
      <c r="W733" s="36">
        <f>Table2[[#This Row],[Construction Contract Amount]]+Table2[[#This Row],[Cumulative Variations]]</f>
        <v>106953287.34999999</v>
      </c>
      <c r="X733" s="36">
        <v>3824490.97</v>
      </c>
      <c r="Y733" s="201">
        <v>0</v>
      </c>
      <c r="Z733" s="36">
        <f>Table2[[#This Row],[Final Contract Value]]+Table2[[#This Row],[Supervision Contract amount]]+Table2[[#This Row],[Authority Cost]]</f>
        <v>110777778.31999999</v>
      </c>
      <c r="AA733" s="36">
        <v>10680390</v>
      </c>
      <c r="AB733" s="36">
        <v>199302.08</v>
      </c>
      <c r="AC733" s="102" t="str">
        <f t="shared" si="45"/>
        <v>https://drive.google.com/thumbnail?id=1ruM5f-JPXrFoNb6xNaz40ic4CGr2kGvK&amp;sz=w1000</v>
      </c>
      <c r="AD733" s="90" t="s">
        <v>895</v>
      </c>
      <c r="AE733" s="103" t="str">
        <f t="shared" si="46"/>
        <v>https://drive.google.com/thumbnail?id=1Q6MU9kG1fczWg0z99j87JV0I8dZyJDIP&amp;sz=w1000</v>
      </c>
      <c r="AF733" s="90" t="s">
        <v>910</v>
      </c>
      <c r="AG733" s="90" t="str">
        <f t="shared" si="47"/>
        <v>https://drive.google.com/thumbnail?id=1La3JnRLTGosBhQtrjluRdPiS-rya-Lxf&amp;sz=w1000</v>
      </c>
      <c r="AH733" s="90" t="s">
        <v>925</v>
      </c>
    </row>
    <row r="734" spans="1:34" ht="22.15" customHeight="1">
      <c r="A734" s="30">
        <v>45548</v>
      </c>
      <c r="B734" s="2" t="s">
        <v>75</v>
      </c>
      <c r="C734" s="2" t="s">
        <v>78</v>
      </c>
      <c r="D734" s="16" t="str" cm="1">
        <f t="array" ref="D734">_xlfn.XLOOKUP(1, (Table1[Project Name]=Table2[[#This Row],[Project ID]])*(Table1[Plot]=Table2[[#This Row],[Plot]]), Table1[Project ID])</f>
        <v>MJ-04</v>
      </c>
      <c r="E734" s="69">
        <v>110</v>
      </c>
      <c r="F734" s="70">
        <v>620</v>
      </c>
      <c r="G734" s="69">
        <f>Table2[[#This Row],[Time Elapsed]]+Table2[[#This Row],[Time Remaining]]</f>
        <v>730</v>
      </c>
      <c r="H734" s="136" t="s">
        <v>763</v>
      </c>
      <c r="I734" s="136" t="s">
        <v>666</v>
      </c>
      <c r="J734" s="13">
        <v>9.1200000000000003E-2</v>
      </c>
      <c r="K734" s="137">
        <v>9.1200000000000003E-2</v>
      </c>
      <c r="L734" s="13">
        <f>Table2[[#This Row],[Actual %]]-Table2[[#This Row],[Plan %]]</f>
        <v>0</v>
      </c>
      <c r="M734" s="190" t="s">
        <v>277</v>
      </c>
      <c r="N734" s="227">
        <v>45701</v>
      </c>
      <c r="O734" s="227"/>
      <c r="P734" s="227">
        <v>45701</v>
      </c>
      <c r="Q734" s="198">
        <v>45555</v>
      </c>
      <c r="R734" s="70" t="s">
        <v>778</v>
      </c>
      <c r="S734" s="70" t="s">
        <v>880</v>
      </c>
      <c r="T734" s="191" t="s">
        <v>780</v>
      </c>
      <c r="U734" s="35">
        <v>106953287.34999999</v>
      </c>
      <c r="V734" s="36">
        <v>0</v>
      </c>
      <c r="W734" s="36">
        <f>Table2[[#This Row],[Construction Contract Amount]]+Table2[[#This Row],[Cumulative Variations]]</f>
        <v>106953287.34999999</v>
      </c>
      <c r="X734" s="36">
        <v>3824490.97</v>
      </c>
      <c r="Y734" s="201">
        <v>0</v>
      </c>
      <c r="Z734" s="36">
        <f>Table2[[#This Row],[Final Contract Value]]+Table2[[#This Row],[Supervision Contract amount]]+Table2[[#This Row],[Authority Cost]]</f>
        <v>110777778.31999999</v>
      </c>
      <c r="AA734" s="36">
        <v>10680390</v>
      </c>
      <c r="AB734" s="36">
        <v>199302.08</v>
      </c>
      <c r="AC734" s="102" t="str">
        <f t="shared" si="45"/>
        <v>https://drive.google.com/thumbnail?id=1ruM5f-JPXrFoNb6xNaz40ic4CGr2kGvK&amp;sz=w1000</v>
      </c>
      <c r="AD734" s="90" t="s">
        <v>895</v>
      </c>
      <c r="AE734" s="103" t="str">
        <f t="shared" si="46"/>
        <v>https://drive.google.com/thumbnail?id=1Q6MU9kG1fczWg0z99j87JV0I8dZyJDIP&amp;sz=w1000</v>
      </c>
      <c r="AF734" s="90" t="s">
        <v>910</v>
      </c>
      <c r="AG734" s="90" t="str">
        <f t="shared" si="47"/>
        <v>https://drive.google.com/thumbnail?id=1La3JnRLTGosBhQtrjluRdPiS-rya-Lxf&amp;sz=w1000</v>
      </c>
      <c r="AH734" s="90" t="s">
        <v>925</v>
      </c>
    </row>
    <row r="735" spans="1:34" ht="22.15" customHeight="1">
      <c r="A735" s="30">
        <v>45548</v>
      </c>
      <c r="B735" s="2" t="s">
        <v>75</v>
      </c>
      <c r="C735" s="2" t="s">
        <v>78</v>
      </c>
      <c r="D735" s="16" t="str" cm="1">
        <f t="array" ref="D735">_xlfn.XLOOKUP(1, (Table1[Project Name]=Table2[[#This Row],[Project ID]])*(Table1[Plot]=Table2[[#This Row],[Plot]]), Table1[Project ID])</f>
        <v>MJ-04</v>
      </c>
      <c r="E735" s="69">
        <v>110</v>
      </c>
      <c r="F735" s="70">
        <v>620</v>
      </c>
      <c r="G735" s="69">
        <f>Table2[[#This Row],[Time Elapsed]]+Table2[[#This Row],[Time Remaining]]</f>
        <v>730</v>
      </c>
      <c r="H735" s="136" t="s">
        <v>763</v>
      </c>
      <c r="I735" s="136" t="s">
        <v>666</v>
      </c>
      <c r="J735" s="13">
        <v>9.1200000000000003E-2</v>
      </c>
      <c r="K735" s="137">
        <v>9.1200000000000003E-2</v>
      </c>
      <c r="L735" s="13">
        <f>Table2[[#This Row],[Actual %]]-Table2[[#This Row],[Plan %]]</f>
        <v>0</v>
      </c>
      <c r="M735" s="190" t="s">
        <v>278</v>
      </c>
      <c r="N735" s="227">
        <v>45858</v>
      </c>
      <c r="O735" s="227"/>
      <c r="P735" s="227">
        <v>45858</v>
      </c>
      <c r="Q735" s="198">
        <v>45555</v>
      </c>
      <c r="R735" s="70" t="s">
        <v>778</v>
      </c>
      <c r="S735" s="70" t="s">
        <v>880</v>
      </c>
      <c r="T735" s="191" t="s">
        <v>780</v>
      </c>
      <c r="U735" s="35">
        <v>106953287.34999999</v>
      </c>
      <c r="V735" s="36">
        <v>0</v>
      </c>
      <c r="W735" s="36">
        <f>Table2[[#This Row],[Construction Contract Amount]]+Table2[[#This Row],[Cumulative Variations]]</f>
        <v>106953287.34999999</v>
      </c>
      <c r="X735" s="36">
        <v>3824490.97</v>
      </c>
      <c r="Y735" s="201">
        <v>0</v>
      </c>
      <c r="Z735" s="36">
        <f>Table2[[#This Row],[Final Contract Value]]+Table2[[#This Row],[Supervision Contract amount]]+Table2[[#This Row],[Authority Cost]]</f>
        <v>110777778.31999999</v>
      </c>
      <c r="AA735" s="36">
        <v>10680390</v>
      </c>
      <c r="AB735" s="36">
        <v>199302.08</v>
      </c>
      <c r="AC735" s="102" t="str">
        <f t="shared" si="45"/>
        <v>https://drive.google.com/thumbnail?id=1ruM5f-JPXrFoNb6xNaz40ic4CGr2kGvK&amp;sz=w1000</v>
      </c>
      <c r="AD735" s="90" t="s">
        <v>895</v>
      </c>
      <c r="AE735" s="103" t="str">
        <f t="shared" si="46"/>
        <v>https://drive.google.com/thumbnail?id=1Q6MU9kG1fczWg0z99j87JV0I8dZyJDIP&amp;sz=w1000</v>
      </c>
      <c r="AF735" s="90" t="s">
        <v>910</v>
      </c>
      <c r="AG735" s="90" t="str">
        <f t="shared" si="47"/>
        <v>https://drive.google.com/thumbnail?id=1La3JnRLTGosBhQtrjluRdPiS-rya-Lxf&amp;sz=w1000</v>
      </c>
      <c r="AH735" s="90" t="s">
        <v>925</v>
      </c>
    </row>
    <row r="736" spans="1:34" ht="22.15" customHeight="1">
      <c r="A736" s="30">
        <v>45548</v>
      </c>
      <c r="B736" s="2" t="s">
        <v>75</v>
      </c>
      <c r="C736" s="2" t="s">
        <v>78</v>
      </c>
      <c r="D736" s="16" t="str" cm="1">
        <f t="array" ref="D736">_xlfn.XLOOKUP(1, (Table1[Project Name]=Table2[[#This Row],[Project ID]])*(Table1[Plot]=Table2[[#This Row],[Plot]]), Table1[Project ID])</f>
        <v>MJ-04</v>
      </c>
      <c r="E736" s="69">
        <v>110</v>
      </c>
      <c r="F736" s="70">
        <v>620</v>
      </c>
      <c r="G736" s="69">
        <f>Table2[[#This Row],[Time Elapsed]]+Table2[[#This Row],[Time Remaining]]</f>
        <v>730</v>
      </c>
      <c r="H736" s="136" t="s">
        <v>763</v>
      </c>
      <c r="I736" s="136" t="s">
        <v>666</v>
      </c>
      <c r="J736" s="13">
        <v>9.1200000000000003E-2</v>
      </c>
      <c r="K736" s="137">
        <v>9.1200000000000003E-2</v>
      </c>
      <c r="L736" s="13">
        <f>Table2[[#This Row],[Actual %]]-Table2[[#This Row],[Plan %]]</f>
        <v>0</v>
      </c>
      <c r="M736" s="190" t="s">
        <v>279</v>
      </c>
      <c r="N736" s="227">
        <v>45974</v>
      </c>
      <c r="O736" s="227"/>
      <c r="P736" s="227">
        <v>45974</v>
      </c>
      <c r="Q736" s="198">
        <v>45555</v>
      </c>
      <c r="R736" s="70" t="s">
        <v>778</v>
      </c>
      <c r="S736" s="70" t="s">
        <v>880</v>
      </c>
      <c r="T736" s="191" t="s">
        <v>780</v>
      </c>
      <c r="U736" s="35">
        <v>106953287.34999999</v>
      </c>
      <c r="V736" s="36">
        <v>0</v>
      </c>
      <c r="W736" s="36">
        <f>Table2[[#This Row],[Construction Contract Amount]]+Table2[[#This Row],[Cumulative Variations]]</f>
        <v>106953287.34999999</v>
      </c>
      <c r="X736" s="36">
        <v>3824490.97</v>
      </c>
      <c r="Y736" s="201">
        <v>0</v>
      </c>
      <c r="Z736" s="36">
        <f>Table2[[#This Row],[Final Contract Value]]+Table2[[#This Row],[Supervision Contract amount]]+Table2[[#This Row],[Authority Cost]]</f>
        <v>110777778.31999999</v>
      </c>
      <c r="AA736" s="36">
        <v>10680390</v>
      </c>
      <c r="AB736" s="36">
        <v>199302.08</v>
      </c>
      <c r="AC736" s="102" t="str">
        <f t="shared" si="45"/>
        <v>https://drive.google.com/thumbnail?id=1ruM5f-JPXrFoNb6xNaz40ic4CGr2kGvK&amp;sz=w1000</v>
      </c>
      <c r="AD736" s="90" t="s">
        <v>895</v>
      </c>
      <c r="AE736" s="103" t="str">
        <f t="shared" si="46"/>
        <v>https://drive.google.com/thumbnail?id=1Q6MU9kG1fczWg0z99j87JV0I8dZyJDIP&amp;sz=w1000</v>
      </c>
      <c r="AF736" s="90" t="s">
        <v>910</v>
      </c>
      <c r="AG736" s="90" t="str">
        <f t="shared" si="47"/>
        <v>https://drive.google.com/thumbnail?id=1La3JnRLTGosBhQtrjluRdPiS-rya-Lxf&amp;sz=w1000</v>
      </c>
      <c r="AH736" s="90" t="s">
        <v>925</v>
      </c>
    </row>
    <row r="737" spans="1:34" ht="22.15" customHeight="1">
      <c r="A737" s="30">
        <v>45548</v>
      </c>
      <c r="B737" s="2" t="s">
        <v>75</v>
      </c>
      <c r="C737" s="2" t="s">
        <v>78</v>
      </c>
      <c r="D737" s="16" t="str" cm="1">
        <f t="array" ref="D737">_xlfn.XLOOKUP(1, (Table1[Project Name]=Table2[[#This Row],[Project ID]])*(Table1[Plot]=Table2[[#This Row],[Plot]]), Table1[Project ID])</f>
        <v>MJ-04</v>
      </c>
      <c r="E737" s="69">
        <v>110</v>
      </c>
      <c r="F737" s="70">
        <v>620</v>
      </c>
      <c r="G737" s="69">
        <f>Table2[[#This Row],[Time Elapsed]]+Table2[[#This Row],[Time Remaining]]</f>
        <v>730</v>
      </c>
      <c r="H737" s="136" t="s">
        <v>763</v>
      </c>
      <c r="I737" s="136" t="s">
        <v>666</v>
      </c>
      <c r="J737" s="13">
        <v>9.1200000000000003E-2</v>
      </c>
      <c r="K737" s="137">
        <v>9.1200000000000003E-2</v>
      </c>
      <c r="L737" s="13">
        <f>Table2[[#This Row],[Actual %]]-Table2[[#This Row],[Plan %]]</f>
        <v>0</v>
      </c>
      <c r="M737" s="190" t="s">
        <v>280</v>
      </c>
      <c r="N737" s="227">
        <v>46150</v>
      </c>
      <c r="O737" s="227"/>
      <c r="P737" s="227">
        <v>46150</v>
      </c>
      <c r="Q737" s="198">
        <v>45555</v>
      </c>
      <c r="R737" s="70" t="s">
        <v>778</v>
      </c>
      <c r="S737" s="70" t="s">
        <v>880</v>
      </c>
      <c r="T737" s="191" t="s">
        <v>780</v>
      </c>
      <c r="U737" s="35">
        <v>106953287.34999999</v>
      </c>
      <c r="V737" s="36">
        <v>0</v>
      </c>
      <c r="W737" s="36">
        <f>Table2[[#This Row],[Construction Contract Amount]]+Table2[[#This Row],[Cumulative Variations]]</f>
        <v>106953287.34999999</v>
      </c>
      <c r="X737" s="36">
        <v>3824490.97</v>
      </c>
      <c r="Y737" s="201">
        <v>0</v>
      </c>
      <c r="Z737" s="36">
        <f>Table2[[#This Row],[Final Contract Value]]+Table2[[#This Row],[Supervision Contract amount]]+Table2[[#This Row],[Authority Cost]]</f>
        <v>110777778.31999999</v>
      </c>
      <c r="AA737" s="36">
        <v>10680390</v>
      </c>
      <c r="AB737" s="36">
        <v>199302.08</v>
      </c>
      <c r="AC737" s="102" t="str">
        <f t="shared" si="45"/>
        <v>https://drive.google.com/thumbnail?id=1ruM5f-JPXrFoNb6xNaz40ic4CGr2kGvK&amp;sz=w1000</v>
      </c>
      <c r="AD737" s="90" t="s">
        <v>895</v>
      </c>
      <c r="AE737" s="103" t="str">
        <f t="shared" si="46"/>
        <v>https://drive.google.com/thumbnail?id=1Q6MU9kG1fczWg0z99j87JV0I8dZyJDIP&amp;sz=w1000</v>
      </c>
      <c r="AF737" s="90" t="s">
        <v>910</v>
      </c>
      <c r="AG737" s="90" t="str">
        <f t="shared" si="47"/>
        <v>https://drive.google.com/thumbnail?id=1La3JnRLTGosBhQtrjluRdPiS-rya-Lxf&amp;sz=w1000</v>
      </c>
      <c r="AH737" s="90" t="s">
        <v>925</v>
      </c>
    </row>
    <row r="738" spans="1:34" ht="22.15" customHeight="1">
      <c r="A738" s="30">
        <v>45548</v>
      </c>
      <c r="B738" s="2" t="s">
        <v>75</v>
      </c>
      <c r="C738" s="2" t="s">
        <v>78</v>
      </c>
      <c r="D738" s="16" t="str" cm="1">
        <f t="array" ref="D738">_xlfn.XLOOKUP(1, (Table1[Project Name]=Table2[[#This Row],[Project ID]])*(Table1[Plot]=Table2[[#This Row],[Plot]]), Table1[Project ID])</f>
        <v>MJ-04</v>
      </c>
      <c r="E738" s="69">
        <v>110</v>
      </c>
      <c r="F738" s="70">
        <v>620</v>
      </c>
      <c r="G738" s="69">
        <f>Table2[[#This Row],[Time Elapsed]]+Table2[[#This Row],[Time Remaining]]</f>
        <v>730</v>
      </c>
      <c r="H738" s="136" t="s">
        <v>763</v>
      </c>
      <c r="I738" s="136" t="s">
        <v>666</v>
      </c>
      <c r="J738" s="13">
        <v>9.1200000000000003E-2</v>
      </c>
      <c r="K738" s="137">
        <v>9.1200000000000003E-2</v>
      </c>
      <c r="L738" s="13">
        <f>Table2[[#This Row],[Actual %]]-Table2[[#This Row],[Plan %]]</f>
        <v>0</v>
      </c>
      <c r="M738" s="190" t="s">
        <v>281</v>
      </c>
      <c r="N738" s="227">
        <v>46171</v>
      </c>
      <c r="O738" s="227"/>
      <c r="P738" s="227">
        <v>46171</v>
      </c>
      <c r="Q738" s="198">
        <v>45555</v>
      </c>
      <c r="R738" s="70" t="s">
        <v>778</v>
      </c>
      <c r="S738" s="70" t="s">
        <v>880</v>
      </c>
      <c r="T738" s="191" t="s">
        <v>780</v>
      </c>
      <c r="U738" s="35">
        <v>106953287.34999999</v>
      </c>
      <c r="V738" s="36">
        <v>0</v>
      </c>
      <c r="W738" s="36">
        <f>Table2[[#This Row],[Construction Contract Amount]]+Table2[[#This Row],[Cumulative Variations]]</f>
        <v>106953287.34999999</v>
      </c>
      <c r="X738" s="36">
        <v>3824490.97</v>
      </c>
      <c r="Y738" s="201">
        <v>0</v>
      </c>
      <c r="Z738" s="36">
        <f>Table2[[#This Row],[Final Contract Value]]+Table2[[#This Row],[Supervision Contract amount]]+Table2[[#This Row],[Authority Cost]]</f>
        <v>110777778.31999999</v>
      </c>
      <c r="AA738" s="36">
        <v>10680390</v>
      </c>
      <c r="AB738" s="36">
        <v>199302.08</v>
      </c>
      <c r="AC738" s="102" t="str">
        <f t="shared" si="45"/>
        <v>https://drive.google.com/thumbnail?id=1ruM5f-JPXrFoNb6xNaz40ic4CGr2kGvK&amp;sz=w1000</v>
      </c>
      <c r="AD738" s="90" t="s">
        <v>895</v>
      </c>
      <c r="AE738" s="103" t="str">
        <f t="shared" si="46"/>
        <v>https://drive.google.com/thumbnail?id=1Q6MU9kG1fczWg0z99j87JV0I8dZyJDIP&amp;sz=w1000</v>
      </c>
      <c r="AF738" s="90" t="s">
        <v>910</v>
      </c>
      <c r="AG738" s="90" t="str">
        <f t="shared" si="47"/>
        <v>https://drive.google.com/thumbnail?id=1La3JnRLTGosBhQtrjluRdPiS-rya-Lxf&amp;sz=w1000</v>
      </c>
      <c r="AH738" s="90" t="s">
        <v>925</v>
      </c>
    </row>
    <row r="739" spans="1:34" ht="22.15" customHeight="1">
      <c r="A739" s="30">
        <v>45548</v>
      </c>
      <c r="B739" s="2" t="s">
        <v>75</v>
      </c>
      <c r="C739" s="2" t="s">
        <v>78</v>
      </c>
      <c r="D739" s="16" t="str" cm="1">
        <f t="array" ref="D739">_xlfn.XLOOKUP(1, (Table1[Project Name]=Table2[[#This Row],[Project ID]])*(Table1[Plot]=Table2[[#This Row],[Plot]]), Table1[Project ID])</f>
        <v>MJ-04</v>
      </c>
      <c r="E739" s="69">
        <v>110</v>
      </c>
      <c r="F739" s="70">
        <v>620</v>
      </c>
      <c r="G739" s="69">
        <f>Table2[[#This Row],[Time Elapsed]]+Table2[[#This Row],[Time Remaining]]</f>
        <v>730</v>
      </c>
      <c r="H739" s="136" t="s">
        <v>763</v>
      </c>
      <c r="I739" s="136" t="s">
        <v>666</v>
      </c>
      <c r="J739" s="13">
        <v>9.1200000000000003E-2</v>
      </c>
      <c r="K739" s="137">
        <v>9.1200000000000003E-2</v>
      </c>
      <c r="L739" s="13">
        <f>Table2[[#This Row],[Actual %]]-Table2[[#This Row],[Plan %]]</f>
        <v>0</v>
      </c>
      <c r="M739" s="190" t="s">
        <v>282</v>
      </c>
      <c r="N739" s="227">
        <v>46175</v>
      </c>
      <c r="O739" s="227"/>
      <c r="P739" s="227">
        <v>46175</v>
      </c>
      <c r="Q739" s="198">
        <v>45555</v>
      </c>
      <c r="R739" s="70" t="s">
        <v>778</v>
      </c>
      <c r="S739" s="70" t="s">
        <v>880</v>
      </c>
      <c r="T739" s="191" t="s">
        <v>780</v>
      </c>
      <c r="U739" s="35">
        <v>106953287.34999999</v>
      </c>
      <c r="V739" s="36">
        <v>0</v>
      </c>
      <c r="W739" s="36">
        <f>Table2[[#This Row],[Construction Contract Amount]]+Table2[[#This Row],[Cumulative Variations]]</f>
        <v>106953287.34999999</v>
      </c>
      <c r="X739" s="36">
        <v>3824490.97</v>
      </c>
      <c r="Y739" s="201">
        <v>0</v>
      </c>
      <c r="Z739" s="36">
        <f>Table2[[#This Row],[Final Contract Value]]+Table2[[#This Row],[Supervision Contract amount]]+Table2[[#This Row],[Authority Cost]]</f>
        <v>110777778.31999999</v>
      </c>
      <c r="AA739" s="36">
        <v>10680390</v>
      </c>
      <c r="AB739" s="36">
        <v>199302.08</v>
      </c>
      <c r="AC739" s="102" t="str">
        <f t="shared" si="45"/>
        <v>https://drive.google.com/thumbnail?id=1ruM5f-JPXrFoNb6xNaz40ic4CGr2kGvK&amp;sz=w1000</v>
      </c>
      <c r="AD739" s="90" t="s">
        <v>895</v>
      </c>
      <c r="AE739" s="103" t="str">
        <f t="shared" si="46"/>
        <v>https://drive.google.com/thumbnail?id=1Q6MU9kG1fczWg0z99j87JV0I8dZyJDIP&amp;sz=w1000</v>
      </c>
      <c r="AF739" s="90" t="s">
        <v>910</v>
      </c>
      <c r="AG739" s="90" t="str">
        <f t="shared" si="47"/>
        <v>https://drive.google.com/thumbnail?id=1La3JnRLTGosBhQtrjluRdPiS-rya-Lxf&amp;sz=w1000</v>
      </c>
      <c r="AH739" s="90" t="s">
        <v>925</v>
      </c>
    </row>
    <row r="740" spans="1:34" ht="22.15" customHeight="1">
      <c r="A740" s="30">
        <v>45548</v>
      </c>
      <c r="B740" s="2" t="s">
        <v>75</v>
      </c>
      <c r="C740" s="2" t="s">
        <v>78</v>
      </c>
      <c r="D740" s="16" t="str" cm="1">
        <f t="array" ref="D740">_xlfn.XLOOKUP(1, (Table1[Project Name]=Table2[[#This Row],[Project ID]])*(Table1[Plot]=Table2[[#This Row],[Plot]]), Table1[Project ID])</f>
        <v>MJ-04</v>
      </c>
      <c r="E740" s="69">
        <v>110</v>
      </c>
      <c r="F740" s="70">
        <v>620</v>
      </c>
      <c r="G740" s="69">
        <f>Table2[[#This Row],[Time Elapsed]]+Table2[[#This Row],[Time Remaining]]</f>
        <v>730</v>
      </c>
      <c r="H740" s="136" t="s">
        <v>763</v>
      </c>
      <c r="I740" s="136" t="s">
        <v>666</v>
      </c>
      <c r="J740" s="13">
        <v>9.1200000000000003E-2</v>
      </c>
      <c r="K740" s="137">
        <v>9.1200000000000003E-2</v>
      </c>
      <c r="L740" s="13">
        <f>Table2[[#This Row],[Actual %]]-Table2[[#This Row],[Plan %]]</f>
        <v>0</v>
      </c>
      <c r="M740" s="190" t="s">
        <v>283</v>
      </c>
      <c r="N740" s="227">
        <v>46175</v>
      </c>
      <c r="O740" s="227"/>
      <c r="P740" s="227">
        <v>46175</v>
      </c>
      <c r="Q740" s="198">
        <v>45555</v>
      </c>
      <c r="R740" s="70" t="s">
        <v>778</v>
      </c>
      <c r="S740" s="70" t="s">
        <v>880</v>
      </c>
      <c r="T740" s="191" t="s">
        <v>780</v>
      </c>
      <c r="U740" s="35">
        <v>106953287.34999999</v>
      </c>
      <c r="V740" s="36">
        <v>0</v>
      </c>
      <c r="W740" s="36">
        <f>Table2[[#This Row],[Construction Contract Amount]]+Table2[[#This Row],[Cumulative Variations]]</f>
        <v>106953287.34999999</v>
      </c>
      <c r="X740" s="36">
        <v>3824490.97</v>
      </c>
      <c r="Y740" s="201">
        <v>0</v>
      </c>
      <c r="Z740" s="36">
        <f>Table2[[#This Row],[Final Contract Value]]+Table2[[#This Row],[Supervision Contract amount]]+Table2[[#This Row],[Authority Cost]]</f>
        <v>110777778.31999999</v>
      </c>
      <c r="AA740" s="36">
        <v>10680390</v>
      </c>
      <c r="AB740" s="36">
        <v>199302.08</v>
      </c>
      <c r="AC740" s="102" t="str">
        <f t="shared" si="45"/>
        <v>https://drive.google.com/thumbnail?id=1ruM5f-JPXrFoNb6xNaz40ic4CGr2kGvK&amp;sz=w1000</v>
      </c>
      <c r="AD740" s="90" t="s">
        <v>895</v>
      </c>
      <c r="AE740" s="103" t="str">
        <f t="shared" si="46"/>
        <v>https://drive.google.com/thumbnail?id=1Q6MU9kG1fczWg0z99j87JV0I8dZyJDIP&amp;sz=w1000</v>
      </c>
      <c r="AF740" s="90" t="s">
        <v>910</v>
      </c>
      <c r="AG740" s="90" t="str">
        <f t="shared" si="47"/>
        <v>https://drive.google.com/thumbnail?id=1La3JnRLTGosBhQtrjluRdPiS-rya-Lxf&amp;sz=w1000</v>
      </c>
      <c r="AH740" s="90" t="s">
        <v>925</v>
      </c>
    </row>
    <row r="741" spans="1:34" ht="22.15" customHeight="1">
      <c r="A741" s="30">
        <v>45548</v>
      </c>
      <c r="B741" s="2" t="s">
        <v>75</v>
      </c>
      <c r="C741" s="2" t="s">
        <v>78</v>
      </c>
      <c r="D741" s="16" t="str" cm="1">
        <f t="array" ref="D741">_xlfn.XLOOKUP(1, (Table1[Project Name]=Table2[[#This Row],[Project ID]])*(Table1[Plot]=Table2[[#This Row],[Plot]]), Table1[Project ID])</f>
        <v>MJ-04</v>
      </c>
      <c r="E741" s="69">
        <v>110</v>
      </c>
      <c r="F741" s="70">
        <v>620</v>
      </c>
      <c r="G741" s="69">
        <f>Table2[[#This Row],[Time Elapsed]]+Table2[[#This Row],[Time Remaining]]</f>
        <v>730</v>
      </c>
      <c r="H741" s="136" t="s">
        <v>763</v>
      </c>
      <c r="I741" s="136" t="s">
        <v>666</v>
      </c>
      <c r="J741" s="13">
        <v>9.1200000000000003E-2</v>
      </c>
      <c r="K741" s="137">
        <v>9.1200000000000003E-2</v>
      </c>
      <c r="L741" s="13">
        <f>Table2[[#This Row],[Actual %]]-Table2[[#This Row],[Plan %]]</f>
        <v>0</v>
      </c>
      <c r="M741" s="190" t="s">
        <v>284</v>
      </c>
      <c r="N741" s="227">
        <v>46175</v>
      </c>
      <c r="O741" s="227"/>
      <c r="P741" s="227">
        <v>46175</v>
      </c>
      <c r="Q741" s="198">
        <v>45555</v>
      </c>
      <c r="R741" s="70" t="s">
        <v>778</v>
      </c>
      <c r="S741" s="70" t="s">
        <v>880</v>
      </c>
      <c r="T741" s="191" t="s">
        <v>780</v>
      </c>
      <c r="U741" s="35">
        <v>106953287.34999999</v>
      </c>
      <c r="V741" s="36">
        <v>0</v>
      </c>
      <c r="W741" s="36">
        <f>Table2[[#This Row],[Construction Contract Amount]]+Table2[[#This Row],[Cumulative Variations]]</f>
        <v>106953287.34999999</v>
      </c>
      <c r="X741" s="36">
        <v>3824490.97</v>
      </c>
      <c r="Y741" s="201">
        <v>0</v>
      </c>
      <c r="Z741" s="36">
        <f>Table2[[#This Row],[Final Contract Value]]+Table2[[#This Row],[Supervision Contract amount]]+Table2[[#This Row],[Authority Cost]]</f>
        <v>110777778.31999999</v>
      </c>
      <c r="AA741" s="36">
        <v>10680390</v>
      </c>
      <c r="AB741" s="36">
        <v>199302.08</v>
      </c>
      <c r="AC741" s="102" t="str">
        <f t="shared" ref="AC741:AC772" si="48">CONCATENATE("https://drive.google.com/thumbnail?id=", MID(AD741, FIND("/d/", AD741) + 3, FIND("/view", AD741) - FIND("/d/", AD741) - 3), "&amp;sz=w1000")</f>
        <v>https://drive.google.com/thumbnail?id=1ruM5f-JPXrFoNb6xNaz40ic4CGr2kGvK&amp;sz=w1000</v>
      </c>
      <c r="AD741" s="90" t="s">
        <v>895</v>
      </c>
      <c r="AE741" s="103" t="str">
        <f t="shared" ref="AE741:AE772" si="49">CONCATENATE("https://drive.google.com/thumbnail?id=", MID(AF741, FIND("/d/", AF741) + 3, FIND("/view", AF741) - FIND("/d/", AF741) - 3), "&amp;sz=w1000")</f>
        <v>https://drive.google.com/thumbnail?id=1Q6MU9kG1fczWg0z99j87JV0I8dZyJDIP&amp;sz=w1000</v>
      </c>
      <c r="AF741" s="90" t="s">
        <v>910</v>
      </c>
      <c r="AG741" s="90" t="str">
        <f t="shared" ref="AG741:AG772" si="50">CONCATENATE("https://drive.google.com/thumbnail?id=", MID(AH741, FIND("/d/", AH741) + 3, FIND("/view", AH741) - FIND("/d/", AH741) - 3), "&amp;sz=w1000")</f>
        <v>https://drive.google.com/thumbnail?id=1La3JnRLTGosBhQtrjluRdPiS-rya-Lxf&amp;sz=w1000</v>
      </c>
      <c r="AH741" s="90" t="s">
        <v>925</v>
      </c>
    </row>
    <row r="742" spans="1:34" ht="22.15" customHeight="1">
      <c r="A742" s="30">
        <v>45548</v>
      </c>
      <c r="B742" s="2" t="s">
        <v>96</v>
      </c>
      <c r="C742" s="2" t="s">
        <v>99</v>
      </c>
      <c r="D742" s="16" t="str" cm="1">
        <f t="array" ref="D742">_xlfn.XLOOKUP(1, (Table1[Project Name]=Table2[[#This Row],[Project ID]])*(Table1[Plot]=Table2[[#This Row],[Plot]]), Table1[Project ID])</f>
        <v>MJ-05</v>
      </c>
      <c r="E742" s="69">
        <v>110</v>
      </c>
      <c r="F742" s="70">
        <v>620</v>
      </c>
      <c r="G742" s="69">
        <f>Table2[[#This Row],[Time Elapsed]]+Table2[[#This Row],[Time Remaining]]</f>
        <v>730</v>
      </c>
      <c r="H742" s="136" t="s">
        <v>663</v>
      </c>
      <c r="I742" s="136" t="s">
        <v>664</v>
      </c>
      <c r="J742" s="13">
        <v>7.9100000000000004E-2</v>
      </c>
      <c r="K742" s="137">
        <v>8.09E-2</v>
      </c>
      <c r="L742" s="13">
        <f>Table2[[#This Row],[Actual %]]-Table2[[#This Row],[Plan %]]</f>
        <v>1.799999999999996E-3</v>
      </c>
      <c r="M742" s="144" t="s">
        <v>28</v>
      </c>
      <c r="N742" s="12">
        <v>45446</v>
      </c>
      <c r="O742" s="12">
        <v>45446</v>
      </c>
      <c r="P742" s="12"/>
      <c r="Q742" s="198">
        <v>45555</v>
      </c>
      <c r="R742" s="146" t="s">
        <v>778</v>
      </c>
      <c r="S742" s="146" t="s">
        <v>880</v>
      </c>
      <c r="T742" s="143" t="s">
        <v>669</v>
      </c>
      <c r="U742" s="153">
        <v>130388712.65000001</v>
      </c>
      <c r="V742" s="154">
        <v>0</v>
      </c>
      <c r="W742" s="36">
        <f>Table2[[#This Row],[Construction Contract Amount]]+Table2[[#This Row],[Cumulative Variations]]</f>
        <v>130388712.65000001</v>
      </c>
      <c r="X742" s="154">
        <v>4662507.03</v>
      </c>
      <c r="Y742" s="154">
        <v>0</v>
      </c>
      <c r="Z742" s="36">
        <f>Table2[[#This Row],[Final Contract Value]]+Table2[[#This Row],[Supervision Contract amount]]+Table2[[#This Row],[Authority Cost]]</f>
        <v>135051219.68000001</v>
      </c>
      <c r="AA742" s="154">
        <v>13053810</v>
      </c>
      <c r="AB742" s="154">
        <v>243591.44</v>
      </c>
      <c r="AC742" s="102" t="str">
        <f t="shared" si="48"/>
        <v>https://drive.google.com/thumbnail?id=1N6JLvInqt6UGVAo8jpPfLxV1anlM3LhC&amp;sz=w1000</v>
      </c>
      <c r="AD742" s="90" t="s">
        <v>896</v>
      </c>
      <c r="AE742" s="103" t="str">
        <f t="shared" si="49"/>
        <v>https://drive.google.com/thumbnail?id=1qZSXHwjD6UiZLiCnVCCPpTfeEZz74aAs&amp;sz=w1000</v>
      </c>
      <c r="AF742" s="90" t="s">
        <v>911</v>
      </c>
      <c r="AG742" s="90" t="str">
        <f t="shared" si="50"/>
        <v>https://drive.google.com/thumbnail?id=197Upk1lRbxo1iH4nl3_asxDxnnQz-xvq&amp;sz=w1000</v>
      </c>
      <c r="AH742" s="90" t="s">
        <v>926</v>
      </c>
    </row>
    <row r="743" spans="1:34" ht="22.15" customHeight="1">
      <c r="A743" s="30">
        <v>45548</v>
      </c>
      <c r="B743" s="2" t="s">
        <v>96</v>
      </c>
      <c r="C743" s="2" t="s">
        <v>99</v>
      </c>
      <c r="D743" s="16" t="str" cm="1">
        <f t="array" ref="D743">_xlfn.XLOOKUP(1, (Table1[Project Name]=Table2[[#This Row],[Project ID]])*(Table1[Plot]=Table2[[#This Row],[Plot]]), Table1[Project ID])</f>
        <v>MJ-05</v>
      </c>
      <c r="E743" s="69">
        <v>110</v>
      </c>
      <c r="F743" s="70">
        <v>620</v>
      </c>
      <c r="G743" s="69">
        <f>Table2[[#This Row],[Time Elapsed]]+Table2[[#This Row],[Time Remaining]]</f>
        <v>730</v>
      </c>
      <c r="H743" s="136" t="s">
        <v>663</v>
      </c>
      <c r="I743" s="136" t="s">
        <v>664</v>
      </c>
      <c r="J743" s="13">
        <v>7.9100000000000004E-2</v>
      </c>
      <c r="K743" s="137">
        <v>8.09E-2</v>
      </c>
      <c r="L743" s="13">
        <f>Table2[[#This Row],[Actual %]]-Table2[[#This Row],[Plan %]]</f>
        <v>1.799999999999996E-3</v>
      </c>
      <c r="M743" s="144" t="s">
        <v>50</v>
      </c>
      <c r="N743" s="12">
        <v>45455</v>
      </c>
      <c r="O743" s="12">
        <v>45434</v>
      </c>
      <c r="P743" s="12"/>
      <c r="Q743" s="198">
        <v>45555</v>
      </c>
      <c r="R743" s="146" t="s">
        <v>778</v>
      </c>
      <c r="S743" s="146" t="s">
        <v>880</v>
      </c>
      <c r="T743" s="143" t="s">
        <v>669</v>
      </c>
      <c r="U743" s="153">
        <v>130388712.65000001</v>
      </c>
      <c r="V743" s="154">
        <v>0</v>
      </c>
      <c r="W743" s="36">
        <f>Table2[[#This Row],[Construction Contract Amount]]+Table2[[#This Row],[Cumulative Variations]]</f>
        <v>130388712.65000001</v>
      </c>
      <c r="X743" s="154">
        <v>4662507.03</v>
      </c>
      <c r="Y743" s="154">
        <v>0</v>
      </c>
      <c r="Z743" s="36">
        <f>Table2[[#This Row],[Final Contract Value]]+Table2[[#This Row],[Supervision Contract amount]]+Table2[[#This Row],[Authority Cost]]</f>
        <v>135051219.68000001</v>
      </c>
      <c r="AA743" s="154">
        <v>13053810</v>
      </c>
      <c r="AB743" s="154">
        <v>243591.44</v>
      </c>
      <c r="AC743" s="102" t="str">
        <f t="shared" si="48"/>
        <v>https://drive.google.com/thumbnail?id=1N6JLvInqt6UGVAo8jpPfLxV1anlM3LhC&amp;sz=w1000</v>
      </c>
      <c r="AD743" s="90" t="s">
        <v>896</v>
      </c>
      <c r="AE743" s="103" t="str">
        <f t="shared" si="49"/>
        <v>https://drive.google.com/thumbnail?id=1qZSXHwjD6UiZLiCnVCCPpTfeEZz74aAs&amp;sz=w1000</v>
      </c>
      <c r="AF743" s="90" t="s">
        <v>911</v>
      </c>
      <c r="AG743" s="90" t="str">
        <f t="shared" si="50"/>
        <v>https://drive.google.com/thumbnail?id=197Upk1lRbxo1iH4nl3_asxDxnnQz-xvq&amp;sz=w1000</v>
      </c>
      <c r="AH743" s="90" t="s">
        <v>926</v>
      </c>
    </row>
    <row r="744" spans="1:34" ht="22.15" customHeight="1">
      <c r="A744" s="30">
        <v>45548</v>
      </c>
      <c r="B744" s="2" t="s">
        <v>96</v>
      </c>
      <c r="C744" s="2" t="s">
        <v>99</v>
      </c>
      <c r="D744" s="16" t="str" cm="1">
        <f t="array" ref="D744">_xlfn.XLOOKUP(1, (Table1[Project Name]=Table2[[#This Row],[Project ID]])*(Table1[Plot]=Table2[[#This Row],[Plot]]), Table1[Project ID])</f>
        <v>MJ-05</v>
      </c>
      <c r="E744" s="69">
        <v>110</v>
      </c>
      <c r="F744" s="70">
        <v>620</v>
      </c>
      <c r="G744" s="69">
        <f>Table2[[#This Row],[Time Elapsed]]+Table2[[#This Row],[Time Remaining]]</f>
        <v>730</v>
      </c>
      <c r="H744" s="136" t="s">
        <v>663</v>
      </c>
      <c r="I744" s="136" t="s">
        <v>664</v>
      </c>
      <c r="J744" s="13">
        <v>7.9100000000000004E-2</v>
      </c>
      <c r="K744" s="137">
        <v>8.09E-2</v>
      </c>
      <c r="L744" s="13">
        <f>Table2[[#This Row],[Actual %]]-Table2[[#This Row],[Plan %]]</f>
        <v>1.799999999999996E-3</v>
      </c>
      <c r="M744" s="144" t="s">
        <v>51</v>
      </c>
      <c r="N744" s="12">
        <v>45483</v>
      </c>
      <c r="O744" s="12">
        <v>45512</v>
      </c>
      <c r="P744" s="12"/>
      <c r="Q744" s="198">
        <v>45555</v>
      </c>
      <c r="R744" s="146" t="s">
        <v>778</v>
      </c>
      <c r="S744" s="146" t="s">
        <v>880</v>
      </c>
      <c r="T744" s="143" t="s">
        <v>669</v>
      </c>
      <c r="U744" s="153">
        <v>130388712.65000001</v>
      </c>
      <c r="V744" s="154">
        <v>0</v>
      </c>
      <c r="W744" s="36">
        <f>Table2[[#This Row],[Construction Contract Amount]]+Table2[[#This Row],[Cumulative Variations]]</f>
        <v>130388712.65000001</v>
      </c>
      <c r="X744" s="154">
        <v>4662507.03</v>
      </c>
      <c r="Y744" s="154">
        <v>0</v>
      </c>
      <c r="Z744" s="36">
        <f>Table2[[#This Row],[Final Contract Value]]+Table2[[#This Row],[Supervision Contract amount]]+Table2[[#This Row],[Authority Cost]]</f>
        <v>135051219.68000001</v>
      </c>
      <c r="AA744" s="154">
        <v>13053810</v>
      </c>
      <c r="AB744" s="154">
        <v>243591.44</v>
      </c>
      <c r="AC744" s="102" t="str">
        <f t="shared" si="48"/>
        <v>https://drive.google.com/thumbnail?id=1N6JLvInqt6UGVAo8jpPfLxV1anlM3LhC&amp;sz=w1000</v>
      </c>
      <c r="AD744" s="90" t="s">
        <v>896</v>
      </c>
      <c r="AE744" s="103" t="str">
        <f t="shared" si="49"/>
        <v>https://drive.google.com/thumbnail?id=1qZSXHwjD6UiZLiCnVCCPpTfeEZz74aAs&amp;sz=w1000</v>
      </c>
      <c r="AF744" s="90" t="s">
        <v>911</v>
      </c>
      <c r="AG744" s="90" t="str">
        <f t="shared" si="50"/>
        <v>https://drive.google.com/thumbnail?id=197Upk1lRbxo1iH4nl3_asxDxnnQz-xvq&amp;sz=w1000</v>
      </c>
      <c r="AH744" s="90" t="s">
        <v>926</v>
      </c>
    </row>
    <row r="745" spans="1:34" ht="22.15" customHeight="1">
      <c r="A745" s="30">
        <v>45548</v>
      </c>
      <c r="B745" s="2" t="s">
        <v>96</v>
      </c>
      <c r="C745" s="2" t="s">
        <v>99</v>
      </c>
      <c r="D745" s="16" t="str" cm="1">
        <f t="array" ref="D745">_xlfn.XLOOKUP(1, (Table1[Project Name]=Table2[[#This Row],[Project ID]])*(Table1[Plot]=Table2[[#This Row],[Plot]]), Table1[Project ID])</f>
        <v>MJ-05</v>
      </c>
      <c r="E745" s="69">
        <v>110</v>
      </c>
      <c r="F745" s="70">
        <v>620</v>
      </c>
      <c r="G745" s="69">
        <f>Table2[[#This Row],[Time Elapsed]]+Table2[[#This Row],[Time Remaining]]</f>
        <v>730</v>
      </c>
      <c r="H745" s="136" t="s">
        <v>663</v>
      </c>
      <c r="I745" s="136" t="s">
        <v>664</v>
      </c>
      <c r="J745" s="13">
        <v>7.9100000000000004E-2</v>
      </c>
      <c r="K745" s="137">
        <v>8.09E-2</v>
      </c>
      <c r="L745" s="13">
        <f>Table2[[#This Row],[Actual %]]-Table2[[#This Row],[Plan %]]</f>
        <v>1.799999999999996E-3</v>
      </c>
      <c r="M745" s="144" t="s">
        <v>275</v>
      </c>
      <c r="N745" s="12">
        <v>45563</v>
      </c>
      <c r="O745" s="12"/>
      <c r="P745" s="12">
        <v>45563</v>
      </c>
      <c r="Q745" s="198">
        <v>45555</v>
      </c>
      <c r="R745" s="146" t="s">
        <v>778</v>
      </c>
      <c r="S745" s="146" t="s">
        <v>880</v>
      </c>
      <c r="T745" s="143" t="s">
        <v>669</v>
      </c>
      <c r="U745" s="153">
        <v>130388712.65000001</v>
      </c>
      <c r="V745" s="154">
        <v>0</v>
      </c>
      <c r="W745" s="36">
        <f>Table2[[#This Row],[Construction Contract Amount]]+Table2[[#This Row],[Cumulative Variations]]</f>
        <v>130388712.65000001</v>
      </c>
      <c r="X745" s="154">
        <v>4662507.03</v>
      </c>
      <c r="Y745" s="154">
        <v>0</v>
      </c>
      <c r="Z745" s="36">
        <f>Table2[[#This Row],[Final Contract Value]]+Table2[[#This Row],[Supervision Contract amount]]+Table2[[#This Row],[Authority Cost]]</f>
        <v>135051219.68000001</v>
      </c>
      <c r="AA745" s="154">
        <v>13053810</v>
      </c>
      <c r="AB745" s="154">
        <v>243591.44</v>
      </c>
      <c r="AC745" s="102" t="str">
        <f t="shared" si="48"/>
        <v>https://drive.google.com/thumbnail?id=1N6JLvInqt6UGVAo8jpPfLxV1anlM3LhC&amp;sz=w1000</v>
      </c>
      <c r="AD745" s="90" t="s">
        <v>896</v>
      </c>
      <c r="AE745" s="103" t="str">
        <f t="shared" si="49"/>
        <v>https://drive.google.com/thumbnail?id=1qZSXHwjD6UiZLiCnVCCPpTfeEZz74aAs&amp;sz=w1000</v>
      </c>
      <c r="AF745" s="90" t="s">
        <v>911</v>
      </c>
      <c r="AG745" s="90" t="str">
        <f t="shared" si="50"/>
        <v>https://drive.google.com/thumbnail?id=197Upk1lRbxo1iH4nl3_asxDxnnQz-xvq&amp;sz=w1000</v>
      </c>
      <c r="AH745" s="90" t="s">
        <v>926</v>
      </c>
    </row>
    <row r="746" spans="1:34" ht="22.15" customHeight="1">
      <c r="A746" s="30">
        <v>45548</v>
      </c>
      <c r="B746" s="2" t="s">
        <v>96</v>
      </c>
      <c r="C746" s="2" t="s">
        <v>99</v>
      </c>
      <c r="D746" s="16" t="str" cm="1">
        <f t="array" ref="D746">_xlfn.XLOOKUP(1, (Table1[Project Name]=Table2[[#This Row],[Project ID]])*(Table1[Plot]=Table2[[#This Row],[Plot]]), Table1[Project ID])</f>
        <v>MJ-05</v>
      </c>
      <c r="E746" s="69">
        <v>110</v>
      </c>
      <c r="F746" s="70">
        <v>620</v>
      </c>
      <c r="G746" s="69">
        <f>Table2[[#This Row],[Time Elapsed]]+Table2[[#This Row],[Time Remaining]]</f>
        <v>730</v>
      </c>
      <c r="H746" s="136" t="s">
        <v>663</v>
      </c>
      <c r="I746" s="136" t="s">
        <v>664</v>
      </c>
      <c r="J746" s="13">
        <v>7.9100000000000004E-2</v>
      </c>
      <c r="K746" s="137">
        <v>8.09E-2</v>
      </c>
      <c r="L746" s="13">
        <f>Table2[[#This Row],[Actual %]]-Table2[[#This Row],[Plan %]]</f>
        <v>1.799999999999996E-3</v>
      </c>
      <c r="M746" s="144" t="s">
        <v>276</v>
      </c>
      <c r="N746" s="12">
        <v>45625</v>
      </c>
      <c r="O746" s="12"/>
      <c r="P746" s="12">
        <v>45625</v>
      </c>
      <c r="Q746" s="198">
        <v>45555</v>
      </c>
      <c r="R746" s="146" t="s">
        <v>778</v>
      </c>
      <c r="S746" s="146" t="s">
        <v>880</v>
      </c>
      <c r="T746" s="143" t="s">
        <v>669</v>
      </c>
      <c r="U746" s="153">
        <v>130388712.65000001</v>
      </c>
      <c r="V746" s="154">
        <v>0</v>
      </c>
      <c r="W746" s="36">
        <f>Table2[[#This Row],[Construction Contract Amount]]+Table2[[#This Row],[Cumulative Variations]]</f>
        <v>130388712.65000001</v>
      </c>
      <c r="X746" s="154">
        <v>4662507.03</v>
      </c>
      <c r="Y746" s="154">
        <v>0</v>
      </c>
      <c r="Z746" s="36">
        <f>Table2[[#This Row],[Final Contract Value]]+Table2[[#This Row],[Supervision Contract amount]]+Table2[[#This Row],[Authority Cost]]</f>
        <v>135051219.68000001</v>
      </c>
      <c r="AA746" s="154">
        <v>13053810</v>
      </c>
      <c r="AB746" s="154">
        <v>243591.44</v>
      </c>
      <c r="AC746" s="102" t="str">
        <f t="shared" si="48"/>
        <v>https://drive.google.com/thumbnail?id=1N6JLvInqt6UGVAo8jpPfLxV1anlM3LhC&amp;sz=w1000</v>
      </c>
      <c r="AD746" s="90" t="s">
        <v>896</v>
      </c>
      <c r="AE746" s="103" t="str">
        <f t="shared" si="49"/>
        <v>https://drive.google.com/thumbnail?id=1qZSXHwjD6UiZLiCnVCCPpTfeEZz74aAs&amp;sz=w1000</v>
      </c>
      <c r="AF746" s="90" t="s">
        <v>911</v>
      </c>
      <c r="AG746" s="90" t="str">
        <f t="shared" si="50"/>
        <v>https://drive.google.com/thumbnail?id=197Upk1lRbxo1iH4nl3_asxDxnnQz-xvq&amp;sz=w1000</v>
      </c>
      <c r="AH746" s="90" t="s">
        <v>926</v>
      </c>
    </row>
    <row r="747" spans="1:34" ht="22.15" customHeight="1">
      <c r="A747" s="30">
        <v>45548</v>
      </c>
      <c r="B747" s="2" t="s">
        <v>96</v>
      </c>
      <c r="C747" s="2" t="s">
        <v>99</v>
      </c>
      <c r="D747" s="16" t="str" cm="1">
        <f t="array" ref="D747">_xlfn.XLOOKUP(1, (Table1[Project Name]=Table2[[#This Row],[Project ID]])*(Table1[Plot]=Table2[[#This Row],[Plot]]), Table1[Project ID])</f>
        <v>MJ-05</v>
      </c>
      <c r="E747" s="69">
        <v>110</v>
      </c>
      <c r="F747" s="70">
        <v>620</v>
      </c>
      <c r="G747" s="69">
        <f>Table2[[#This Row],[Time Elapsed]]+Table2[[#This Row],[Time Remaining]]</f>
        <v>730</v>
      </c>
      <c r="H747" s="136" t="s">
        <v>663</v>
      </c>
      <c r="I747" s="136" t="s">
        <v>664</v>
      </c>
      <c r="J747" s="13">
        <v>7.9100000000000004E-2</v>
      </c>
      <c r="K747" s="137">
        <v>8.09E-2</v>
      </c>
      <c r="L747" s="13">
        <f>Table2[[#This Row],[Actual %]]-Table2[[#This Row],[Plan %]]</f>
        <v>1.799999999999996E-3</v>
      </c>
      <c r="M747" s="144" t="s">
        <v>277</v>
      </c>
      <c r="N747" s="12">
        <v>45700</v>
      </c>
      <c r="O747" s="12"/>
      <c r="P747" s="12">
        <v>45700</v>
      </c>
      <c r="Q747" s="198">
        <v>45555</v>
      </c>
      <c r="R747" s="146" t="s">
        <v>778</v>
      </c>
      <c r="S747" s="146" t="s">
        <v>880</v>
      </c>
      <c r="T747" s="143" t="s">
        <v>669</v>
      </c>
      <c r="U747" s="153">
        <v>130388712.65000001</v>
      </c>
      <c r="V747" s="154">
        <v>0</v>
      </c>
      <c r="W747" s="36">
        <f>Table2[[#This Row],[Construction Contract Amount]]+Table2[[#This Row],[Cumulative Variations]]</f>
        <v>130388712.65000001</v>
      </c>
      <c r="X747" s="154">
        <v>4662507.03</v>
      </c>
      <c r="Y747" s="154">
        <v>0</v>
      </c>
      <c r="Z747" s="36">
        <f>Table2[[#This Row],[Final Contract Value]]+Table2[[#This Row],[Supervision Contract amount]]+Table2[[#This Row],[Authority Cost]]</f>
        <v>135051219.68000001</v>
      </c>
      <c r="AA747" s="154">
        <v>13053810</v>
      </c>
      <c r="AB747" s="154">
        <v>243591.44</v>
      </c>
      <c r="AC747" s="102" t="str">
        <f t="shared" si="48"/>
        <v>https://drive.google.com/thumbnail?id=1N6JLvInqt6UGVAo8jpPfLxV1anlM3LhC&amp;sz=w1000</v>
      </c>
      <c r="AD747" s="90" t="s">
        <v>896</v>
      </c>
      <c r="AE747" s="103" t="str">
        <f t="shared" si="49"/>
        <v>https://drive.google.com/thumbnail?id=1qZSXHwjD6UiZLiCnVCCPpTfeEZz74aAs&amp;sz=w1000</v>
      </c>
      <c r="AF747" s="90" t="s">
        <v>911</v>
      </c>
      <c r="AG747" s="90" t="str">
        <f t="shared" si="50"/>
        <v>https://drive.google.com/thumbnail?id=197Upk1lRbxo1iH4nl3_asxDxnnQz-xvq&amp;sz=w1000</v>
      </c>
      <c r="AH747" s="90" t="s">
        <v>926</v>
      </c>
    </row>
    <row r="748" spans="1:34" ht="22.15" customHeight="1">
      <c r="A748" s="30">
        <v>45548</v>
      </c>
      <c r="B748" s="2" t="s">
        <v>96</v>
      </c>
      <c r="C748" s="2" t="s">
        <v>99</v>
      </c>
      <c r="D748" s="16" t="str" cm="1">
        <f t="array" ref="D748">_xlfn.XLOOKUP(1, (Table1[Project Name]=Table2[[#This Row],[Project ID]])*(Table1[Plot]=Table2[[#This Row],[Plot]]), Table1[Project ID])</f>
        <v>MJ-05</v>
      </c>
      <c r="E748" s="69">
        <v>110</v>
      </c>
      <c r="F748" s="70">
        <v>620</v>
      </c>
      <c r="G748" s="69">
        <f>Table2[[#This Row],[Time Elapsed]]+Table2[[#This Row],[Time Remaining]]</f>
        <v>730</v>
      </c>
      <c r="H748" s="136" t="s">
        <v>663</v>
      </c>
      <c r="I748" s="136" t="s">
        <v>664</v>
      </c>
      <c r="J748" s="13">
        <v>7.9100000000000004E-2</v>
      </c>
      <c r="K748" s="137">
        <v>8.09E-2</v>
      </c>
      <c r="L748" s="13">
        <f>Table2[[#This Row],[Actual %]]-Table2[[#This Row],[Plan %]]</f>
        <v>1.799999999999996E-3</v>
      </c>
      <c r="M748" s="144" t="s">
        <v>278</v>
      </c>
      <c r="N748" s="12">
        <v>45858</v>
      </c>
      <c r="O748" s="12"/>
      <c r="P748" s="12">
        <v>45858</v>
      </c>
      <c r="Q748" s="198">
        <v>45555</v>
      </c>
      <c r="R748" s="146" t="s">
        <v>778</v>
      </c>
      <c r="S748" s="146" t="s">
        <v>880</v>
      </c>
      <c r="T748" s="143" t="s">
        <v>669</v>
      </c>
      <c r="U748" s="153">
        <v>130388712.65000001</v>
      </c>
      <c r="V748" s="154">
        <v>0</v>
      </c>
      <c r="W748" s="36">
        <f>Table2[[#This Row],[Construction Contract Amount]]+Table2[[#This Row],[Cumulative Variations]]</f>
        <v>130388712.65000001</v>
      </c>
      <c r="X748" s="154">
        <v>4662507.03</v>
      </c>
      <c r="Y748" s="154">
        <v>0</v>
      </c>
      <c r="Z748" s="36">
        <f>Table2[[#This Row],[Final Contract Value]]+Table2[[#This Row],[Supervision Contract amount]]+Table2[[#This Row],[Authority Cost]]</f>
        <v>135051219.68000001</v>
      </c>
      <c r="AA748" s="154">
        <v>13053810</v>
      </c>
      <c r="AB748" s="154">
        <v>243591.44</v>
      </c>
      <c r="AC748" s="102" t="str">
        <f t="shared" si="48"/>
        <v>https://drive.google.com/thumbnail?id=1N6JLvInqt6UGVAo8jpPfLxV1anlM3LhC&amp;sz=w1000</v>
      </c>
      <c r="AD748" s="90" t="s">
        <v>896</v>
      </c>
      <c r="AE748" s="103" t="str">
        <f t="shared" si="49"/>
        <v>https://drive.google.com/thumbnail?id=1qZSXHwjD6UiZLiCnVCCPpTfeEZz74aAs&amp;sz=w1000</v>
      </c>
      <c r="AF748" s="90" t="s">
        <v>911</v>
      </c>
      <c r="AG748" s="90" t="str">
        <f t="shared" si="50"/>
        <v>https://drive.google.com/thumbnail?id=197Upk1lRbxo1iH4nl3_asxDxnnQz-xvq&amp;sz=w1000</v>
      </c>
      <c r="AH748" s="90" t="s">
        <v>926</v>
      </c>
    </row>
    <row r="749" spans="1:34" ht="22.15" customHeight="1">
      <c r="A749" s="30">
        <v>45548</v>
      </c>
      <c r="B749" s="2" t="s">
        <v>96</v>
      </c>
      <c r="C749" s="2" t="s">
        <v>99</v>
      </c>
      <c r="D749" s="16" t="str" cm="1">
        <f t="array" ref="D749">_xlfn.XLOOKUP(1, (Table1[Project Name]=Table2[[#This Row],[Project ID]])*(Table1[Plot]=Table2[[#This Row],[Plot]]), Table1[Project ID])</f>
        <v>MJ-05</v>
      </c>
      <c r="E749" s="69">
        <v>110</v>
      </c>
      <c r="F749" s="70">
        <v>620</v>
      </c>
      <c r="G749" s="69">
        <f>Table2[[#This Row],[Time Elapsed]]+Table2[[#This Row],[Time Remaining]]</f>
        <v>730</v>
      </c>
      <c r="H749" s="136" t="s">
        <v>663</v>
      </c>
      <c r="I749" s="136" t="s">
        <v>664</v>
      </c>
      <c r="J749" s="13">
        <v>7.9100000000000004E-2</v>
      </c>
      <c r="K749" s="137">
        <v>8.09E-2</v>
      </c>
      <c r="L749" s="13">
        <f>Table2[[#This Row],[Actual %]]-Table2[[#This Row],[Plan %]]</f>
        <v>1.799999999999996E-3</v>
      </c>
      <c r="M749" s="144" t="s">
        <v>279</v>
      </c>
      <c r="N749" s="12">
        <v>45967</v>
      </c>
      <c r="O749" s="12"/>
      <c r="P749" s="12">
        <v>45967</v>
      </c>
      <c r="Q749" s="198">
        <v>45555</v>
      </c>
      <c r="R749" s="146" t="s">
        <v>778</v>
      </c>
      <c r="S749" s="146" t="s">
        <v>880</v>
      </c>
      <c r="T749" s="143" t="s">
        <v>669</v>
      </c>
      <c r="U749" s="153">
        <v>130388712.65000001</v>
      </c>
      <c r="V749" s="154">
        <v>0</v>
      </c>
      <c r="W749" s="36">
        <f>Table2[[#This Row],[Construction Contract Amount]]+Table2[[#This Row],[Cumulative Variations]]</f>
        <v>130388712.65000001</v>
      </c>
      <c r="X749" s="154">
        <v>4662507.03</v>
      </c>
      <c r="Y749" s="154">
        <v>0</v>
      </c>
      <c r="Z749" s="36">
        <f>Table2[[#This Row],[Final Contract Value]]+Table2[[#This Row],[Supervision Contract amount]]+Table2[[#This Row],[Authority Cost]]</f>
        <v>135051219.68000001</v>
      </c>
      <c r="AA749" s="154">
        <v>13053810</v>
      </c>
      <c r="AB749" s="154">
        <v>243591.44</v>
      </c>
      <c r="AC749" s="102" t="str">
        <f t="shared" si="48"/>
        <v>https://drive.google.com/thumbnail?id=1N6JLvInqt6UGVAo8jpPfLxV1anlM3LhC&amp;sz=w1000</v>
      </c>
      <c r="AD749" s="90" t="s">
        <v>896</v>
      </c>
      <c r="AE749" s="103" t="str">
        <f t="shared" si="49"/>
        <v>https://drive.google.com/thumbnail?id=1qZSXHwjD6UiZLiCnVCCPpTfeEZz74aAs&amp;sz=w1000</v>
      </c>
      <c r="AF749" s="90" t="s">
        <v>911</v>
      </c>
      <c r="AG749" s="90" t="str">
        <f t="shared" si="50"/>
        <v>https://drive.google.com/thumbnail?id=197Upk1lRbxo1iH4nl3_asxDxnnQz-xvq&amp;sz=w1000</v>
      </c>
      <c r="AH749" s="90" t="s">
        <v>926</v>
      </c>
    </row>
    <row r="750" spans="1:34" ht="22.15" customHeight="1">
      <c r="A750" s="30">
        <v>45548</v>
      </c>
      <c r="B750" s="2" t="s">
        <v>96</v>
      </c>
      <c r="C750" s="2" t="s">
        <v>99</v>
      </c>
      <c r="D750" s="16" t="str" cm="1">
        <f t="array" ref="D750">_xlfn.XLOOKUP(1, (Table1[Project Name]=Table2[[#This Row],[Project ID]])*(Table1[Plot]=Table2[[#This Row],[Plot]]), Table1[Project ID])</f>
        <v>MJ-05</v>
      </c>
      <c r="E750" s="69">
        <v>110</v>
      </c>
      <c r="F750" s="70">
        <v>620</v>
      </c>
      <c r="G750" s="69">
        <f>Table2[[#This Row],[Time Elapsed]]+Table2[[#This Row],[Time Remaining]]</f>
        <v>730</v>
      </c>
      <c r="H750" s="136" t="s">
        <v>663</v>
      </c>
      <c r="I750" s="136" t="s">
        <v>664</v>
      </c>
      <c r="J750" s="13">
        <v>7.9100000000000004E-2</v>
      </c>
      <c r="K750" s="137">
        <v>8.09E-2</v>
      </c>
      <c r="L750" s="13">
        <f>Table2[[#This Row],[Actual %]]-Table2[[#This Row],[Plan %]]</f>
        <v>1.799999999999996E-3</v>
      </c>
      <c r="M750" s="144" t="s">
        <v>280</v>
      </c>
      <c r="N750" s="12">
        <v>46150</v>
      </c>
      <c r="O750" s="12"/>
      <c r="P750" s="12">
        <v>46150</v>
      </c>
      <c r="Q750" s="198">
        <v>45555</v>
      </c>
      <c r="R750" s="146" t="s">
        <v>778</v>
      </c>
      <c r="S750" s="146" t="s">
        <v>880</v>
      </c>
      <c r="T750" s="143" t="s">
        <v>669</v>
      </c>
      <c r="U750" s="153">
        <v>130388712.65000001</v>
      </c>
      <c r="V750" s="154">
        <v>0</v>
      </c>
      <c r="W750" s="36">
        <f>Table2[[#This Row],[Construction Contract Amount]]+Table2[[#This Row],[Cumulative Variations]]</f>
        <v>130388712.65000001</v>
      </c>
      <c r="X750" s="154">
        <v>4662507.03</v>
      </c>
      <c r="Y750" s="154">
        <v>0</v>
      </c>
      <c r="Z750" s="36">
        <f>Table2[[#This Row],[Final Contract Value]]+Table2[[#This Row],[Supervision Contract amount]]+Table2[[#This Row],[Authority Cost]]</f>
        <v>135051219.68000001</v>
      </c>
      <c r="AA750" s="154">
        <v>13053810</v>
      </c>
      <c r="AB750" s="154">
        <v>243591.44</v>
      </c>
      <c r="AC750" s="102" t="str">
        <f t="shared" si="48"/>
        <v>https://drive.google.com/thumbnail?id=1N6JLvInqt6UGVAo8jpPfLxV1anlM3LhC&amp;sz=w1000</v>
      </c>
      <c r="AD750" s="90" t="s">
        <v>896</v>
      </c>
      <c r="AE750" s="103" t="str">
        <f t="shared" si="49"/>
        <v>https://drive.google.com/thumbnail?id=1qZSXHwjD6UiZLiCnVCCPpTfeEZz74aAs&amp;sz=w1000</v>
      </c>
      <c r="AF750" s="90" t="s">
        <v>911</v>
      </c>
      <c r="AG750" s="90" t="str">
        <f t="shared" si="50"/>
        <v>https://drive.google.com/thumbnail?id=197Upk1lRbxo1iH4nl3_asxDxnnQz-xvq&amp;sz=w1000</v>
      </c>
      <c r="AH750" s="90" t="s">
        <v>926</v>
      </c>
    </row>
    <row r="751" spans="1:34" ht="22.15" customHeight="1">
      <c r="A751" s="30">
        <v>45548</v>
      </c>
      <c r="B751" s="2" t="s">
        <v>96</v>
      </c>
      <c r="C751" s="2" t="s">
        <v>99</v>
      </c>
      <c r="D751" s="16" t="str" cm="1">
        <f t="array" ref="D751">_xlfn.XLOOKUP(1, (Table1[Project Name]=Table2[[#This Row],[Project ID]])*(Table1[Plot]=Table2[[#This Row],[Plot]]), Table1[Project ID])</f>
        <v>MJ-05</v>
      </c>
      <c r="E751" s="69">
        <v>110</v>
      </c>
      <c r="F751" s="70">
        <v>620</v>
      </c>
      <c r="G751" s="69">
        <f>Table2[[#This Row],[Time Elapsed]]+Table2[[#This Row],[Time Remaining]]</f>
        <v>730</v>
      </c>
      <c r="H751" s="136" t="s">
        <v>663</v>
      </c>
      <c r="I751" s="136" t="s">
        <v>664</v>
      </c>
      <c r="J751" s="13">
        <v>7.9100000000000004E-2</v>
      </c>
      <c r="K751" s="137">
        <v>8.09E-2</v>
      </c>
      <c r="L751" s="13">
        <f>Table2[[#This Row],[Actual %]]-Table2[[#This Row],[Plan %]]</f>
        <v>1.799999999999996E-3</v>
      </c>
      <c r="M751" s="144" t="s">
        <v>281</v>
      </c>
      <c r="N751" s="12">
        <v>46164</v>
      </c>
      <c r="O751" s="12"/>
      <c r="P751" s="12">
        <v>46164</v>
      </c>
      <c r="Q751" s="198">
        <v>45555</v>
      </c>
      <c r="R751" s="146" t="s">
        <v>778</v>
      </c>
      <c r="S751" s="146" t="s">
        <v>880</v>
      </c>
      <c r="T751" s="143" t="s">
        <v>669</v>
      </c>
      <c r="U751" s="153">
        <v>130388712.65000001</v>
      </c>
      <c r="V751" s="154">
        <v>0</v>
      </c>
      <c r="W751" s="36">
        <f>Table2[[#This Row],[Construction Contract Amount]]+Table2[[#This Row],[Cumulative Variations]]</f>
        <v>130388712.65000001</v>
      </c>
      <c r="X751" s="154">
        <v>4662507.03</v>
      </c>
      <c r="Y751" s="154">
        <v>0</v>
      </c>
      <c r="Z751" s="36">
        <f>Table2[[#This Row],[Final Contract Value]]+Table2[[#This Row],[Supervision Contract amount]]+Table2[[#This Row],[Authority Cost]]</f>
        <v>135051219.68000001</v>
      </c>
      <c r="AA751" s="154">
        <v>13053810</v>
      </c>
      <c r="AB751" s="154">
        <v>243591.44</v>
      </c>
      <c r="AC751" s="102" t="str">
        <f t="shared" si="48"/>
        <v>https://drive.google.com/thumbnail?id=1N6JLvInqt6UGVAo8jpPfLxV1anlM3LhC&amp;sz=w1000</v>
      </c>
      <c r="AD751" s="90" t="s">
        <v>896</v>
      </c>
      <c r="AE751" s="103" t="str">
        <f t="shared" si="49"/>
        <v>https://drive.google.com/thumbnail?id=1qZSXHwjD6UiZLiCnVCCPpTfeEZz74aAs&amp;sz=w1000</v>
      </c>
      <c r="AF751" s="90" t="s">
        <v>911</v>
      </c>
      <c r="AG751" s="90" t="str">
        <f t="shared" si="50"/>
        <v>https://drive.google.com/thumbnail?id=197Upk1lRbxo1iH4nl3_asxDxnnQz-xvq&amp;sz=w1000</v>
      </c>
      <c r="AH751" s="90" t="s">
        <v>926</v>
      </c>
    </row>
    <row r="752" spans="1:34" ht="22.15" customHeight="1">
      <c r="A752" s="30">
        <v>45548</v>
      </c>
      <c r="B752" s="2" t="s">
        <v>96</v>
      </c>
      <c r="C752" s="2" t="s">
        <v>99</v>
      </c>
      <c r="D752" s="16" t="str" cm="1">
        <f t="array" ref="D752">_xlfn.XLOOKUP(1, (Table1[Project Name]=Table2[[#This Row],[Project ID]])*(Table1[Plot]=Table2[[#This Row],[Plot]]), Table1[Project ID])</f>
        <v>MJ-05</v>
      </c>
      <c r="E752" s="69">
        <v>110</v>
      </c>
      <c r="F752" s="70">
        <v>620</v>
      </c>
      <c r="G752" s="69">
        <f>Table2[[#This Row],[Time Elapsed]]+Table2[[#This Row],[Time Remaining]]</f>
        <v>730</v>
      </c>
      <c r="H752" s="136" t="s">
        <v>663</v>
      </c>
      <c r="I752" s="136" t="s">
        <v>664</v>
      </c>
      <c r="J752" s="13">
        <v>7.9100000000000004E-2</v>
      </c>
      <c r="K752" s="137">
        <v>8.09E-2</v>
      </c>
      <c r="L752" s="13">
        <f>Table2[[#This Row],[Actual %]]-Table2[[#This Row],[Plan %]]</f>
        <v>1.799999999999996E-3</v>
      </c>
      <c r="M752" s="144" t="s">
        <v>282</v>
      </c>
      <c r="N752" s="12">
        <v>46174</v>
      </c>
      <c r="O752" s="12"/>
      <c r="P752" s="12">
        <v>46174</v>
      </c>
      <c r="Q752" s="198">
        <v>45555</v>
      </c>
      <c r="R752" s="146" t="s">
        <v>778</v>
      </c>
      <c r="S752" s="146" t="s">
        <v>880</v>
      </c>
      <c r="T752" s="143" t="s">
        <v>669</v>
      </c>
      <c r="U752" s="153">
        <v>130388712.65000001</v>
      </c>
      <c r="V752" s="154">
        <v>0</v>
      </c>
      <c r="W752" s="36">
        <f>Table2[[#This Row],[Construction Contract Amount]]+Table2[[#This Row],[Cumulative Variations]]</f>
        <v>130388712.65000001</v>
      </c>
      <c r="X752" s="154">
        <v>4662507.03</v>
      </c>
      <c r="Y752" s="154">
        <v>0</v>
      </c>
      <c r="Z752" s="36">
        <f>Table2[[#This Row],[Final Contract Value]]+Table2[[#This Row],[Supervision Contract amount]]+Table2[[#This Row],[Authority Cost]]</f>
        <v>135051219.68000001</v>
      </c>
      <c r="AA752" s="154">
        <v>13053810</v>
      </c>
      <c r="AB752" s="154">
        <v>243591.44</v>
      </c>
      <c r="AC752" s="102" t="str">
        <f t="shared" si="48"/>
        <v>https://drive.google.com/thumbnail?id=1N6JLvInqt6UGVAo8jpPfLxV1anlM3LhC&amp;sz=w1000</v>
      </c>
      <c r="AD752" s="90" t="s">
        <v>896</v>
      </c>
      <c r="AE752" s="103" t="str">
        <f t="shared" si="49"/>
        <v>https://drive.google.com/thumbnail?id=1qZSXHwjD6UiZLiCnVCCPpTfeEZz74aAs&amp;sz=w1000</v>
      </c>
      <c r="AF752" s="90" t="s">
        <v>911</v>
      </c>
      <c r="AG752" s="90" t="str">
        <f t="shared" si="50"/>
        <v>https://drive.google.com/thumbnail?id=197Upk1lRbxo1iH4nl3_asxDxnnQz-xvq&amp;sz=w1000</v>
      </c>
      <c r="AH752" s="90" t="s">
        <v>926</v>
      </c>
    </row>
    <row r="753" spans="1:34" ht="22.15" customHeight="1">
      <c r="A753" s="30">
        <v>45548</v>
      </c>
      <c r="B753" s="2" t="s">
        <v>96</v>
      </c>
      <c r="C753" s="2" t="s">
        <v>99</v>
      </c>
      <c r="D753" s="16" t="str" cm="1">
        <f t="array" ref="D753">_xlfn.XLOOKUP(1, (Table1[Project Name]=Table2[[#This Row],[Project ID]])*(Table1[Plot]=Table2[[#This Row],[Plot]]), Table1[Project ID])</f>
        <v>MJ-05</v>
      </c>
      <c r="E753" s="69">
        <v>110</v>
      </c>
      <c r="F753" s="70">
        <v>620</v>
      </c>
      <c r="G753" s="69">
        <f>Table2[[#This Row],[Time Elapsed]]+Table2[[#This Row],[Time Remaining]]</f>
        <v>730</v>
      </c>
      <c r="H753" s="136" t="s">
        <v>663</v>
      </c>
      <c r="I753" s="136" t="s">
        <v>664</v>
      </c>
      <c r="J753" s="13">
        <v>7.9100000000000004E-2</v>
      </c>
      <c r="K753" s="137">
        <v>8.09E-2</v>
      </c>
      <c r="L753" s="13">
        <f>Table2[[#This Row],[Actual %]]-Table2[[#This Row],[Plan %]]</f>
        <v>1.799999999999996E-3</v>
      </c>
      <c r="M753" s="144" t="s">
        <v>283</v>
      </c>
      <c r="N753" s="12">
        <v>46175</v>
      </c>
      <c r="O753" s="12"/>
      <c r="P753" s="12">
        <v>46175</v>
      </c>
      <c r="Q753" s="198">
        <v>45555</v>
      </c>
      <c r="R753" s="146" t="s">
        <v>778</v>
      </c>
      <c r="S753" s="146" t="s">
        <v>880</v>
      </c>
      <c r="T753" s="143" t="s">
        <v>669</v>
      </c>
      <c r="U753" s="153">
        <v>130388712.65000001</v>
      </c>
      <c r="V753" s="154">
        <v>0</v>
      </c>
      <c r="W753" s="36">
        <f>Table2[[#This Row],[Construction Contract Amount]]+Table2[[#This Row],[Cumulative Variations]]</f>
        <v>130388712.65000001</v>
      </c>
      <c r="X753" s="154">
        <v>4662507.03</v>
      </c>
      <c r="Y753" s="154">
        <v>0</v>
      </c>
      <c r="Z753" s="36">
        <f>Table2[[#This Row],[Final Contract Value]]+Table2[[#This Row],[Supervision Contract amount]]+Table2[[#This Row],[Authority Cost]]</f>
        <v>135051219.68000001</v>
      </c>
      <c r="AA753" s="154">
        <v>13053810</v>
      </c>
      <c r="AB753" s="154">
        <v>243591.44</v>
      </c>
      <c r="AC753" s="102" t="str">
        <f t="shared" si="48"/>
        <v>https://drive.google.com/thumbnail?id=1N6JLvInqt6UGVAo8jpPfLxV1anlM3LhC&amp;sz=w1000</v>
      </c>
      <c r="AD753" s="90" t="s">
        <v>896</v>
      </c>
      <c r="AE753" s="103" t="str">
        <f t="shared" si="49"/>
        <v>https://drive.google.com/thumbnail?id=1qZSXHwjD6UiZLiCnVCCPpTfeEZz74aAs&amp;sz=w1000</v>
      </c>
      <c r="AF753" s="90" t="s">
        <v>911</v>
      </c>
      <c r="AG753" s="90" t="str">
        <f t="shared" si="50"/>
        <v>https://drive.google.com/thumbnail?id=197Upk1lRbxo1iH4nl3_asxDxnnQz-xvq&amp;sz=w1000</v>
      </c>
      <c r="AH753" s="90" t="s">
        <v>926</v>
      </c>
    </row>
    <row r="754" spans="1:34" ht="22.15" customHeight="1">
      <c r="A754" s="30">
        <v>45548</v>
      </c>
      <c r="B754" s="2" t="s">
        <v>96</v>
      </c>
      <c r="C754" s="2" t="s">
        <v>99</v>
      </c>
      <c r="D754" s="16" t="str" cm="1">
        <f t="array" ref="D754">_xlfn.XLOOKUP(1, (Table1[Project Name]=Table2[[#This Row],[Project ID]])*(Table1[Plot]=Table2[[#This Row],[Plot]]), Table1[Project ID])</f>
        <v>MJ-05</v>
      </c>
      <c r="E754" s="69">
        <v>110</v>
      </c>
      <c r="F754" s="70">
        <v>620</v>
      </c>
      <c r="G754" s="69">
        <f>Table2[[#This Row],[Time Elapsed]]+Table2[[#This Row],[Time Remaining]]</f>
        <v>730</v>
      </c>
      <c r="H754" s="136" t="s">
        <v>663</v>
      </c>
      <c r="I754" s="136" t="s">
        <v>664</v>
      </c>
      <c r="J754" s="13">
        <v>7.9100000000000004E-2</v>
      </c>
      <c r="K754" s="137">
        <v>8.09E-2</v>
      </c>
      <c r="L754" s="13">
        <f>Table2[[#This Row],[Actual %]]-Table2[[#This Row],[Plan %]]</f>
        <v>1.799999999999996E-3</v>
      </c>
      <c r="M754" s="144" t="s">
        <v>284</v>
      </c>
      <c r="N754" s="12">
        <v>46175</v>
      </c>
      <c r="O754" s="12"/>
      <c r="P754" s="12">
        <v>46175</v>
      </c>
      <c r="Q754" s="198">
        <v>45555</v>
      </c>
      <c r="R754" s="146" t="s">
        <v>778</v>
      </c>
      <c r="S754" s="146" t="s">
        <v>880</v>
      </c>
      <c r="T754" s="143" t="s">
        <v>669</v>
      </c>
      <c r="U754" s="153">
        <v>130388712.65000001</v>
      </c>
      <c r="V754" s="154">
        <v>0</v>
      </c>
      <c r="W754" s="36">
        <f>Table2[[#This Row],[Construction Contract Amount]]+Table2[[#This Row],[Cumulative Variations]]</f>
        <v>130388712.65000001</v>
      </c>
      <c r="X754" s="154">
        <v>4662507.03</v>
      </c>
      <c r="Y754" s="154">
        <v>0</v>
      </c>
      <c r="Z754" s="36">
        <f>Table2[[#This Row],[Final Contract Value]]+Table2[[#This Row],[Supervision Contract amount]]+Table2[[#This Row],[Authority Cost]]</f>
        <v>135051219.68000001</v>
      </c>
      <c r="AA754" s="154">
        <v>13053810</v>
      </c>
      <c r="AB754" s="154">
        <v>243591.44</v>
      </c>
      <c r="AC754" s="102" t="str">
        <f t="shared" si="48"/>
        <v>https://drive.google.com/thumbnail?id=1N6JLvInqt6UGVAo8jpPfLxV1anlM3LhC&amp;sz=w1000</v>
      </c>
      <c r="AD754" s="90" t="s">
        <v>896</v>
      </c>
      <c r="AE754" s="103" t="str">
        <f t="shared" si="49"/>
        <v>https://drive.google.com/thumbnail?id=1qZSXHwjD6UiZLiCnVCCPpTfeEZz74aAs&amp;sz=w1000</v>
      </c>
      <c r="AF754" s="90" t="s">
        <v>911</v>
      </c>
      <c r="AG754" s="90" t="str">
        <f t="shared" si="50"/>
        <v>https://drive.google.com/thumbnail?id=197Upk1lRbxo1iH4nl3_asxDxnnQz-xvq&amp;sz=w1000</v>
      </c>
      <c r="AH754" s="90" t="s">
        <v>926</v>
      </c>
    </row>
    <row r="755" spans="1:34" ht="22.15" customHeight="1">
      <c r="A755" s="30">
        <v>45548</v>
      </c>
      <c r="B755" s="2" t="s">
        <v>87</v>
      </c>
      <c r="C755" s="2" t="s">
        <v>11</v>
      </c>
      <c r="D755" s="16" t="str" cm="1">
        <f t="array" ref="D755">_xlfn.XLOOKUP(1, (Table1[Project Name]=Table2[[#This Row],[Project ID]])*(Table1[Plot]=Table2[[#This Row],[Plot]]), Table1[Project ID])</f>
        <v>MJ-06</v>
      </c>
      <c r="E755" s="69">
        <v>124</v>
      </c>
      <c r="F755" s="70">
        <v>486</v>
      </c>
      <c r="G755" s="69">
        <f>Table2[[#This Row],[Time Elapsed]]+Table2[[#This Row],[Time Remaining]]</f>
        <v>610</v>
      </c>
      <c r="H755" s="136" t="s">
        <v>864</v>
      </c>
      <c r="I755" s="136" t="s">
        <v>752</v>
      </c>
      <c r="J755" s="13">
        <v>5.4199999999999998E-2</v>
      </c>
      <c r="K755" s="137">
        <v>2.2800000000000001E-2</v>
      </c>
      <c r="L755" s="13">
        <f>Table2[[#This Row],[Actual %]]-Table2[[#This Row],[Plan %]]</f>
        <v>-3.1399999999999997E-2</v>
      </c>
      <c r="M755" s="144" t="s">
        <v>285</v>
      </c>
      <c r="N755" s="12">
        <v>45427</v>
      </c>
      <c r="O755" s="12">
        <v>45427</v>
      </c>
      <c r="P755" s="12"/>
      <c r="Q755" s="198">
        <v>45555</v>
      </c>
      <c r="R755" s="136" t="s">
        <v>783</v>
      </c>
      <c r="S755" s="136" t="s">
        <v>784</v>
      </c>
      <c r="T755" s="143" t="s">
        <v>881</v>
      </c>
      <c r="U755" s="199">
        <v>94981423.150000006</v>
      </c>
      <c r="V755" s="152">
        <v>0</v>
      </c>
      <c r="W755" s="36">
        <f>Table2[[#This Row],[Construction Contract Amount]]+Table2[[#This Row],[Cumulative Variations]]</f>
        <v>94981423.150000006</v>
      </c>
      <c r="X755" s="152">
        <v>3708466.35</v>
      </c>
      <c r="Y755" s="152">
        <v>0</v>
      </c>
      <c r="Z755" s="36">
        <f>Table2[[#This Row],[Final Contract Value]]+Table2[[#This Row],[Supervision Contract amount]]+Table2[[#This Row],[Authority Cost]]</f>
        <v>98689889.5</v>
      </c>
      <c r="AA755" s="36">
        <v>1208000</v>
      </c>
      <c r="AB755" s="36"/>
      <c r="AC755" s="102" t="str">
        <f t="shared" si="48"/>
        <v>https://drive.google.com/thumbnail?id=1plIl4OwrTQiOuqIP5TrPp953bH0vUYQ-&amp;sz=w1000</v>
      </c>
      <c r="AD755" s="90" t="s">
        <v>897</v>
      </c>
      <c r="AE755" s="103" t="str">
        <f t="shared" si="49"/>
        <v>https://drive.google.com/thumbnail?id=1-9vqHAxMY7EOdGCf_1JiVVh1sMtEsHwD&amp;sz=w1000</v>
      </c>
      <c r="AF755" s="90" t="s">
        <v>912</v>
      </c>
      <c r="AG755" s="90" t="str">
        <f t="shared" si="50"/>
        <v>https://drive.google.com/thumbnail?id=1BakHXePkW3JZxwSnUkqqZxtPshE0ewsY&amp;sz=w1000</v>
      </c>
      <c r="AH755" s="90" t="s">
        <v>927</v>
      </c>
    </row>
    <row r="756" spans="1:34" ht="22.15" customHeight="1">
      <c r="A756" s="30">
        <v>45548</v>
      </c>
      <c r="B756" s="2" t="s">
        <v>87</v>
      </c>
      <c r="C756" s="2" t="s">
        <v>11</v>
      </c>
      <c r="D756" s="16" t="str" cm="1">
        <f t="array" ref="D756">_xlfn.XLOOKUP(1, (Table1[Project Name]=Table2[[#This Row],[Project ID]])*(Table1[Plot]=Table2[[#This Row],[Plot]]), Table1[Project ID])</f>
        <v>MJ-06</v>
      </c>
      <c r="E756" s="69">
        <v>124</v>
      </c>
      <c r="F756" s="70">
        <v>486</v>
      </c>
      <c r="G756" s="69">
        <f>Table2[[#This Row],[Time Elapsed]]+Table2[[#This Row],[Time Remaining]]</f>
        <v>610</v>
      </c>
      <c r="H756" s="136" t="s">
        <v>864</v>
      </c>
      <c r="I756" s="136" t="s">
        <v>752</v>
      </c>
      <c r="J756" s="13">
        <v>5.4199999999999998E-2</v>
      </c>
      <c r="K756" s="137">
        <v>2.2800000000000001E-2</v>
      </c>
      <c r="L756" s="13">
        <f>Table2[[#This Row],[Actual %]]-Table2[[#This Row],[Plan %]]</f>
        <v>-3.1399999999999997E-2</v>
      </c>
      <c r="M756" s="144" t="s">
        <v>287</v>
      </c>
      <c r="N756" s="12">
        <v>45433</v>
      </c>
      <c r="O756" s="12">
        <v>45433</v>
      </c>
      <c r="P756" s="12"/>
      <c r="Q756" s="198">
        <v>45555</v>
      </c>
      <c r="R756" s="136" t="s">
        <v>783</v>
      </c>
      <c r="S756" s="136" t="s">
        <v>784</v>
      </c>
      <c r="T756" s="143" t="s">
        <v>881</v>
      </c>
      <c r="U756" s="199">
        <v>94981423.150000006</v>
      </c>
      <c r="V756" s="152">
        <v>0</v>
      </c>
      <c r="W756" s="36">
        <f>Table2[[#This Row],[Construction Contract Amount]]+Table2[[#This Row],[Cumulative Variations]]</f>
        <v>94981423.150000006</v>
      </c>
      <c r="X756" s="152">
        <v>3708466.35</v>
      </c>
      <c r="Y756" s="152">
        <v>0</v>
      </c>
      <c r="Z756" s="36">
        <f>Table2[[#This Row],[Final Contract Value]]+Table2[[#This Row],[Supervision Contract amount]]+Table2[[#This Row],[Authority Cost]]</f>
        <v>98689889.5</v>
      </c>
      <c r="AA756" s="36">
        <v>1208000</v>
      </c>
      <c r="AB756" s="36"/>
      <c r="AC756" s="102" t="str">
        <f t="shared" si="48"/>
        <v>https://drive.google.com/thumbnail?id=1plIl4OwrTQiOuqIP5TrPp953bH0vUYQ-&amp;sz=w1000</v>
      </c>
      <c r="AD756" s="90" t="s">
        <v>897</v>
      </c>
      <c r="AE756" s="103" t="str">
        <f t="shared" si="49"/>
        <v>https://drive.google.com/thumbnail?id=1-9vqHAxMY7EOdGCf_1JiVVh1sMtEsHwD&amp;sz=w1000</v>
      </c>
      <c r="AF756" s="90" t="s">
        <v>912</v>
      </c>
      <c r="AG756" s="90" t="str">
        <f t="shared" si="50"/>
        <v>https://drive.google.com/thumbnail?id=1BakHXePkW3JZxwSnUkqqZxtPshE0ewsY&amp;sz=w1000</v>
      </c>
      <c r="AH756" s="90" t="s">
        <v>927</v>
      </c>
    </row>
    <row r="757" spans="1:34" ht="22.15" customHeight="1">
      <c r="A757" s="30">
        <v>45548</v>
      </c>
      <c r="B757" s="2" t="s">
        <v>87</v>
      </c>
      <c r="C757" s="2" t="s">
        <v>11</v>
      </c>
      <c r="D757" s="16" t="str" cm="1">
        <f t="array" ref="D757">_xlfn.XLOOKUP(1, (Table1[Project Name]=Table2[[#This Row],[Project ID]])*(Table1[Plot]=Table2[[#This Row],[Plot]]), Table1[Project ID])</f>
        <v>MJ-06</v>
      </c>
      <c r="E757" s="69">
        <v>124</v>
      </c>
      <c r="F757" s="70">
        <v>486</v>
      </c>
      <c r="G757" s="69">
        <f>Table2[[#This Row],[Time Elapsed]]+Table2[[#This Row],[Time Remaining]]</f>
        <v>610</v>
      </c>
      <c r="H757" s="136" t="s">
        <v>864</v>
      </c>
      <c r="I757" s="136" t="s">
        <v>752</v>
      </c>
      <c r="J757" s="13">
        <v>5.4199999999999998E-2</v>
      </c>
      <c r="K757" s="137">
        <v>2.2800000000000001E-2</v>
      </c>
      <c r="L757" s="13">
        <f>Table2[[#This Row],[Actual %]]-Table2[[#This Row],[Plan %]]</f>
        <v>-3.1399999999999997E-2</v>
      </c>
      <c r="M757" s="144" t="s">
        <v>51</v>
      </c>
      <c r="N757" s="12">
        <v>45495</v>
      </c>
      <c r="O757" s="12"/>
      <c r="P757" s="12">
        <v>45561</v>
      </c>
      <c r="Q757" s="198">
        <v>45555</v>
      </c>
      <c r="R757" s="136" t="s">
        <v>783</v>
      </c>
      <c r="S757" s="136" t="s">
        <v>784</v>
      </c>
      <c r="T757" s="143" t="s">
        <v>881</v>
      </c>
      <c r="U757" s="199">
        <v>94981423.150000006</v>
      </c>
      <c r="V757" s="152">
        <v>0</v>
      </c>
      <c r="W757" s="36">
        <f>Table2[[#This Row],[Construction Contract Amount]]+Table2[[#This Row],[Cumulative Variations]]</f>
        <v>94981423.150000006</v>
      </c>
      <c r="X757" s="152">
        <v>3708466.35</v>
      </c>
      <c r="Y757" s="152">
        <v>0</v>
      </c>
      <c r="Z757" s="36">
        <f>Table2[[#This Row],[Final Contract Value]]+Table2[[#This Row],[Supervision Contract amount]]+Table2[[#This Row],[Authority Cost]]</f>
        <v>98689889.5</v>
      </c>
      <c r="AA757" s="36">
        <v>1208000</v>
      </c>
      <c r="AB757" s="36"/>
      <c r="AC757" s="102" t="str">
        <f t="shared" si="48"/>
        <v>https://drive.google.com/thumbnail?id=1plIl4OwrTQiOuqIP5TrPp953bH0vUYQ-&amp;sz=w1000</v>
      </c>
      <c r="AD757" s="90" t="s">
        <v>897</v>
      </c>
      <c r="AE757" s="103" t="str">
        <f t="shared" si="49"/>
        <v>https://drive.google.com/thumbnail?id=1-9vqHAxMY7EOdGCf_1JiVVh1sMtEsHwD&amp;sz=w1000</v>
      </c>
      <c r="AF757" s="90" t="s">
        <v>912</v>
      </c>
      <c r="AG757" s="90" t="str">
        <f t="shared" si="50"/>
        <v>https://drive.google.com/thumbnail?id=1BakHXePkW3JZxwSnUkqqZxtPshE0ewsY&amp;sz=w1000</v>
      </c>
      <c r="AH757" s="90" t="s">
        <v>927</v>
      </c>
    </row>
    <row r="758" spans="1:34" ht="22.15" customHeight="1">
      <c r="A758" s="30">
        <v>45548</v>
      </c>
      <c r="B758" s="2" t="s">
        <v>87</v>
      </c>
      <c r="C758" s="2" t="s">
        <v>11</v>
      </c>
      <c r="D758" s="16" t="str" cm="1">
        <f t="array" ref="D758">_xlfn.XLOOKUP(1, (Table1[Project Name]=Table2[[#This Row],[Project ID]])*(Table1[Plot]=Table2[[#This Row],[Plot]]), Table1[Project ID])</f>
        <v>MJ-06</v>
      </c>
      <c r="E758" s="69">
        <v>124</v>
      </c>
      <c r="F758" s="70">
        <v>486</v>
      </c>
      <c r="G758" s="69">
        <f>Table2[[#This Row],[Time Elapsed]]+Table2[[#This Row],[Time Remaining]]</f>
        <v>610</v>
      </c>
      <c r="H758" s="136" t="s">
        <v>864</v>
      </c>
      <c r="I758" s="136" t="s">
        <v>752</v>
      </c>
      <c r="J758" s="13">
        <v>5.4199999999999998E-2</v>
      </c>
      <c r="K758" s="137">
        <v>2.2800000000000001E-2</v>
      </c>
      <c r="L758" s="13">
        <f>Table2[[#This Row],[Actual %]]-Table2[[#This Row],[Plan %]]</f>
        <v>-3.1399999999999997E-2</v>
      </c>
      <c r="M758" s="144" t="s">
        <v>786</v>
      </c>
      <c r="N758" s="12">
        <v>45549</v>
      </c>
      <c r="O758" s="228"/>
      <c r="P758" s="12">
        <v>45591</v>
      </c>
      <c r="Q758" s="198">
        <v>45555</v>
      </c>
      <c r="R758" s="136" t="s">
        <v>783</v>
      </c>
      <c r="S758" s="136" t="s">
        <v>784</v>
      </c>
      <c r="T758" s="143" t="s">
        <v>881</v>
      </c>
      <c r="U758" s="199">
        <v>94981423.150000006</v>
      </c>
      <c r="V758" s="152">
        <v>0</v>
      </c>
      <c r="W758" s="36">
        <f>Table2[[#This Row],[Construction Contract Amount]]+Table2[[#This Row],[Cumulative Variations]]</f>
        <v>94981423.150000006</v>
      </c>
      <c r="X758" s="152">
        <v>3708466.35</v>
      </c>
      <c r="Y758" s="152">
        <v>0</v>
      </c>
      <c r="Z758" s="36">
        <f>Table2[[#This Row],[Final Contract Value]]+Table2[[#This Row],[Supervision Contract amount]]+Table2[[#This Row],[Authority Cost]]</f>
        <v>98689889.5</v>
      </c>
      <c r="AA758" s="36">
        <v>1208000</v>
      </c>
      <c r="AB758" s="36"/>
      <c r="AC758" s="102" t="str">
        <f t="shared" si="48"/>
        <v>https://drive.google.com/thumbnail?id=1plIl4OwrTQiOuqIP5TrPp953bH0vUYQ-&amp;sz=w1000</v>
      </c>
      <c r="AD758" s="90" t="s">
        <v>897</v>
      </c>
      <c r="AE758" s="103" t="str">
        <f t="shared" si="49"/>
        <v>https://drive.google.com/thumbnail?id=1-9vqHAxMY7EOdGCf_1JiVVh1sMtEsHwD&amp;sz=w1000</v>
      </c>
      <c r="AF758" s="90" t="s">
        <v>912</v>
      </c>
      <c r="AG758" s="90" t="str">
        <f t="shared" si="50"/>
        <v>https://drive.google.com/thumbnail?id=1BakHXePkW3JZxwSnUkqqZxtPshE0ewsY&amp;sz=w1000</v>
      </c>
      <c r="AH758" s="90" t="s">
        <v>927</v>
      </c>
    </row>
    <row r="759" spans="1:34" ht="22.15" customHeight="1">
      <c r="A759" s="30">
        <v>45548</v>
      </c>
      <c r="B759" s="2" t="s">
        <v>87</v>
      </c>
      <c r="C759" s="2" t="s">
        <v>11</v>
      </c>
      <c r="D759" s="16" t="str" cm="1">
        <f t="array" ref="D759">_xlfn.XLOOKUP(1, (Table1[Project Name]=Table2[[#This Row],[Project ID]])*(Table1[Plot]=Table2[[#This Row],[Plot]]), Table1[Project ID])</f>
        <v>MJ-06</v>
      </c>
      <c r="E759" s="69">
        <v>124</v>
      </c>
      <c r="F759" s="70">
        <v>486</v>
      </c>
      <c r="G759" s="69">
        <f>Table2[[#This Row],[Time Elapsed]]+Table2[[#This Row],[Time Remaining]]</f>
        <v>610</v>
      </c>
      <c r="H759" s="136" t="s">
        <v>864</v>
      </c>
      <c r="I759" s="136" t="s">
        <v>752</v>
      </c>
      <c r="J759" s="13">
        <v>5.4199999999999998E-2</v>
      </c>
      <c r="K759" s="137">
        <v>2.2800000000000001E-2</v>
      </c>
      <c r="L759" s="13">
        <f>Table2[[#This Row],[Actual %]]-Table2[[#This Row],[Plan %]]</f>
        <v>-3.1399999999999997E-2</v>
      </c>
      <c r="M759" s="144" t="s">
        <v>753</v>
      </c>
      <c r="N759" s="12">
        <v>45549</v>
      </c>
      <c r="O759" s="12"/>
      <c r="P759" s="12">
        <v>45591</v>
      </c>
      <c r="Q759" s="198">
        <v>45555</v>
      </c>
      <c r="R759" s="136" t="s">
        <v>783</v>
      </c>
      <c r="S759" s="136" t="s">
        <v>784</v>
      </c>
      <c r="T759" s="143" t="s">
        <v>881</v>
      </c>
      <c r="U759" s="199">
        <v>94981423.150000006</v>
      </c>
      <c r="V759" s="152">
        <v>0</v>
      </c>
      <c r="W759" s="36">
        <f>Table2[[#This Row],[Construction Contract Amount]]+Table2[[#This Row],[Cumulative Variations]]</f>
        <v>94981423.150000006</v>
      </c>
      <c r="X759" s="152">
        <v>3708466.35</v>
      </c>
      <c r="Y759" s="152">
        <v>0</v>
      </c>
      <c r="Z759" s="36">
        <f>Table2[[#This Row],[Final Contract Value]]+Table2[[#This Row],[Supervision Contract amount]]+Table2[[#This Row],[Authority Cost]]</f>
        <v>98689889.5</v>
      </c>
      <c r="AA759" s="36">
        <v>1208000</v>
      </c>
      <c r="AB759" s="36"/>
      <c r="AC759" s="102" t="str">
        <f t="shared" si="48"/>
        <v>https://drive.google.com/thumbnail?id=1plIl4OwrTQiOuqIP5TrPp953bH0vUYQ-&amp;sz=w1000</v>
      </c>
      <c r="AD759" s="90" t="s">
        <v>897</v>
      </c>
      <c r="AE759" s="103" t="str">
        <f t="shared" si="49"/>
        <v>https://drive.google.com/thumbnail?id=1-9vqHAxMY7EOdGCf_1JiVVh1sMtEsHwD&amp;sz=w1000</v>
      </c>
      <c r="AF759" s="90" t="s">
        <v>912</v>
      </c>
      <c r="AG759" s="90" t="str">
        <f t="shared" si="50"/>
        <v>https://drive.google.com/thumbnail?id=1BakHXePkW3JZxwSnUkqqZxtPshE0ewsY&amp;sz=w1000</v>
      </c>
      <c r="AH759" s="90" t="s">
        <v>927</v>
      </c>
    </row>
    <row r="760" spans="1:34" ht="22.15" customHeight="1">
      <c r="A760" s="30">
        <v>45548</v>
      </c>
      <c r="B760" s="2" t="s">
        <v>87</v>
      </c>
      <c r="C760" s="2" t="s">
        <v>11</v>
      </c>
      <c r="D760" s="16" t="str" cm="1">
        <f t="array" ref="D760">_xlfn.XLOOKUP(1, (Table1[Project Name]=Table2[[#This Row],[Project ID]])*(Table1[Plot]=Table2[[#This Row],[Plot]]), Table1[Project ID])</f>
        <v>MJ-06</v>
      </c>
      <c r="E760" s="69">
        <v>124</v>
      </c>
      <c r="F760" s="70">
        <v>486</v>
      </c>
      <c r="G760" s="69">
        <f>Table2[[#This Row],[Time Elapsed]]+Table2[[#This Row],[Time Remaining]]</f>
        <v>610</v>
      </c>
      <c r="H760" s="136" t="s">
        <v>864</v>
      </c>
      <c r="I760" s="136" t="s">
        <v>752</v>
      </c>
      <c r="J760" s="13">
        <v>5.4199999999999998E-2</v>
      </c>
      <c r="K760" s="137">
        <v>2.2800000000000001E-2</v>
      </c>
      <c r="L760" s="13">
        <f>Table2[[#This Row],[Actual %]]-Table2[[#This Row],[Plan %]]</f>
        <v>-3.1399999999999997E-2</v>
      </c>
      <c r="M760" s="144" t="s">
        <v>787</v>
      </c>
      <c r="N760" s="12">
        <v>45556</v>
      </c>
      <c r="O760" s="228"/>
      <c r="P760" s="12">
        <v>45598</v>
      </c>
      <c r="Q760" s="198">
        <v>45555</v>
      </c>
      <c r="R760" s="136" t="s">
        <v>783</v>
      </c>
      <c r="S760" s="136" t="s">
        <v>784</v>
      </c>
      <c r="T760" s="143" t="s">
        <v>881</v>
      </c>
      <c r="U760" s="199">
        <v>94981423.150000006</v>
      </c>
      <c r="V760" s="152">
        <v>0</v>
      </c>
      <c r="W760" s="36">
        <f>Table2[[#This Row],[Construction Contract Amount]]+Table2[[#This Row],[Cumulative Variations]]</f>
        <v>94981423.150000006</v>
      </c>
      <c r="X760" s="152">
        <v>3708466.35</v>
      </c>
      <c r="Y760" s="152">
        <v>0</v>
      </c>
      <c r="Z760" s="36">
        <f>Table2[[#This Row],[Final Contract Value]]+Table2[[#This Row],[Supervision Contract amount]]+Table2[[#This Row],[Authority Cost]]</f>
        <v>98689889.5</v>
      </c>
      <c r="AA760" s="36">
        <v>1208000</v>
      </c>
      <c r="AB760" s="36"/>
      <c r="AC760" s="102" t="str">
        <f t="shared" si="48"/>
        <v>https://drive.google.com/thumbnail?id=1plIl4OwrTQiOuqIP5TrPp953bH0vUYQ-&amp;sz=w1000</v>
      </c>
      <c r="AD760" s="90" t="s">
        <v>897</v>
      </c>
      <c r="AE760" s="103" t="str">
        <f t="shared" si="49"/>
        <v>https://drive.google.com/thumbnail?id=1-9vqHAxMY7EOdGCf_1JiVVh1sMtEsHwD&amp;sz=w1000</v>
      </c>
      <c r="AF760" s="90" t="s">
        <v>912</v>
      </c>
      <c r="AG760" s="90" t="str">
        <f t="shared" si="50"/>
        <v>https://drive.google.com/thumbnail?id=1BakHXePkW3JZxwSnUkqqZxtPshE0ewsY&amp;sz=w1000</v>
      </c>
      <c r="AH760" s="90" t="s">
        <v>927</v>
      </c>
    </row>
    <row r="761" spans="1:34" ht="22.15" customHeight="1">
      <c r="A761" s="30">
        <v>45548</v>
      </c>
      <c r="B761" s="2" t="s">
        <v>87</v>
      </c>
      <c r="C761" s="2" t="s">
        <v>11</v>
      </c>
      <c r="D761" s="16" t="str" cm="1">
        <f t="array" ref="D761">_xlfn.XLOOKUP(1, (Table1[Project Name]=Table2[[#This Row],[Project ID]])*(Table1[Plot]=Table2[[#This Row],[Plot]]), Table1[Project ID])</f>
        <v>MJ-06</v>
      </c>
      <c r="E761" s="69">
        <v>124</v>
      </c>
      <c r="F761" s="70">
        <v>486</v>
      </c>
      <c r="G761" s="69">
        <f>Table2[[#This Row],[Time Elapsed]]+Table2[[#This Row],[Time Remaining]]</f>
        <v>610</v>
      </c>
      <c r="H761" s="136" t="s">
        <v>864</v>
      </c>
      <c r="I761" s="136" t="s">
        <v>752</v>
      </c>
      <c r="J761" s="13">
        <v>5.4199999999999998E-2</v>
      </c>
      <c r="K761" s="137">
        <v>2.2800000000000001E-2</v>
      </c>
      <c r="L761" s="13">
        <f>Table2[[#This Row],[Actual %]]-Table2[[#This Row],[Plan %]]</f>
        <v>-3.1399999999999997E-2</v>
      </c>
      <c r="M761" s="144" t="s">
        <v>788</v>
      </c>
      <c r="N761" s="12">
        <v>45556</v>
      </c>
      <c r="O761" s="12"/>
      <c r="P761" s="12">
        <f>P760</f>
        <v>45598</v>
      </c>
      <c r="Q761" s="198">
        <v>45555</v>
      </c>
      <c r="R761" s="136" t="s">
        <v>783</v>
      </c>
      <c r="S761" s="136" t="s">
        <v>784</v>
      </c>
      <c r="T761" s="143" t="s">
        <v>881</v>
      </c>
      <c r="U761" s="199">
        <v>94981423.150000006</v>
      </c>
      <c r="V761" s="152">
        <v>0</v>
      </c>
      <c r="W761" s="36">
        <f>Table2[[#This Row],[Construction Contract Amount]]+Table2[[#This Row],[Cumulative Variations]]</f>
        <v>94981423.150000006</v>
      </c>
      <c r="X761" s="152">
        <v>3708466.35</v>
      </c>
      <c r="Y761" s="152">
        <v>0</v>
      </c>
      <c r="Z761" s="36">
        <f>Table2[[#This Row],[Final Contract Value]]+Table2[[#This Row],[Supervision Contract amount]]+Table2[[#This Row],[Authority Cost]]</f>
        <v>98689889.5</v>
      </c>
      <c r="AA761" s="36">
        <v>1208000</v>
      </c>
      <c r="AB761" s="36"/>
      <c r="AC761" s="102" t="str">
        <f t="shared" si="48"/>
        <v>https://drive.google.com/thumbnail?id=1plIl4OwrTQiOuqIP5TrPp953bH0vUYQ-&amp;sz=w1000</v>
      </c>
      <c r="AD761" s="90" t="s">
        <v>897</v>
      </c>
      <c r="AE761" s="103" t="str">
        <f t="shared" si="49"/>
        <v>https://drive.google.com/thumbnail?id=1-9vqHAxMY7EOdGCf_1JiVVh1sMtEsHwD&amp;sz=w1000</v>
      </c>
      <c r="AF761" s="90" t="s">
        <v>912</v>
      </c>
      <c r="AG761" s="90" t="str">
        <f t="shared" si="50"/>
        <v>https://drive.google.com/thumbnail?id=1BakHXePkW3JZxwSnUkqqZxtPshE0ewsY&amp;sz=w1000</v>
      </c>
      <c r="AH761" s="90" t="s">
        <v>927</v>
      </c>
    </row>
    <row r="762" spans="1:34" ht="22.15" customHeight="1">
      <c r="A762" s="30">
        <v>45548</v>
      </c>
      <c r="B762" s="2" t="s">
        <v>91</v>
      </c>
      <c r="C762" s="2" t="s">
        <v>94</v>
      </c>
      <c r="D762" s="16" t="str" cm="1">
        <f t="array" ref="D762">_xlfn.XLOOKUP(1, (Table1[Project Name]=Table2[[#This Row],[Project ID]])*(Table1[Plot]=Table2[[#This Row],[Plot]]), Table1[Project ID])</f>
        <v>MJ-07</v>
      </c>
      <c r="E762" s="69">
        <v>124</v>
      </c>
      <c r="F762" s="70">
        <v>486</v>
      </c>
      <c r="G762" s="69">
        <f>Table2[[#This Row],[Time Elapsed]]+Table2[[#This Row],[Time Remaining]]</f>
        <v>610</v>
      </c>
      <c r="H762" s="136" t="s">
        <v>765</v>
      </c>
      <c r="I762" s="136" t="s">
        <v>743</v>
      </c>
      <c r="J762" s="13">
        <v>7.2999999999999995E-2</v>
      </c>
      <c r="K762" s="137">
        <v>3.2099999999999997E-2</v>
      </c>
      <c r="L762" s="13">
        <f>Table2[[#This Row],[Actual %]]-Table2[[#This Row],[Plan %]]</f>
        <v>-4.0899999999999999E-2</v>
      </c>
      <c r="M762" s="144" t="s">
        <v>285</v>
      </c>
      <c r="N762" s="12">
        <v>45427</v>
      </c>
      <c r="O762" s="12">
        <v>45427</v>
      </c>
      <c r="P762" s="12"/>
      <c r="Q762" s="198">
        <v>45555</v>
      </c>
      <c r="R762" s="136" t="s">
        <v>747</v>
      </c>
      <c r="S762" s="136" t="s">
        <v>789</v>
      </c>
      <c r="T762" s="143" t="s">
        <v>882</v>
      </c>
      <c r="U762" s="199">
        <v>97238576.530000001</v>
      </c>
      <c r="V762" s="152">
        <v>0</v>
      </c>
      <c r="W762" s="36">
        <f>Table2[[#This Row],[Construction Contract Amount]]+Table2[[#This Row],[Cumulative Variations]]</f>
        <v>97238576.530000001</v>
      </c>
      <c r="X762" s="152">
        <v>3344531.65</v>
      </c>
      <c r="Y762" s="152">
        <v>0</v>
      </c>
      <c r="Z762" s="36">
        <f>Table2[[#This Row],[Final Contract Value]]+Table2[[#This Row],[Supervision Contract amount]]+Table2[[#This Row],[Authority Cost]]</f>
        <v>100583108.18000001</v>
      </c>
      <c r="AA762" s="152">
        <v>1208000</v>
      </c>
      <c r="AB762" s="36"/>
      <c r="AC762" s="102" t="str">
        <f t="shared" si="48"/>
        <v>https://drive.google.com/thumbnail?id=1nvLtx1HJOnLb38HmGIORDb_hqRjZMsuK&amp;sz=w1000</v>
      </c>
      <c r="AD762" s="90" t="s">
        <v>898</v>
      </c>
      <c r="AE762" s="103" t="str">
        <f t="shared" si="49"/>
        <v>https://drive.google.com/thumbnail?id=1FRRXo6J4o4AZtg9BHSw3llGraq7T31kv&amp;sz=w1000</v>
      </c>
      <c r="AF762" s="90" t="s">
        <v>913</v>
      </c>
      <c r="AG762" s="90" t="str">
        <f t="shared" si="50"/>
        <v>https://drive.google.com/thumbnail?id=1AoH0Y4ciTRcsU5X6S4aZ3HZiPs325E2e&amp;sz=w1000</v>
      </c>
      <c r="AH762" s="90" t="s">
        <v>928</v>
      </c>
    </row>
    <row r="763" spans="1:34" ht="22.15" customHeight="1">
      <c r="A763" s="30">
        <v>45548</v>
      </c>
      <c r="B763" s="2" t="s">
        <v>91</v>
      </c>
      <c r="C763" s="2" t="s">
        <v>94</v>
      </c>
      <c r="D763" s="16" t="str" cm="1">
        <f t="array" ref="D763">_xlfn.XLOOKUP(1, (Table1[Project Name]=Table2[[#This Row],[Project ID]])*(Table1[Plot]=Table2[[#This Row],[Plot]]), Table1[Project ID])</f>
        <v>MJ-07</v>
      </c>
      <c r="E763" s="69">
        <v>124</v>
      </c>
      <c r="F763" s="70">
        <v>486</v>
      </c>
      <c r="G763" s="69">
        <f>Table2[[#This Row],[Time Elapsed]]+Table2[[#This Row],[Time Remaining]]</f>
        <v>610</v>
      </c>
      <c r="H763" s="136" t="s">
        <v>765</v>
      </c>
      <c r="I763" s="136" t="s">
        <v>743</v>
      </c>
      <c r="J763" s="13">
        <v>7.2999999999999995E-2</v>
      </c>
      <c r="K763" s="137">
        <v>3.2099999999999997E-2</v>
      </c>
      <c r="L763" s="13">
        <f>Table2[[#This Row],[Actual %]]-Table2[[#This Row],[Plan %]]</f>
        <v>-4.0899999999999999E-2</v>
      </c>
      <c r="M763" s="144" t="s">
        <v>287</v>
      </c>
      <c r="N763" s="12">
        <v>45433</v>
      </c>
      <c r="O763" s="12">
        <v>45433</v>
      </c>
      <c r="P763" s="12"/>
      <c r="Q763" s="198">
        <v>45555</v>
      </c>
      <c r="R763" s="136" t="s">
        <v>747</v>
      </c>
      <c r="S763" s="136" t="s">
        <v>288</v>
      </c>
      <c r="T763" s="143" t="s">
        <v>882</v>
      </c>
      <c r="U763" s="199">
        <v>97238576.530000001</v>
      </c>
      <c r="V763" s="152">
        <v>0</v>
      </c>
      <c r="W763" s="36">
        <f>Table2[[#This Row],[Construction Contract Amount]]+Table2[[#This Row],[Cumulative Variations]]</f>
        <v>97238576.530000001</v>
      </c>
      <c r="X763" s="152">
        <v>3344531.65</v>
      </c>
      <c r="Y763" s="152">
        <v>0</v>
      </c>
      <c r="Z763" s="36">
        <f>Table2[[#This Row],[Final Contract Value]]+Table2[[#This Row],[Supervision Contract amount]]+Table2[[#This Row],[Authority Cost]]</f>
        <v>100583108.18000001</v>
      </c>
      <c r="AA763" s="152">
        <v>1208000</v>
      </c>
      <c r="AB763" s="36"/>
      <c r="AC763" s="102" t="str">
        <f t="shared" si="48"/>
        <v>https://drive.google.com/thumbnail?id=1nvLtx1HJOnLb38HmGIORDb_hqRjZMsuK&amp;sz=w1000</v>
      </c>
      <c r="AD763" s="90" t="s">
        <v>898</v>
      </c>
      <c r="AE763" s="103" t="str">
        <f t="shared" si="49"/>
        <v>https://drive.google.com/thumbnail?id=1FRRXo6J4o4AZtg9BHSw3llGraq7T31kv&amp;sz=w1000</v>
      </c>
      <c r="AF763" s="90" t="s">
        <v>913</v>
      </c>
      <c r="AG763" s="90" t="str">
        <f t="shared" si="50"/>
        <v>https://drive.google.com/thumbnail?id=1AoH0Y4ciTRcsU5X6S4aZ3HZiPs325E2e&amp;sz=w1000</v>
      </c>
      <c r="AH763" s="90" t="s">
        <v>928</v>
      </c>
    </row>
    <row r="764" spans="1:34" ht="22.15" customHeight="1">
      <c r="A764" s="30">
        <v>45548</v>
      </c>
      <c r="B764" s="2" t="s">
        <v>91</v>
      </c>
      <c r="C764" s="2" t="s">
        <v>94</v>
      </c>
      <c r="D764" s="16" t="str" cm="1">
        <f t="array" ref="D764">_xlfn.XLOOKUP(1, (Table1[Project Name]=Table2[[#This Row],[Project ID]])*(Table1[Plot]=Table2[[#This Row],[Plot]]), Table1[Project ID])</f>
        <v>MJ-07</v>
      </c>
      <c r="E764" s="69">
        <v>124</v>
      </c>
      <c r="F764" s="70">
        <v>486</v>
      </c>
      <c r="G764" s="69">
        <f>Table2[[#This Row],[Time Elapsed]]+Table2[[#This Row],[Time Remaining]]</f>
        <v>610</v>
      </c>
      <c r="H764" s="136" t="s">
        <v>765</v>
      </c>
      <c r="I764" s="136" t="s">
        <v>743</v>
      </c>
      <c r="J764" s="13">
        <v>7.2999999999999995E-2</v>
      </c>
      <c r="K764" s="137">
        <v>3.2099999999999997E-2</v>
      </c>
      <c r="L764" s="13">
        <f>Table2[[#This Row],[Actual %]]-Table2[[#This Row],[Plan %]]</f>
        <v>-4.0899999999999999E-2</v>
      </c>
      <c r="M764" s="144" t="s">
        <v>51</v>
      </c>
      <c r="N764" s="12">
        <v>45493</v>
      </c>
      <c r="O764" s="12"/>
      <c r="P764" s="12">
        <v>45561</v>
      </c>
      <c r="Q764" s="198">
        <v>45555</v>
      </c>
      <c r="R764" s="136" t="s">
        <v>747</v>
      </c>
      <c r="S764" s="136" t="s">
        <v>288</v>
      </c>
      <c r="T764" s="143" t="s">
        <v>882</v>
      </c>
      <c r="U764" s="199">
        <v>97238576.530000001</v>
      </c>
      <c r="V764" s="152">
        <v>0</v>
      </c>
      <c r="W764" s="36">
        <f>Table2[[#This Row],[Construction Contract Amount]]+Table2[[#This Row],[Cumulative Variations]]</f>
        <v>97238576.530000001</v>
      </c>
      <c r="X764" s="152">
        <v>3344531.65</v>
      </c>
      <c r="Y764" s="152">
        <v>0</v>
      </c>
      <c r="Z764" s="36">
        <f>Table2[[#This Row],[Final Contract Value]]+Table2[[#This Row],[Supervision Contract amount]]+Table2[[#This Row],[Authority Cost]]</f>
        <v>100583108.18000001</v>
      </c>
      <c r="AA764" s="152">
        <v>1208000</v>
      </c>
      <c r="AB764" s="36"/>
      <c r="AC764" s="102" t="str">
        <f t="shared" si="48"/>
        <v>https://drive.google.com/thumbnail?id=1nvLtx1HJOnLb38HmGIORDb_hqRjZMsuK&amp;sz=w1000</v>
      </c>
      <c r="AD764" s="90" t="s">
        <v>898</v>
      </c>
      <c r="AE764" s="103" t="str">
        <f t="shared" si="49"/>
        <v>https://drive.google.com/thumbnail?id=1FRRXo6J4o4AZtg9BHSw3llGraq7T31kv&amp;sz=w1000</v>
      </c>
      <c r="AF764" s="90" t="s">
        <v>913</v>
      </c>
      <c r="AG764" s="90" t="str">
        <f t="shared" si="50"/>
        <v>https://drive.google.com/thumbnail?id=1AoH0Y4ciTRcsU5X6S4aZ3HZiPs325E2e&amp;sz=w1000</v>
      </c>
      <c r="AH764" s="90" t="s">
        <v>928</v>
      </c>
    </row>
    <row r="765" spans="1:34" ht="22.15" customHeight="1">
      <c r="A765" s="30">
        <v>45548</v>
      </c>
      <c r="B765" s="2" t="s">
        <v>91</v>
      </c>
      <c r="C765" s="2" t="s">
        <v>94</v>
      </c>
      <c r="D765" s="16" t="str" cm="1">
        <f t="array" ref="D765">_xlfn.XLOOKUP(1, (Table1[Project Name]=Table2[[#This Row],[Project ID]])*(Table1[Plot]=Table2[[#This Row],[Plot]]), Table1[Project ID])</f>
        <v>MJ-07</v>
      </c>
      <c r="E765" s="69">
        <v>124</v>
      </c>
      <c r="F765" s="70">
        <v>486</v>
      </c>
      <c r="G765" s="69">
        <f>Table2[[#This Row],[Time Elapsed]]+Table2[[#This Row],[Time Remaining]]</f>
        <v>610</v>
      </c>
      <c r="H765" s="136" t="s">
        <v>765</v>
      </c>
      <c r="I765" s="136" t="s">
        <v>743</v>
      </c>
      <c r="J765" s="13">
        <v>7.2999999999999995E-2</v>
      </c>
      <c r="K765" s="137">
        <v>3.2099999999999997E-2</v>
      </c>
      <c r="L765" s="13">
        <f>Table2[[#This Row],[Actual %]]-Table2[[#This Row],[Plan %]]</f>
        <v>-4.0899999999999999E-2</v>
      </c>
      <c r="M765" s="144" t="s">
        <v>744</v>
      </c>
      <c r="N765" s="12">
        <v>45603</v>
      </c>
      <c r="O765" s="12"/>
      <c r="P765" s="12">
        <v>45653</v>
      </c>
      <c r="Q765" s="198">
        <v>45555</v>
      </c>
      <c r="R765" s="136" t="s">
        <v>747</v>
      </c>
      <c r="S765" s="136" t="s">
        <v>288</v>
      </c>
      <c r="T765" s="143" t="s">
        <v>882</v>
      </c>
      <c r="U765" s="199">
        <v>97238576.530000001</v>
      </c>
      <c r="V765" s="152">
        <v>0</v>
      </c>
      <c r="W765" s="36">
        <f>Table2[[#This Row],[Construction Contract Amount]]+Table2[[#This Row],[Cumulative Variations]]</f>
        <v>97238576.530000001</v>
      </c>
      <c r="X765" s="152">
        <v>3344531.65</v>
      </c>
      <c r="Y765" s="152">
        <v>0</v>
      </c>
      <c r="Z765" s="36">
        <f>Table2[[#This Row],[Final Contract Value]]+Table2[[#This Row],[Supervision Contract amount]]+Table2[[#This Row],[Authority Cost]]</f>
        <v>100583108.18000001</v>
      </c>
      <c r="AA765" s="152">
        <v>1208000</v>
      </c>
      <c r="AB765" s="36"/>
      <c r="AC765" s="102" t="str">
        <f t="shared" si="48"/>
        <v>https://drive.google.com/thumbnail?id=1nvLtx1HJOnLb38HmGIORDb_hqRjZMsuK&amp;sz=w1000</v>
      </c>
      <c r="AD765" s="90" t="s">
        <v>898</v>
      </c>
      <c r="AE765" s="103" t="str">
        <f t="shared" si="49"/>
        <v>https://drive.google.com/thumbnail?id=1FRRXo6J4o4AZtg9BHSw3llGraq7T31kv&amp;sz=w1000</v>
      </c>
      <c r="AF765" s="90" t="s">
        <v>913</v>
      </c>
      <c r="AG765" s="90" t="str">
        <f t="shared" si="50"/>
        <v>https://drive.google.com/thumbnail?id=1AoH0Y4ciTRcsU5X6S4aZ3HZiPs325E2e&amp;sz=w1000</v>
      </c>
      <c r="AH765" s="90" t="s">
        <v>928</v>
      </c>
    </row>
    <row r="766" spans="1:34" ht="22.15" customHeight="1">
      <c r="A766" s="30">
        <v>45548</v>
      </c>
      <c r="B766" s="2" t="s">
        <v>91</v>
      </c>
      <c r="C766" s="2" t="s">
        <v>94</v>
      </c>
      <c r="D766" s="16" t="str" cm="1">
        <f t="array" ref="D766">_xlfn.XLOOKUP(1, (Table1[Project Name]=Table2[[#This Row],[Project ID]])*(Table1[Plot]=Table2[[#This Row],[Plot]]), Table1[Project ID])</f>
        <v>MJ-07</v>
      </c>
      <c r="E766" s="69">
        <v>124</v>
      </c>
      <c r="F766" s="70">
        <v>486</v>
      </c>
      <c r="G766" s="69">
        <f>Table2[[#This Row],[Time Elapsed]]+Table2[[#This Row],[Time Remaining]]</f>
        <v>610</v>
      </c>
      <c r="H766" s="136" t="s">
        <v>765</v>
      </c>
      <c r="I766" s="136" t="s">
        <v>743</v>
      </c>
      <c r="J766" s="13">
        <v>7.2999999999999995E-2</v>
      </c>
      <c r="K766" s="137">
        <v>3.2099999999999997E-2</v>
      </c>
      <c r="L766" s="13">
        <f>Table2[[#This Row],[Actual %]]-Table2[[#This Row],[Plan %]]</f>
        <v>-4.0899999999999999E-2</v>
      </c>
      <c r="M766" s="144" t="s">
        <v>278</v>
      </c>
      <c r="N766" s="12">
        <v>45644</v>
      </c>
      <c r="O766" s="228"/>
      <c r="P766" s="12">
        <f>P765+41</f>
        <v>45694</v>
      </c>
      <c r="Q766" s="198">
        <v>45555</v>
      </c>
      <c r="R766" s="136" t="s">
        <v>747</v>
      </c>
      <c r="S766" s="136" t="s">
        <v>288</v>
      </c>
      <c r="T766" s="143" t="s">
        <v>882</v>
      </c>
      <c r="U766" s="199">
        <v>97238576.530000001</v>
      </c>
      <c r="V766" s="152">
        <v>0</v>
      </c>
      <c r="W766" s="36">
        <f>Table2[[#This Row],[Construction Contract Amount]]+Table2[[#This Row],[Cumulative Variations]]</f>
        <v>97238576.530000001</v>
      </c>
      <c r="X766" s="152">
        <v>3344531.65</v>
      </c>
      <c r="Y766" s="152">
        <v>0</v>
      </c>
      <c r="Z766" s="36">
        <f>Table2[[#This Row],[Final Contract Value]]+Table2[[#This Row],[Supervision Contract amount]]+Table2[[#This Row],[Authority Cost]]</f>
        <v>100583108.18000001</v>
      </c>
      <c r="AA766" s="152">
        <v>1208000</v>
      </c>
      <c r="AB766" s="36"/>
      <c r="AC766" s="102" t="str">
        <f t="shared" si="48"/>
        <v>https://drive.google.com/thumbnail?id=1nvLtx1HJOnLb38HmGIORDb_hqRjZMsuK&amp;sz=w1000</v>
      </c>
      <c r="AD766" s="90" t="s">
        <v>898</v>
      </c>
      <c r="AE766" s="103" t="str">
        <f t="shared" si="49"/>
        <v>https://drive.google.com/thumbnail?id=1FRRXo6J4o4AZtg9BHSw3llGraq7T31kv&amp;sz=w1000</v>
      </c>
      <c r="AF766" s="90" t="s">
        <v>913</v>
      </c>
      <c r="AG766" s="90" t="str">
        <f t="shared" si="50"/>
        <v>https://drive.google.com/thumbnail?id=1AoH0Y4ciTRcsU5X6S4aZ3HZiPs325E2e&amp;sz=w1000</v>
      </c>
      <c r="AH766" s="90" t="s">
        <v>928</v>
      </c>
    </row>
    <row r="767" spans="1:34" ht="22.15" customHeight="1">
      <c r="A767" s="30">
        <v>45548</v>
      </c>
      <c r="B767" s="2" t="s">
        <v>91</v>
      </c>
      <c r="C767" s="2" t="s">
        <v>94</v>
      </c>
      <c r="D767" s="16" t="str" cm="1">
        <f t="array" ref="D767">_xlfn.XLOOKUP(1, (Table1[Project Name]=Table2[[#This Row],[Project ID]])*(Table1[Plot]=Table2[[#This Row],[Plot]]), Table1[Project ID])</f>
        <v>MJ-07</v>
      </c>
      <c r="E767" s="69">
        <v>124</v>
      </c>
      <c r="F767" s="70">
        <v>486</v>
      </c>
      <c r="G767" s="69">
        <f>Table2[[#This Row],[Time Elapsed]]+Table2[[#This Row],[Time Remaining]]</f>
        <v>610</v>
      </c>
      <c r="H767" s="136" t="s">
        <v>765</v>
      </c>
      <c r="I767" s="136" t="s">
        <v>743</v>
      </c>
      <c r="J767" s="13">
        <v>7.2999999999999995E-2</v>
      </c>
      <c r="K767" s="137">
        <v>3.2099999999999997E-2</v>
      </c>
      <c r="L767" s="13">
        <f>Table2[[#This Row],[Actual %]]-Table2[[#This Row],[Plan %]]</f>
        <v>-4.0899999999999999E-2</v>
      </c>
      <c r="M767" s="144" t="s">
        <v>279</v>
      </c>
      <c r="N767" s="12">
        <v>45897</v>
      </c>
      <c r="O767" s="228"/>
      <c r="P767" s="12">
        <f>P766+253</f>
        <v>45947</v>
      </c>
      <c r="Q767" s="198">
        <v>45555</v>
      </c>
      <c r="R767" s="136" t="s">
        <v>747</v>
      </c>
      <c r="S767" s="136" t="s">
        <v>288</v>
      </c>
      <c r="T767" s="143" t="s">
        <v>882</v>
      </c>
      <c r="U767" s="199">
        <v>97238576.530000001</v>
      </c>
      <c r="V767" s="152">
        <v>0</v>
      </c>
      <c r="W767" s="36">
        <f>Table2[[#This Row],[Construction Contract Amount]]+Table2[[#This Row],[Cumulative Variations]]</f>
        <v>97238576.530000001</v>
      </c>
      <c r="X767" s="152">
        <v>3344531.65</v>
      </c>
      <c r="Y767" s="152">
        <v>0</v>
      </c>
      <c r="Z767" s="36">
        <f>Table2[[#This Row],[Final Contract Value]]+Table2[[#This Row],[Supervision Contract amount]]+Table2[[#This Row],[Authority Cost]]</f>
        <v>100583108.18000001</v>
      </c>
      <c r="AA767" s="152">
        <v>1208000</v>
      </c>
      <c r="AB767" s="36"/>
      <c r="AC767" s="102" t="str">
        <f t="shared" si="48"/>
        <v>https://drive.google.com/thumbnail?id=1nvLtx1HJOnLb38HmGIORDb_hqRjZMsuK&amp;sz=w1000</v>
      </c>
      <c r="AD767" s="90" t="s">
        <v>898</v>
      </c>
      <c r="AE767" s="103" t="str">
        <f t="shared" si="49"/>
        <v>https://drive.google.com/thumbnail?id=1FRRXo6J4o4AZtg9BHSw3llGraq7T31kv&amp;sz=w1000</v>
      </c>
      <c r="AF767" s="90" t="s">
        <v>913</v>
      </c>
      <c r="AG767" s="90" t="str">
        <f t="shared" si="50"/>
        <v>https://drive.google.com/thumbnail?id=1AoH0Y4ciTRcsU5X6S4aZ3HZiPs325E2e&amp;sz=w1000</v>
      </c>
      <c r="AH767" s="90" t="s">
        <v>928</v>
      </c>
    </row>
    <row r="768" spans="1:34" ht="22.15" customHeight="1">
      <c r="A768" s="30">
        <v>45548</v>
      </c>
      <c r="B768" s="2" t="s">
        <v>91</v>
      </c>
      <c r="C768" s="2" t="s">
        <v>94</v>
      </c>
      <c r="D768" s="16" t="str" cm="1">
        <f t="array" ref="D768">_xlfn.XLOOKUP(1, (Table1[Project Name]=Table2[[#This Row],[Project ID]])*(Table1[Plot]=Table2[[#This Row],[Plot]]), Table1[Project ID])</f>
        <v>MJ-07</v>
      </c>
      <c r="E768" s="69">
        <v>124</v>
      </c>
      <c r="F768" s="70">
        <v>486</v>
      </c>
      <c r="G768" s="69">
        <f>Table2[[#This Row],[Time Elapsed]]+Table2[[#This Row],[Time Remaining]]</f>
        <v>610</v>
      </c>
      <c r="H768" s="136" t="s">
        <v>765</v>
      </c>
      <c r="I768" s="136" t="s">
        <v>743</v>
      </c>
      <c r="J768" s="13">
        <v>7.2999999999999995E-2</v>
      </c>
      <c r="K768" s="137">
        <v>3.2099999999999997E-2</v>
      </c>
      <c r="L768" s="13">
        <f>Table2[[#This Row],[Actual %]]-Table2[[#This Row],[Plan %]]</f>
        <v>-4.0899999999999999E-2</v>
      </c>
      <c r="M768" s="144" t="s">
        <v>289</v>
      </c>
      <c r="N768" s="12">
        <v>45965</v>
      </c>
      <c r="O768" s="228"/>
      <c r="P768" s="12">
        <f>P767+68</f>
        <v>46015</v>
      </c>
      <c r="Q768" s="198">
        <v>45555</v>
      </c>
      <c r="R768" s="136" t="s">
        <v>747</v>
      </c>
      <c r="S768" s="136" t="s">
        <v>288</v>
      </c>
      <c r="T768" s="143" t="s">
        <v>882</v>
      </c>
      <c r="U768" s="199">
        <v>97238576.530000001</v>
      </c>
      <c r="V768" s="152">
        <v>0</v>
      </c>
      <c r="W768" s="36">
        <f>Table2[[#This Row],[Construction Contract Amount]]+Table2[[#This Row],[Cumulative Variations]]</f>
        <v>97238576.530000001</v>
      </c>
      <c r="X768" s="152">
        <v>3344531.65</v>
      </c>
      <c r="Y768" s="152">
        <v>0</v>
      </c>
      <c r="Z768" s="36">
        <f>Table2[[#This Row],[Final Contract Value]]+Table2[[#This Row],[Supervision Contract amount]]+Table2[[#This Row],[Authority Cost]]</f>
        <v>100583108.18000001</v>
      </c>
      <c r="AA768" s="152">
        <v>1208000</v>
      </c>
      <c r="AB768" s="36"/>
      <c r="AC768" s="102" t="str">
        <f t="shared" si="48"/>
        <v>https://drive.google.com/thumbnail?id=1nvLtx1HJOnLb38HmGIORDb_hqRjZMsuK&amp;sz=w1000</v>
      </c>
      <c r="AD768" s="90" t="s">
        <v>898</v>
      </c>
      <c r="AE768" s="103" t="str">
        <f t="shared" si="49"/>
        <v>https://drive.google.com/thumbnail?id=1FRRXo6J4o4AZtg9BHSw3llGraq7T31kv&amp;sz=w1000</v>
      </c>
      <c r="AF768" s="90" t="s">
        <v>913</v>
      </c>
      <c r="AG768" s="90" t="str">
        <f t="shared" si="50"/>
        <v>https://drive.google.com/thumbnail?id=1AoH0Y4ciTRcsU5X6S4aZ3HZiPs325E2e&amp;sz=w1000</v>
      </c>
      <c r="AH768" s="90" t="s">
        <v>928</v>
      </c>
    </row>
    <row r="769" spans="1:34" ht="22.15" customHeight="1">
      <c r="A769" s="30">
        <v>45548</v>
      </c>
      <c r="B769" s="2" t="s">
        <v>91</v>
      </c>
      <c r="C769" s="2" t="s">
        <v>94</v>
      </c>
      <c r="D769" s="16" t="str" cm="1">
        <f t="array" ref="D769">_xlfn.XLOOKUP(1, (Table1[Project Name]=Table2[[#This Row],[Project ID]])*(Table1[Plot]=Table2[[#This Row],[Plot]]), Table1[Project ID])</f>
        <v>MJ-07</v>
      </c>
      <c r="E769" s="69">
        <v>124</v>
      </c>
      <c r="F769" s="70">
        <v>486</v>
      </c>
      <c r="G769" s="69">
        <f>Table2[[#This Row],[Time Elapsed]]+Table2[[#This Row],[Time Remaining]]</f>
        <v>610</v>
      </c>
      <c r="H769" s="136" t="s">
        <v>765</v>
      </c>
      <c r="I769" s="136" t="s">
        <v>743</v>
      </c>
      <c r="J769" s="13">
        <v>7.2999999999999995E-2</v>
      </c>
      <c r="K769" s="137">
        <v>3.2099999999999997E-2</v>
      </c>
      <c r="L769" s="13">
        <f>Table2[[#This Row],[Actual %]]-Table2[[#This Row],[Plan %]]</f>
        <v>-4.0899999999999999E-2</v>
      </c>
      <c r="M769" s="144" t="s">
        <v>290</v>
      </c>
      <c r="N769" s="12">
        <v>45983</v>
      </c>
      <c r="O769" s="228"/>
      <c r="P769" s="12">
        <f>P768+18</f>
        <v>46033</v>
      </c>
      <c r="Q769" s="198">
        <v>45555</v>
      </c>
      <c r="R769" s="136" t="s">
        <v>747</v>
      </c>
      <c r="S769" s="136" t="s">
        <v>288</v>
      </c>
      <c r="T769" s="143" t="s">
        <v>882</v>
      </c>
      <c r="U769" s="199">
        <v>97238576.530000001</v>
      </c>
      <c r="V769" s="152">
        <v>0</v>
      </c>
      <c r="W769" s="36">
        <f>Table2[[#This Row],[Construction Contract Amount]]+Table2[[#This Row],[Cumulative Variations]]</f>
        <v>97238576.530000001</v>
      </c>
      <c r="X769" s="152">
        <v>3344531.65</v>
      </c>
      <c r="Y769" s="152">
        <v>0</v>
      </c>
      <c r="Z769" s="36">
        <f>Table2[[#This Row],[Final Contract Value]]+Table2[[#This Row],[Supervision Contract amount]]+Table2[[#This Row],[Authority Cost]]</f>
        <v>100583108.18000001</v>
      </c>
      <c r="AA769" s="152">
        <v>1208000</v>
      </c>
      <c r="AB769" s="36"/>
      <c r="AC769" s="102" t="str">
        <f t="shared" si="48"/>
        <v>https://drive.google.com/thumbnail?id=1nvLtx1HJOnLb38HmGIORDb_hqRjZMsuK&amp;sz=w1000</v>
      </c>
      <c r="AD769" s="90" t="s">
        <v>898</v>
      </c>
      <c r="AE769" s="103" t="str">
        <f t="shared" si="49"/>
        <v>https://drive.google.com/thumbnail?id=1FRRXo6J4o4AZtg9BHSw3llGraq7T31kv&amp;sz=w1000</v>
      </c>
      <c r="AF769" s="90" t="s">
        <v>913</v>
      </c>
      <c r="AG769" s="90" t="str">
        <f t="shared" si="50"/>
        <v>https://drive.google.com/thumbnail?id=1AoH0Y4ciTRcsU5X6S4aZ3HZiPs325E2e&amp;sz=w1000</v>
      </c>
      <c r="AH769" s="90" t="s">
        <v>928</v>
      </c>
    </row>
    <row r="770" spans="1:34" ht="22.15" customHeight="1">
      <c r="A770" s="30">
        <v>45548</v>
      </c>
      <c r="B770" s="2" t="s">
        <v>91</v>
      </c>
      <c r="C770" s="2" t="s">
        <v>94</v>
      </c>
      <c r="D770" s="16" t="str" cm="1">
        <f t="array" ref="D770">_xlfn.XLOOKUP(1, (Table1[Project Name]=Table2[[#This Row],[Project ID]])*(Table1[Plot]=Table2[[#This Row],[Plot]]), Table1[Project ID])</f>
        <v>MJ-07</v>
      </c>
      <c r="E770" s="69">
        <v>124</v>
      </c>
      <c r="F770" s="70">
        <v>486</v>
      </c>
      <c r="G770" s="69">
        <f>Table2[[#This Row],[Time Elapsed]]+Table2[[#This Row],[Time Remaining]]</f>
        <v>610</v>
      </c>
      <c r="H770" s="136" t="s">
        <v>765</v>
      </c>
      <c r="I770" s="136" t="s">
        <v>743</v>
      </c>
      <c r="J770" s="13">
        <v>7.2999999999999995E-2</v>
      </c>
      <c r="K770" s="137">
        <v>3.2099999999999997E-2</v>
      </c>
      <c r="L770" s="13">
        <f>Table2[[#This Row],[Actual %]]-Table2[[#This Row],[Plan %]]</f>
        <v>-4.0899999999999999E-2</v>
      </c>
      <c r="M770" s="144" t="s">
        <v>291</v>
      </c>
      <c r="N770" s="12">
        <v>45983</v>
      </c>
      <c r="O770" s="228"/>
      <c r="P770" s="12">
        <f>P769</f>
        <v>46033</v>
      </c>
      <c r="Q770" s="198">
        <v>45555</v>
      </c>
      <c r="R770" s="136" t="s">
        <v>747</v>
      </c>
      <c r="S770" s="136" t="s">
        <v>288</v>
      </c>
      <c r="T770" s="143" t="s">
        <v>882</v>
      </c>
      <c r="U770" s="199">
        <v>97238576.530000001</v>
      </c>
      <c r="V770" s="152">
        <v>0</v>
      </c>
      <c r="W770" s="36">
        <f>Table2[[#This Row],[Construction Contract Amount]]+Table2[[#This Row],[Cumulative Variations]]</f>
        <v>97238576.530000001</v>
      </c>
      <c r="X770" s="152">
        <v>3344531.65</v>
      </c>
      <c r="Y770" s="152">
        <v>0</v>
      </c>
      <c r="Z770" s="36">
        <f>Table2[[#This Row],[Final Contract Value]]+Table2[[#This Row],[Supervision Contract amount]]+Table2[[#This Row],[Authority Cost]]</f>
        <v>100583108.18000001</v>
      </c>
      <c r="AA770" s="152">
        <v>1208000</v>
      </c>
      <c r="AB770" s="36"/>
      <c r="AC770" s="102" t="str">
        <f t="shared" si="48"/>
        <v>https://drive.google.com/thumbnail?id=1nvLtx1HJOnLb38HmGIORDb_hqRjZMsuK&amp;sz=w1000</v>
      </c>
      <c r="AD770" s="90" t="s">
        <v>898</v>
      </c>
      <c r="AE770" s="103" t="str">
        <f t="shared" si="49"/>
        <v>https://drive.google.com/thumbnail?id=1FRRXo6J4o4AZtg9BHSw3llGraq7T31kv&amp;sz=w1000</v>
      </c>
      <c r="AF770" s="90" t="s">
        <v>913</v>
      </c>
      <c r="AG770" s="90" t="str">
        <f t="shared" si="50"/>
        <v>https://drive.google.com/thumbnail?id=1AoH0Y4ciTRcsU5X6S4aZ3HZiPs325E2e&amp;sz=w1000</v>
      </c>
      <c r="AH770" s="90" t="s">
        <v>928</v>
      </c>
    </row>
    <row r="771" spans="1:34" ht="22.15" customHeight="1">
      <c r="A771" s="30">
        <v>45548</v>
      </c>
      <c r="B771" s="2" t="s">
        <v>91</v>
      </c>
      <c r="C771" s="2" t="s">
        <v>94</v>
      </c>
      <c r="D771" s="16" t="str" cm="1">
        <f t="array" ref="D771">_xlfn.XLOOKUP(1, (Table1[Project Name]=Table2[[#This Row],[Project ID]])*(Table1[Plot]=Table2[[#This Row],[Plot]]), Table1[Project ID])</f>
        <v>MJ-07</v>
      </c>
      <c r="E771" s="69">
        <v>124</v>
      </c>
      <c r="F771" s="70">
        <v>486</v>
      </c>
      <c r="G771" s="69">
        <f>Table2[[#This Row],[Time Elapsed]]+Table2[[#This Row],[Time Remaining]]</f>
        <v>610</v>
      </c>
      <c r="H771" s="136" t="s">
        <v>765</v>
      </c>
      <c r="I771" s="136" t="s">
        <v>743</v>
      </c>
      <c r="J771" s="13">
        <v>7.2999999999999995E-2</v>
      </c>
      <c r="K771" s="137">
        <v>3.2099999999999997E-2</v>
      </c>
      <c r="L771" s="13">
        <f>Table2[[#This Row],[Actual %]]-Table2[[#This Row],[Plan %]]</f>
        <v>-4.0899999999999999E-2</v>
      </c>
      <c r="M771" s="144" t="s">
        <v>284</v>
      </c>
      <c r="N771" s="12">
        <v>46006</v>
      </c>
      <c r="O771" s="228"/>
      <c r="P771" s="12">
        <f>P770+23</f>
        <v>46056</v>
      </c>
      <c r="Q771" s="198">
        <v>45555</v>
      </c>
      <c r="R771" s="136" t="s">
        <v>747</v>
      </c>
      <c r="S771" s="136" t="s">
        <v>288</v>
      </c>
      <c r="T771" s="143" t="s">
        <v>882</v>
      </c>
      <c r="U771" s="199">
        <v>97238576.530000001</v>
      </c>
      <c r="V771" s="152">
        <v>0</v>
      </c>
      <c r="W771" s="36">
        <f>Table2[[#This Row],[Construction Contract Amount]]+Table2[[#This Row],[Cumulative Variations]]</f>
        <v>97238576.530000001</v>
      </c>
      <c r="X771" s="152">
        <v>3344531.65</v>
      </c>
      <c r="Y771" s="152">
        <v>0</v>
      </c>
      <c r="Z771" s="36">
        <f>Table2[[#This Row],[Final Contract Value]]+Table2[[#This Row],[Supervision Contract amount]]+Table2[[#This Row],[Authority Cost]]</f>
        <v>100583108.18000001</v>
      </c>
      <c r="AA771" s="152">
        <v>1208000</v>
      </c>
      <c r="AB771" s="36"/>
      <c r="AC771" s="102" t="str">
        <f t="shared" si="48"/>
        <v>https://drive.google.com/thumbnail?id=1nvLtx1HJOnLb38HmGIORDb_hqRjZMsuK&amp;sz=w1000</v>
      </c>
      <c r="AD771" s="90" t="s">
        <v>898</v>
      </c>
      <c r="AE771" s="103" t="str">
        <f t="shared" si="49"/>
        <v>https://drive.google.com/thumbnail?id=1FRRXo6J4o4AZtg9BHSw3llGraq7T31kv&amp;sz=w1000</v>
      </c>
      <c r="AF771" s="90" t="s">
        <v>913</v>
      </c>
      <c r="AG771" s="90" t="str">
        <f t="shared" si="50"/>
        <v>https://drive.google.com/thumbnail?id=1AoH0Y4ciTRcsU5X6S4aZ3HZiPs325E2e&amp;sz=w1000</v>
      </c>
      <c r="AH771" s="90" t="s">
        <v>928</v>
      </c>
    </row>
    <row r="772" spans="1:34" ht="22.15" customHeight="1">
      <c r="A772" s="30">
        <v>45548</v>
      </c>
      <c r="B772" s="17" t="s">
        <v>111</v>
      </c>
      <c r="C772" s="2" t="s">
        <v>11</v>
      </c>
      <c r="D772" s="16" t="str" cm="1">
        <f t="array" ref="D772">_xlfn.XLOOKUP(1, (Table1[Project Name]=Table2[[#This Row],[Project ID]])*(Table1[Plot]=Table2[[#This Row],[Plot]]), Table1[Project ID])</f>
        <v>MJ-12</v>
      </c>
      <c r="E772" s="69">
        <v>67</v>
      </c>
      <c r="F772" s="70">
        <v>541</v>
      </c>
      <c r="G772" s="69">
        <f>Table2[[#This Row],[Time Elapsed]]+Table2[[#This Row],[Time Remaining]]</f>
        <v>608</v>
      </c>
      <c r="H772" s="136" t="s">
        <v>679</v>
      </c>
      <c r="I772" s="136" t="s">
        <v>865</v>
      </c>
      <c r="J772" s="13">
        <v>2.7199999999999998E-2</v>
      </c>
      <c r="K772" s="137">
        <v>2.2499999999999999E-2</v>
      </c>
      <c r="L772" s="13">
        <f>Table2[[#This Row],[Actual %]]-Table2[[#This Row],[Plan %]]</f>
        <v>-4.6999999999999993E-3</v>
      </c>
      <c r="M772" s="144" t="s">
        <v>28</v>
      </c>
      <c r="N772" s="12">
        <v>45489</v>
      </c>
      <c r="O772" s="12">
        <v>45489</v>
      </c>
      <c r="P772" s="12"/>
      <c r="Q772" s="198">
        <v>45555</v>
      </c>
      <c r="R772" s="146" t="s">
        <v>883</v>
      </c>
      <c r="S772" s="146" t="s">
        <v>792</v>
      </c>
      <c r="T772" s="196" t="s">
        <v>793</v>
      </c>
      <c r="U772" s="156">
        <v>116841278.45383713</v>
      </c>
      <c r="V772" s="154">
        <v>0</v>
      </c>
      <c r="W772" s="36">
        <f>Table2[[#This Row],[Construction Contract Amount]]+Table2[[#This Row],[Cumulative Variations]]</f>
        <v>116841278.45383713</v>
      </c>
      <c r="X772" s="158">
        <v>3229333.33</v>
      </c>
      <c r="Y772" s="154">
        <v>0</v>
      </c>
      <c r="Z772" s="36">
        <f>Table2[[#This Row],[Final Contract Value]]+Table2[[#This Row],[Supervision Contract amount]]+Table2[[#This Row],[Authority Cost]]</f>
        <v>120070611.78383712</v>
      </c>
      <c r="AA772" s="36"/>
      <c r="AB772" s="154">
        <v>56109.376666666598</v>
      </c>
      <c r="AC772" s="102" t="str">
        <f t="shared" si="48"/>
        <v>https://drive.google.com/thumbnail?id=1hU_NG6jWFnAFsctWfxIixSLdfdg-2vbM&amp;sz=w1000</v>
      </c>
      <c r="AD772" s="90" t="s">
        <v>810</v>
      </c>
      <c r="AE772" s="103" t="str">
        <f t="shared" si="49"/>
        <v>https://drive.google.com/thumbnail?id=1AjudEJfSeA5pObV4i_-2eZywBMH4FjUH&amp;sz=w1000</v>
      </c>
      <c r="AF772" s="90" t="s">
        <v>826</v>
      </c>
      <c r="AG772" s="90" t="str">
        <f t="shared" si="50"/>
        <v>https://drive.google.com/thumbnail?id=1PBCEYtD7A6r3bmKeU8hWJH7w8BXVVzH1&amp;sz=w1000</v>
      </c>
      <c r="AH772" s="90" t="s">
        <v>842</v>
      </c>
    </row>
    <row r="773" spans="1:34" ht="22.15" customHeight="1">
      <c r="A773" s="30">
        <v>45548</v>
      </c>
      <c r="B773" s="17" t="s">
        <v>111</v>
      </c>
      <c r="C773" s="2" t="s">
        <v>11</v>
      </c>
      <c r="D773" s="16" t="str" cm="1">
        <f t="array" ref="D773">_xlfn.XLOOKUP(1, (Table1[Project Name]=Table2[[#This Row],[Project ID]])*(Table1[Plot]=Table2[[#This Row],[Plot]]), Table1[Project ID])</f>
        <v>MJ-12</v>
      </c>
      <c r="E773" s="69">
        <v>67</v>
      </c>
      <c r="F773" s="70">
        <v>541</v>
      </c>
      <c r="G773" s="69">
        <f>Table2[[#This Row],[Time Elapsed]]+Table2[[#This Row],[Time Remaining]]</f>
        <v>608</v>
      </c>
      <c r="H773" s="136" t="s">
        <v>679</v>
      </c>
      <c r="I773" s="136" t="s">
        <v>865</v>
      </c>
      <c r="J773" s="13">
        <v>2.7199999999999998E-2</v>
      </c>
      <c r="K773" s="137">
        <v>2.2499999999999999E-2</v>
      </c>
      <c r="L773" s="13">
        <f>Table2[[#This Row],[Actual %]]-Table2[[#This Row],[Plan %]]</f>
        <v>-4.6999999999999993E-3</v>
      </c>
      <c r="M773" s="144" t="s">
        <v>50</v>
      </c>
      <c r="N773" s="12">
        <v>45490</v>
      </c>
      <c r="O773" s="12">
        <v>45490</v>
      </c>
      <c r="P773" s="12"/>
      <c r="Q773" s="198">
        <v>45555</v>
      </c>
      <c r="R773" s="146" t="s">
        <v>883</v>
      </c>
      <c r="S773" s="146" t="s">
        <v>792</v>
      </c>
      <c r="T773" s="196" t="s">
        <v>793</v>
      </c>
      <c r="U773" s="156">
        <v>116841278.45383713</v>
      </c>
      <c r="V773" s="154">
        <v>0</v>
      </c>
      <c r="W773" s="36">
        <f>Table2[[#This Row],[Construction Contract Amount]]+Table2[[#This Row],[Cumulative Variations]]</f>
        <v>116841278.45383713</v>
      </c>
      <c r="X773" s="158">
        <v>3229333.33</v>
      </c>
      <c r="Y773" s="154">
        <v>0</v>
      </c>
      <c r="Z773" s="36">
        <f>Table2[[#This Row],[Final Contract Value]]+Table2[[#This Row],[Supervision Contract amount]]+Table2[[#This Row],[Authority Cost]]</f>
        <v>120070611.78383712</v>
      </c>
      <c r="AA773" s="36"/>
      <c r="AB773" s="154">
        <v>56109.376666666598</v>
      </c>
      <c r="AC773" s="102" t="str">
        <f t="shared" ref="AC773:AC804" si="51">CONCATENATE("https://drive.google.com/thumbnail?id=", MID(AD773, FIND("/d/", AD773) + 3, FIND("/view", AD773) - FIND("/d/", AD773) - 3), "&amp;sz=w1000")</f>
        <v>https://drive.google.com/thumbnail?id=1jjzR1RyL3evEhn3RbMY2vgThzWgq-fJN&amp;sz=w1000</v>
      </c>
      <c r="AD773" s="90" t="s">
        <v>811</v>
      </c>
      <c r="AE773" s="103" t="str">
        <f t="shared" ref="AE773:AE804" si="52">CONCATENATE("https://drive.google.com/thumbnail?id=", MID(AF773, FIND("/d/", AF773) + 3, FIND("/view", AF773) - FIND("/d/", AF773) - 3), "&amp;sz=w1000")</f>
        <v>https://drive.google.com/thumbnail?id=10RRCP9PqW1a0aXZkHVOxVr_hGOY01_Ce&amp;sz=w1000</v>
      </c>
      <c r="AF773" s="90" t="s">
        <v>827</v>
      </c>
      <c r="AG773" s="90" t="str">
        <f t="shared" ref="AG773:AG804" si="53">CONCATENATE("https://drive.google.com/thumbnail?id=", MID(AH773, FIND("/d/", AH773) + 3, FIND("/view", AH773) - FIND("/d/", AH773) - 3), "&amp;sz=w1000")</f>
        <v>https://drive.google.com/thumbnail?id=1MQhooDZfb_a8dh1XjYQap8rFcmtl5opU&amp;sz=w1000</v>
      </c>
      <c r="AH773" s="90" t="s">
        <v>843</v>
      </c>
    </row>
    <row r="774" spans="1:34" ht="22.15" customHeight="1">
      <c r="A774" s="30">
        <v>45548</v>
      </c>
      <c r="B774" s="17" t="s">
        <v>111</v>
      </c>
      <c r="C774" s="2" t="s">
        <v>11</v>
      </c>
      <c r="D774" s="16" t="str" cm="1">
        <f t="array" ref="D774">_xlfn.XLOOKUP(1, (Table1[Project Name]=Table2[[#This Row],[Project ID]])*(Table1[Plot]=Table2[[#This Row],[Plot]]), Table1[Project ID])</f>
        <v>MJ-12</v>
      </c>
      <c r="E774" s="69">
        <v>67</v>
      </c>
      <c r="F774" s="70">
        <v>541</v>
      </c>
      <c r="G774" s="69">
        <f>Table2[[#This Row],[Time Elapsed]]+Table2[[#This Row],[Time Remaining]]</f>
        <v>608</v>
      </c>
      <c r="H774" s="136" t="s">
        <v>679</v>
      </c>
      <c r="I774" s="136" t="s">
        <v>865</v>
      </c>
      <c r="J774" s="13">
        <v>2.7199999999999998E-2</v>
      </c>
      <c r="K774" s="137">
        <v>2.2499999999999999E-2</v>
      </c>
      <c r="L774" s="13">
        <f>Table2[[#This Row],[Actual %]]-Table2[[#This Row],[Plan %]]</f>
        <v>-4.6999999999999993E-3</v>
      </c>
      <c r="M774" s="144" t="s">
        <v>51</v>
      </c>
      <c r="N774" s="12">
        <v>45590</v>
      </c>
      <c r="O774" s="12"/>
      <c r="P774" s="12">
        <v>45590</v>
      </c>
      <c r="Q774" s="198">
        <v>45555</v>
      </c>
      <c r="R774" s="146" t="s">
        <v>883</v>
      </c>
      <c r="S774" s="146" t="s">
        <v>792</v>
      </c>
      <c r="T774" s="196" t="s">
        <v>793</v>
      </c>
      <c r="U774" s="156">
        <v>116841278.45383713</v>
      </c>
      <c r="V774" s="154">
        <v>0</v>
      </c>
      <c r="W774" s="36">
        <f>Table2[[#This Row],[Construction Contract Amount]]+Table2[[#This Row],[Cumulative Variations]]</f>
        <v>116841278.45383713</v>
      </c>
      <c r="X774" s="158">
        <v>3229333.33</v>
      </c>
      <c r="Y774" s="154">
        <v>0</v>
      </c>
      <c r="Z774" s="36">
        <f>Table2[[#This Row],[Final Contract Value]]+Table2[[#This Row],[Supervision Contract amount]]+Table2[[#This Row],[Authority Cost]]</f>
        <v>120070611.78383712</v>
      </c>
      <c r="AA774" s="36"/>
      <c r="AB774" s="154">
        <v>56109.376666666598</v>
      </c>
      <c r="AC774" s="102" t="str">
        <f t="shared" si="51"/>
        <v>https://drive.google.com/thumbnail?id=1jjzR1RyL3evEhn3RbMY2vgThzWgq-fJN&amp;sz=w1000</v>
      </c>
      <c r="AD774" s="90" t="s">
        <v>811</v>
      </c>
      <c r="AE774" s="103" t="str">
        <f t="shared" si="52"/>
        <v>https://drive.google.com/thumbnail?id=10RRCP9PqW1a0aXZkHVOxVr_hGOY01_Ce&amp;sz=w1000</v>
      </c>
      <c r="AF774" s="90" t="s">
        <v>827</v>
      </c>
      <c r="AG774" s="90" t="str">
        <f t="shared" si="53"/>
        <v>https://drive.google.com/thumbnail?id=1MQhooDZfb_a8dh1XjYQap8rFcmtl5opU&amp;sz=w1000</v>
      </c>
      <c r="AH774" s="90" t="s">
        <v>843</v>
      </c>
    </row>
    <row r="775" spans="1:34" ht="22.15" customHeight="1">
      <c r="A775" s="30">
        <v>45548</v>
      </c>
      <c r="B775" s="17" t="s">
        <v>111</v>
      </c>
      <c r="C775" s="2" t="s">
        <v>11</v>
      </c>
      <c r="D775" s="16" t="str" cm="1">
        <f t="array" ref="D775">_xlfn.XLOOKUP(1, (Table1[Project Name]=Table2[[#This Row],[Project ID]])*(Table1[Plot]=Table2[[#This Row],[Plot]]), Table1[Project ID])</f>
        <v>MJ-12</v>
      </c>
      <c r="E775" s="69">
        <v>67</v>
      </c>
      <c r="F775" s="70">
        <v>541</v>
      </c>
      <c r="G775" s="69">
        <f>Table2[[#This Row],[Time Elapsed]]+Table2[[#This Row],[Time Remaining]]</f>
        <v>608</v>
      </c>
      <c r="H775" s="136" t="s">
        <v>679</v>
      </c>
      <c r="I775" s="136" t="s">
        <v>865</v>
      </c>
      <c r="J775" s="13">
        <v>2.7199999999999998E-2</v>
      </c>
      <c r="K775" s="137">
        <v>2.2499999999999999E-2</v>
      </c>
      <c r="L775" s="13">
        <f>Table2[[#This Row],[Actual %]]-Table2[[#This Row],[Plan %]]</f>
        <v>-4.6999999999999993E-3</v>
      </c>
      <c r="M775" s="144" t="s">
        <v>275</v>
      </c>
      <c r="N775" s="12">
        <v>45621</v>
      </c>
      <c r="O775" s="12"/>
      <c r="P775" s="12">
        <v>45621</v>
      </c>
      <c r="Q775" s="198">
        <v>45555</v>
      </c>
      <c r="R775" s="146" t="s">
        <v>883</v>
      </c>
      <c r="S775" s="146" t="s">
        <v>792</v>
      </c>
      <c r="T775" s="196" t="s">
        <v>793</v>
      </c>
      <c r="U775" s="156">
        <v>116841278.45383713</v>
      </c>
      <c r="V775" s="154">
        <v>0</v>
      </c>
      <c r="W775" s="36">
        <f>Table2[[#This Row],[Construction Contract Amount]]+Table2[[#This Row],[Cumulative Variations]]</f>
        <v>116841278.45383713</v>
      </c>
      <c r="X775" s="158">
        <v>3229333.33</v>
      </c>
      <c r="Y775" s="154">
        <v>0</v>
      </c>
      <c r="Z775" s="36">
        <f>Table2[[#This Row],[Final Contract Value]]+Table2[[#This Row],[Supervision Contract amount]]+Table2[[#This Row],[Authority Cost]]</f>
        <v>120070611.78383712</v>
      </c>
      <c r="AA775" s="36"/>
      <c r="AB775" s="154">
        <v>56109.376666666598</v>
      </c>
      <c r="AC775" s="102" t="str">
        <f t="shared" si="51"/>
        <v>https://drive.google.com/thumbnail?id=1jjzR1RyL3evEhn3RbMY2vgThzWgq-fJN&amp;sz=w1000</v>
      </c>
      <c r="AD775" s="90" t="s">
        <v>811</v>
      </c>
      <c r="AE775" s="103" t="str">
        <f t="shared" si="52"/>
        <v>https://drive.google.com/thumbnail?id=10RRCP9PqW1a0aXZkHVOxVr_hGOY01_Ce&amp;sz=w1000</v>
      </c>
      <c r="AF775" s="90" t="s">
        <v>827</v>
      </c>
      <c r="AG775" s="90" t="str">
        <f t="shared" si="53"/>
        <v>https://drive.google.com/thumbnail?id=1MQhooDZfb_a8dh1XjYQap8rFcmtl5opU&amp;sz=w1000</v>
      </c>
      <c r="AH775" s="90" t="s">
        <v>843</v>
      </c>
    </row>
    <row r="776" spans="1:34" ht="22.15" customHeight="1">
      <c r="A776" s="30">
        <v>45548</v>
      </c>
      <c r="B776" s="17" t="s">
        <v>111</v>
      </c>
      <c r="C776" s="2" t="s">
        <v>11</v>
      </c>
      <c r="D776" s="16" t="str" cm="1">
        <f t="array" ref="D776">_xlfn.XLOOKUP(1, (Table1[Project Name]=Table2[[#This Row],[Project ID]])*(Table1[Plot]=Table2[[#This Row],[Plot]]), Table1[Project ID])</f>
        <v>MJ-12</v>
      </c>
      <c r="E776" s="69">
        <v>67</v>
      </c>
      <c r="F776" s="70">
        <v>541</v>
      </c>
      <c r="G776" s="69">
        <f>Table2[[#This Row],[Time Elapsed]]+Table2[[#This Row],[Time Remaining]]</f>
        <v>608</v>
      </c>
      <c r="H776" s="136" t="s">
        <v>679</v>
      </c>
      <c r="I776" s="136" t="s">
        <v>865</v>
      </c>
      <c r="J776" s="13">
        <v>2.7199999999999998E-2</v>
      </c>
      <c r="K776" s="137">
        <v>2.2499999999999999E-2</v>
      </c>
      <c r="L776" s="13">
        <f>Table2[[#This Row],[Actual %]]-Table2[[#This Row],[Plan %]]</f>
        <v>-4.6999999999999993E-3</v>
      </c>
      <c r="M776" s="144" t="s">
        <v>276</v>
      </c>
      <c r="N776" s="12">
        <v>45659</v>
      </c>
      <c r="O776" s="12"/>
      <c r="P776" s="12">
        <v>45659</v>
      </c>
      <c r="Q776" s="198">
        <v>45555</v>
      </c>
      <c r="R776" s="146" t="s">
        <v>883</v>
      </c>
      <c r="S776" s="146" t="s">
        <v>792</v>
      </c>
      <c r="T776" s="196" t="s">
        <v>793</v>
      </c>
      <c r="U776" s="156">
        <v>116841278.45383713</v>
      </c>
      <c r="V776" s="154">
        <v>0</v>
      </c>
      <c r="W776" s="36">
        <f>Table2[[#This Row],[Construction Contract Amount]]+Table2[[#This Row],[Cumulative Variations]]</f>
        <v>116841278.45383713</v>
      </c>
      <c r="X776" s="158">
        <v>3229333.33</v>
      </c>
      <c r="Y776" s="154">
        <v>0</v>
      </c>
      <c r="Z776" s="36">
        <f>Table2[[#This Row],[Final Contract Value]]+Table2[[#This Row],[Supervision Contract amount]]+Table2[[#This Row],[Authority Cost]]</f>
        <v>120070611.78383712</v>
      </c>
      <c r="AA776" s="36"/>
      <c r="AB776" s="154">
        <v>56109.376666666598</v>
      </c>
      <c r="AC776" s="102" t="str">
        <f t="shared" si="51"/>
        <v>https://drive.google.com/thumbnail?id=1jjzR1RyL3evEhn3RbMY2vgThzWgq-fJN&amp;sz=w1000</v>
      </c>
      <c r="AD776" s="90" t="s">
        <v>811</v>
      </c>
      <c r="AE776" s="103" t="str">
        <f t="shared" si="52"/>
        <v>https://drive.google.com/thumbnail?id=10RRCP9PqW1a0aXZkHVOxVr_hGOY01_Ce&amp;sz=w1000</v>
      </c>
      <c r="AF776" s="90" t="s">
        <v>827</v>
      </c>
      <c r="AG776" s="90" t="str">
        <f t="shared" si="53"/>
        <v>https://drive.google.com/thumbnail?id=1MQhooDZfb_a8dh1XjYQap8rFcmtl5opU&amp;sz=w1000</v>
      </c>
      <c r="AH776" s="90" t="s">
        <v>843</v>
      </c>
    </row>
    <row r="777" spans="1:34" ht="22.15" customHeight="1">
      <c r="A777" s="30">
        <v>45548</v>
      </c>
      <c r="B777" s="17" t="s">
        <v>111</v>
      </c>
      <c r="C777" s="2" t="s">
        <v>11</v>
      </c>
      <c r="D777" s="16" t="str" cm="1">
        <f t="array" ref="D777">_xlfn.XLOOKUP(1, (Table1[Project Name]=Table2[[#This Row],[Project ID]])*(Table1[Plot]=Table2[[#This Row],[Plot]]), Table1[Project ID])</f>
        <v>MJ-12</v>
      </c>
      <c r="E777" s="69">
        <v>67</v>
      </c>
      <c r="F777" s="70">
        <v>541</v>
      </c>
      <c r="G777" s="69">
        <f>Table2[[#This Row],[Time Elapsed]]+Table2[[#This Row],[Time Remaining]]</f>
        <v>608</v>
      </c>
      <c r="H777" s="136" t="s">
        <v>679</v>
      </c>
      <c r="I777" s="136" t="s">
        <v>865</v>
      </c>
      <c r="J777" s="13">
        <v>2.7199999999999998E-2</v>
      </c>
      <c r="K777" s="137">
        <v>2.2499999999999999E-2</v>
      </c>
      <c r="L777" s="13">
        <f>Table2[[#This Row],[Actual %]]-Table2[[#This Row],[Plan %]]</f>
        <v>-4.6999999999999993E-3</v>
      </c>
      <c r="M777" s="144" t="s">
        <v>277</v>
      </c>
      <c r="N777" s="12">
        <v>45715</v>
      </c>
      <c r="O777" s="12"/>
      <c r="P777" s="12">
        <v>45715</v>
      </c>
      <c r="Q777" s="198">
        <v>45555</v>
      </c>
      <c r="R777" s="146" t="s">
        <v>883</v>
      </c>
      <c r="S777" s="146" t="s">
        <v>792</v>
      </c>
      <c r="T777" s="196" t="s">
        <v>793</v>
      </c>
      <c r="U777" s="156">
        <v>116841278.45383713</v>
      </c>
      <c r="V777" s="154">
        <v>0</v>
      </c>
      <c r="W777" s="36">
        <f>Table2[[#This Row],[Construction Contract Amount]]+Table2[[#This Row],[Cumulative Variations]]</f>
        <v>116841278.45383713</v>
      </c>
      <c r="X777" s="158">
        <v>3229333.33</v>
      </c>
      <c r="Y777" s="154">
        <v>0</v>
      </c>
      <c r="Z777" s="36">
        <f>Table2[[#This Row],[Final Contract Value]]+Table2[[#This Row],[Supervision Contract amount]]+Table2[[#This Row],[Authority Cost]]</f>
        <v>120070611.78383712</v>
      </c>
      <c r="AA777" s="36"/>
      <c r="AB777" s="154">
        <v>56109.376666666598</v>
      </c>
      <c r="AC777" s="102" t="str">
        <f t="shared" si="51"/>
        <v>https://drive.google.com/thumbnail?id=1jjzR1RyL3evEhn3RbMY2vgThzWgq-fJN&amp;sz=w1000</v>
      </c>
      <c r="AD777" s="90" t="s">
        <v>811</v>
      </c>
      <c r="AE777" s="103" t="str">
        <f t="shared" si="52"/>
        <v>https://drive.google.com/thumbnail?id=10RRCP9PqW1a0aXZkHVOxVr_hGOY01_Ce&amp;sz=w1000</v>
      </c>
      <c r="AF777" s="90" t="s">
        <v>827</v>
      </c>
      <c r="AG777" s="90" t="str">
        <f t="shared" si="53"/>
        <v>https://drive.google.com/thumbnail?id=1MQhooDZfb_a8dh1XjYQap8rFcmtl5opU&amp;sz=w1000</v>
      </c>
      <c r="AH777" s="90" t="s">
        <v>843</v>
      </c>
    </row>
    <row r="778" spans="1:34" ht="22.15" customHeight="1">
      <c r="A778" s="30">
        <v>45548</v>
      </c>
      <c r="B778" s="17" t="s">
        <v>111</v>
      </c>
      <c r="C778" s="2" t="s">
        <v>11</v>
      </c>
      <c r="D778" s="16" t="str" cm="1">
        <f t="array" ref="D778">_xlfn.XLOOKUP(1, (Table1[Project Name]=Table2[[#This Row],[Project ID]])*(Table1[Plot]=Table2[[#This Row],[Plot]]), Table1[Project ID])</f>
        <v>MJ-12</v>
      </c>
      <c r="E778" s="69">
        <v>67</v>
      </c>
      <c r="F778" s="70">
        <v>541</v>
      </c>
      <c r="G778" s="69">
        <f>Table2[[#This Row],[Time Elapsed]]+Table2[[#This Row],[Time Remaining]]</f>
        <v>608</v>
      </c>
      <c r="H778" s="136" t="s">
        <v>679</v>
      </c>
      <c r="I778" s="136" t="s">
        <v>865</v>
      </c>
      <c r="J778" s="13">
        <v>2.7199999999999998E-2</v>
      </c>
      <c r="K778" s="137">
        <v>2.2499999999999999E-2</v>
      </c>
      <c r="L778" s="13">
        <f>Table2[[#This Row],[Actual %]]-Table2[[#This Row],[Plan %]]</f>
        <v>-4.6999999999999993E-3</v>
      </c>
      <c r="M778" s="144" t="s">
        <v>278</v>
      </c>
      <c r="N778" s="12">
        <v>45867</v>
      </c>
      <c r="O778" s="12"/>
      <c r="P778" s="12">
        <v>45867</v>
      </c>
      <c r="Q778" s="198">
        <v>45555</v>
      </c>
      <c r="R778" s="146" t="s">
        <v>883</v>
      </c>
      <c r="S778" s="146" t="s">
        <v>792</v>
      </c>
      <c r="T778" s="196" t="s">
        <v>793</v>
      </c>
      <c r="U778" s="156">
        <v>116841278.45383713</v>
      </c>
      <c r="V778" s="154">
        <v>0</v>
      </c>
      <c r="W778" s="36">
        <f>Table2[[#This Row],[Construction Contract Amount]]+Table2[[#This Row],[Cumulative Variations]]</f>
        <v>116841278.45383713</v>
      </c>
      <c r="X778" s="158">
        <v>3229333.33</v>
      </c>
      <c r="Y778" s="154">
        <v>0</v>
      </c>
      <c r="Z778" s="36">
        <f>Table2[[#This Row],[Final Contract Value]]+Table2[[#This Row],[Supervision Contract amount]]+Table2[[#This Row],[Authority Cost]]</f>
        <v>120070611.78383712</v>
      </c>
      <c r="AA778" s="36"/>
      <c r="AB778" s="154">
        <v>56109.376666666598</v>
      </c>
      <c r="AC778" s="102" t="str">
        <f t="shared" si="51"/>
        <v>https://drive.google.com/thumbnail?id=1jjzR1RyL3evEhn3RbMY2vgThzWgq-fJN&amp;sz=w1000</v>
      </c>
      <c r="AD778" s="90" t="s">
        <v>811</v>
      </c>
      <c r="AE778" s="103" t="str">
        <f t="shared" si="52"/>
        <v>https://drive.google.com/thumbnail?id=10RRCP9PqW1a0aXZkHVOxVr_hGOY01_Ce&amp;sz=w1000</v>
      </c>
      <c r="AF778" s="90" t="s">
        <v>827</v>
      </c>
      <c r="AG778" s="90" t="str">
        <f t="shared" si="53"/>
        <v>https://drive.google.com/thumbnail?id=1MQhooDZfb_a8dh1XjYQap8rFcmtl5opU&amp;sz=w1000</v>
      </c>
      <c r="AH778" s="90" t="s">
        <v>843</v>
      </c>
    </row>
    <row r="779" spans="1:34" ht="22.15" customHeight="1">
      <c r="A779" s="30">
        <v>45548</v>
      </c>
      <c r="B779" s="17" t="s">
        <v>111</v>
      </c>
      <c r="C779" s="2" t="s">
        <v>11</v>
      </c>
      <c r="D779" s="16" t="str" cm="1">
        <f t="array" ref="D779">_xlfn.XLOOKUP(1, (Table1[Project Name]=Table2[[#This Row],[Project ID]])*(Table1[Plot]=Table2[[#This Row],[Plot]]), Table1[Project ID])</f>
        <v>MJ-12</v>
      </c>
      <c r="E779" s="69">
        <v>67</v>
      </c>
      <c r="F779" s="70">
        <v>541</v>
      </c>
      <c r="G779" s="69">
        <f>Table2[[#This Row],[Time Elapsed]]+Table2[[#This Row],[Time Remaining]]</f>
        <v>608</v>
      </c>
      <c r="H779" s="136" t="s">
        <v>679</v>
      </c>
      <c r="I779" s="136" t="s">
        <v>865</v>
      </c>
      <c r="J779" s="13">
        <v>2.7199999999999998E-2</v>
      </c>
      <c r="K779" s="137">
        <v>2.2499999999999999E-2</v>
      </c>
      <c r="L779" s="13">
        <f>Table2[[#This Row],[Actual %]]-Table2[[#This Row],[Plan %]]</f>
        <v>-4.6999999999999993E-3</v>
      </c>
      <c r="M779" s="144" t="s">
        <v>279</v>
      </c>
      <c r="N779" s="12">
        <v>45989</v>
      </c>
      <c r="O779" s="12"/>
      <c r="P779" s="12">
        <v>45989</v>
      </c>
      <c r="Q779" s="198">
        <v>45555</v>
      </c>
      <c r="R779" s="146" t="s">
        <v>883</v>
      </c>
      <c r="S779" s="146" t="s">
        <v>792</v>
      </c>
      <c r="T779" s="196" t="s">
        <v>793</v>
      </c>
      <c r="U779" s="156">
        <v>116841278.45383713</v>
      </c>
      <c r="V779" s="154">
        <v>0</v>
      </c>
      <c r="W779" s="36">
        <f>Table2[[#This Row],[Construction Contract Amount]]+Table2[[#This Row],[Cumulative Variations]]</f>
        <v>116841278.45383713</v>
      </c>
      <c r="X779" s="158">
        <v>3229333.33</v>
      </c>
      <c r="Y779" s="154">
        <v>0</v>
      </c>
      <c r="Z779" s="36">
        <f>Table2[[#This Row],[Final Contract Value]]+Table2[[#This Row],[Supervision Contract amount]]+Table2[[#This Row],[Authority Cost]]</f>
        <v>120070611.78383712</v>
      </c>
      <c r="AA779" s="36"/>
      <c r="AB779" s="154">
        <v>56109.376666666598</v>
      </c>
      <c r="AC779" s="102" t="str">
        <f t="shared" si="51"/>
        <v>https://drive.google.com/thumbnail?id=1jjzR1RyL3evEhn3RbMY2vgThzWgq-fJN&amp;sz=w1000</v>
      </c>
      <c r="AD779" s="90" t="s">
        <v>811</v>
      </c>
      <c r="AE779" s="103" t="str">
        <f t="shared" si="52"/>
        <v>https://drive.google.com/thumbnail?id=10RRCP9PqW1a0aXZkHVOxVr_hGOY01_Ce&amp;sz=w1000</v>
      </c>
      <c r="AF779" s="90" t="s">
        <v>827</v>
      </c>
      <c r="AG779" s="90" t="str">
        <f t="shared" si="53"/>
        <v>https://drive.google.com/thumbnail?id=1MQhooDZfb_a8dh1XjYQap8rFcmtl5opU&amp;sz=w1000</v>
      </c>
      <c r="AH779" s="90" t="s">
        <v>843</v>
      </c>
    </row>
    <row r="780" spans="1:34" ht="22.15" customHeight="1">
      <c r="A780" s="30">
        <v>45548</v>
      </c>
      <c r="B780" s="17" t="s">
        <v>111</v>
      </c>
      <c r="C780" s="2" t="s">
        <v>11</v>
      </c>
      <c r="D780" s="16" t="str" cm="1">
        <f t="array" ref="D780">_xlfn.XLOOKUP(1, (Table1[Project Name]=Table2[[#This Row],[Project ID]])*(Table1[Plot]=Table2[[#This Row],[Plot]]), Table1[Project ID])</f>
        <v>MJ-12</v>
      </c>
      <c r="E780" s="69">
        <v>67</v>
      </c>
      <c r="F780" s="70">
        <v>541</v>
      </c>
      <c r="G780" s="69">
        <f>Table2[[#This Row],[Time Elapsed]]+Table2[[#This Row],[Time Remaining]]</f>
        <v>608</v>
      </c>
      <c r="H780" s="136" t="s">
        <v>679</v>
      </c>
      <c r="I780" s="136" t="s">
        <v>865</v>
      </c>
      <c r="J780" s="13">
        <v>2.7199999999999998E-2</v>
      </c>
      <c r="K780" s="137">
        <v>2.2499999999999999E-2</v>
      </c>
      <c r="L780" s="13">
        <f>Table2[[#This Row],[Actual %]]-Table2[[#This Row],[Plan %]]</f>
        <v>-4.6999999999999993E-3</v>
      </c>
      <c r="M780" s="144" t="s">
        <v>280</v>
      </c>
      <c r="N780" s="12">
        <v>46065</v>
      </c>
      <c r="O780" s="12"/>
      <c r="P780" s="12">
        <v>46065</v>
      </c>
      <c r="Q780" s="198">
        <v>45555</v>
      </c>
      <c r="R780" s="146" t="s">
        <v>883</v>
      </c>
      <c r="S780" s="146" t="s">
        <v>792</v>
      </c>
      <c r="T780" s="196" t="s">
        <v>793</v>
      </c>
      <c r="U780" s="156">
        <v>116841278.45383713</v>
      </c>
      <c r="V780" s="154">
        <v>0</v>
      </c>
      <c r="W780" s="36">
        <f>Table2[[#This Row],[Construction Contract Amount]]+Table2[[#This Row],[Cumulative Variations]]</f>
        <v>116841278.45383713</v>
      </c>
      <c r="X780" s="158">
        <v>3229333.33</v>
      </c>
      <c r="Y780" s="154">
        <v>0</v>
      </c>
      <c r="Z780" s="36">
        <f>Table2[[#This Row],[Final Contract Value]]+Table2[[#This Row],[Supervision Contract amount]]+Table2[[#This Row],[Authority Cost]]</f>
        <v>120070611.78383712</v>
      </c>
      <c r="AA780" s="36"/>
      <c r="AB780" s="154">
        <v>56109.376666666598</v>
      </c>
      <c r="AC780" s="102" t="str">
        <f t="shared" si="51"/>
        <v>https://drive.google.com/thumbnail?id=1jjzR1RyL3evEhn3RbMY2vgThzWgq-fJN&amp;sz=w1000</v>
      </c>
      <c r="AD780" s="90" t="s">
        <v>811</v>
      </c>
      <c r="AE780" s="103" t="str">
        <f t="shared" si="52"/>
        <v>https://drive.google.com/thumbnail?id=10RRCP9PqW1a0aXZkHVOxVr_hGOY01_Ce&amp;sz=w1000</v>
      </c>
      <c r="AF780" s="90" t="s">
        <v>827</v>
      </c>
      <c r="AG780" s="90" t="str">
        <f t="shared" si="53"/>
        <v>https://drive.google.com/thumbnail?id=1MQhooDZfb_a8dh1XjYQap8rFcmtl5opU&amp;sz=w1000</v>
      </c>
      <c r="AH780" s="90" t="s">
        <v>843</v>
      </c>
    </row>
    <row r="781" spans="1:34" ht="22.15" customHeight="1">
      <c r="A781" s="30">
        <v>45548</v>
      </c>
      <c r="B781" s="17" t="s">
        <v>111</v>
      </c>
      <c r="C781" s="2" t="s">
        <v>11</v>
      </c>
      <c r="D781" s="16" t="str" cm="1">
        <f t="array" ref="D781">_xlfn.XLOOKUP(1, (Table1[Project Name]=Table2[[#This Row],[Project ID]])*(Table1[Plot]=Table2[[#This Row],[Plot]]), Table1[Project ID])</f>
        <v>MJ-12</v>
      </c>
      <c r="E781" s="69">
        <v>67</v>
      </c>
      <c r="F781" s="70">
        <v>541</v>
      </c>
      <c r="G781" s="69">
        <f>Table2[[#This Row],[Time Elapsed]]+Table2[[#This Row],[Time Remaining]]</f>
        <v>608</v>
      </c>
      <c r="H781" s="136" t="s">
        <v>679</v>
      </c>
      <c r="I781" s="136" t="s">
        <v>865</v>
      </c>
      <c r="J781" s="13">
        <v>2.7199999999999998E-2</v>
      </c>
      <c r="K781" s="137">
        <v>2.2499999999999999E-2</v>
      </c>
      <c r="L781" s="13">
        <f>Table2[[#This Row],[Actual %]]-Table2[[#This Row],[Plan %]]</f>
        <v>-4.6999999999999993E-3</v>
      </c>
      <c r="M781" s="144" t="s">
        <v>281</v>
      </c>
      <c r="N781" s="12">
        <v>46086</v>
      </c>
      <c r="O781" s="12"/>
      <c r="P781" s="12">
        <v>46086</v>
      </c>
      <c r="Q781" s="198">
        <v>45555</v>
      </c>
      <c r="R781" s="146" t="s">
        <v>883</v>
      </c>
      <c r="S781" s="146" t="s">
        <v>792</v>
      </c>
      <c r="T781" s="196" t="s">
        <v>793</v>
      </c>
      <c r="U781" s="156">
        <v>116841278.45383713</v>
      </c>
      <c r="V781" s="154">
        <v>0</v>
      </c>
      <c r="W781" s="36">
        <f>Table2[[#This Row],[Construction Contract Amount]]+Table2[[#This Row],[Cumulative Variations]]</f>
        <v>116841278.45383713</v>
      </c>
      <c r="X781" s="158">
        <v>3229333.33</v>
      </c>
      <c r="Y781" s="154">
        <v>0</v>
      </c>
      <c r="Z781" s="36">
        <f>Table2[[#This Row],[Final Contract Value]]+Table2[[#This Row],[Supervision Contract amount]]+Table2[[#This Row],[Authority Cost]]</f>
        <v>120070611.78383712</v>
      </c>
      <c r="AA781" s="36"/>
      <c r="AB781" s="154">
        <v>56109.376666666598</v>
      </c>
      <c r="AC781" s="102" t="str">
        <f t="shared" si="51"/>
        <v>https://drive.google.com/thumbnail?id=1jjzR1RyL3evEhn3RbMY2vgThzWgq-fJN&amp;sz=w1000</v>
      </c>
      <c r="AD781" s="90" t="s">
        <v>811</v>
      </c>
      <c r="AE781" s="103" t="str">
        <f t="shared" si="52"/>
        <v>https://drive.google.com/thumbnail?id=10RRCP9PqW1a0aXZkHVOxVr_hGOY01_Ce&amp;sz=w1000</v>
      </c>
      <c r="AF781" s="90" t="s">
        <v>827</v>
      </c>
      <c r="AG781" s="90" t="str">
        <f t="shared" si="53"/>
        <v>https://drive.google.com/thumbnail?id=1MQhooDZfb_a8dh1XjYQap8rFcmtl5opU&amp;sz=w1000</v>
      </c>
      <c r="AH781" s="90" t="s">
        <v>843</v>
      </c>
    </row>
    <row r="782" spans="1:34" ht="22.15" customHeight="1">
      <c r="A782" s="30">
        <v>45548</v>
      </c>
      <c r="B782" s="17" t="s">
        <v>111</v>
      </c>
      <c r="C782" s="2" t="s">
        <v>11</v>
      </c>
      <c r="D782" s="16" t="str" cm="1">
        <f t="array" ref="D782">_xlfn.XLOOKUP(1, (Table1[Project Name]=Table2[[#This Row],[Project ID]])*(Table1[Plot]=Table2[[#This Row],[Plot]]), Table1[Project ID])</f>
        <v>MJ-12</v>
      </c>
      <c r="E782" s="69">
        <v>67</v>
      </c>
      <c r="F782" s="70">
        <v>541</v>
      </c>
      <c r="G782" s="69">
        <f>Table2[[#This Row],[Time Elapsed]]+Table2[[#This Row],[Time Remaining]]</f>
        <v>608</v>
      </c>
      <c r="H782" s="136" t="s">
        <v>679</v>
      </c>
      <c r="I782" s="136" t="s">
        <v>865</v>
      </c>
      <c r="J782" s="13">
        <v>2.7199999999999998E-2</v>
      </c>
      <c r="K782" s="137">
        <v>2.2499999999999999E-2</v>
      </c>
      <c r="L782" s="13">
        <f>Table2[[#This Row],[Actual %]]-Table2[[#This Row],[Plan %]]</f>
        <v>-4.6999999999999993E-3</v>
      </c>
      <c r="M782" s="144" t="s">
        <v>282</v>
      </c>
      <c r="N782" s="12">
        <v>46096</v>
      </c>
      <c r="O782" s="12"/>
      <c r="P782" s="12">
        <v>46096</v>
      </c>
      <c r="Q782" s="198">
        <v>45555</v>
      </c>
      <c r="R782" s="146" t="s">
        <v>883</v>
      </c>
      <c r="S782" s="146" t="s">
        <v>792</v>
      </c>
      <c r="T782" s="196" t="s">
        <v>793</v>
      </c>
      <c r="U782" s="156">
        <v>116841278.45383713</v>
      </c>
      <c r="V782" s="154">
        <v>0</v>
      </c>
      <c r="W782" s="36">
        <f>Table2[[#This Row],[Construction Contract Amount]]+Table2[[#This Row],[Cumulative Variations]]</f>
        <v>116841278.45383713</v>
      </c>
      <c r="X782" s="158">
        <v>3229333.33</v>
      </c>
      <c r="Y782" s="154">
        <v>0</v>
      </c>
      <c r="Z782" s="36">
        <f>Table2[[#This Row],[Final Contract Value]]+Table2[[#This Row],[Supervision Contract amount]]+Table2[[#This Row],[Authority Cost]]</f>
        <v>120070611.78383712</v>
      </c>
      <c r="AA782" s="36"/>
      <c r="AB782" s="154">
        <v>56109.376666666598</v>
      </c>
      <c r="AC782" s="102" t="str">
        <f t="shared" si="51"/>
        <v>https://drive.google.com/thumbnail?id=1jjzR1RyL3evEhn3RbMY2vgThzWgq-fJN&amp;sz=w1000</v>
      </c>
      <c r="AD782" s="90" t="s">
        <v>811</v>
      </c>
      <c r="AE782" s="103" t="str">
        <f t="shared" si="52"/>
        <v>https://drive.google.com/thumbnail?id=10RRCP9PqW1a0aXZkHVOxVr_hGOY01_Ce&amp;sz=w1000</v>
      </c>
      <c r="AF782" s="90" t="s">
        <v>827</v>
      </c>
      <c r="AG782" s="90" t="str">
        <f t="shared" si="53"/>
        <v>https://drive.google.com/thumbnail?id=1MQhooDZfb_a8dh1XjYQap8rFcmtl5opU&amp;sz=w1000</v>
      </c>
      <c r="AH782" s="90" t="s">
        <v>843</v>
      </c>
    </row>
    <row r="783" spans="1:34" ht="22.15" customHeight="1">
      <c r="A783" s="30">
        <v>45548</v>
      </c>
      <c r="B783" s="17" t="s">
        <v>111</v>
      </c>
      <c r="C783" s="2" t="s">
        <v>11</v>
      </c>
      <c r="D783" s="16" t="str" cm="1">
        <f t="array" ref="D783">_xlfn.XLOOKUP(1, (Table1[Project Name]=Table2[[#This Row],[Project ID]])*(Table1[Plot]=Table2[[#This Row],[Plot]]), Table1[Project ID])</f>
        <v>MJ-12</v>
      </c>
      <c r="E783" s="69">
        <v>67</v>
      </c>
      <c r="F783" s="70">
        <v>541</v>
      </c>
      <c r="G783" s="69">
        <f>Table2[[#This Row],[Time Elapsed]]+Table2[[#This Row],[Time Remaining]]</f>
        <v>608</v>
      </c>
      <c r="H783" s="136" t="s">
        <v>679</v>
      </c>
      <c r="I783" s="136" t="s">
        <v>865</v>
      </c>
      <c r="J783" s="13">
        <v>2.7199999999999998E-2</v>
      </c>
      <c r="K783" s="137">
        <v>2.2499999999999999E-2</v>
      </c>
      <c r="L783" s="13">
        <f>Table2[[#This Row],[Actual %]]-Table2[[#This Row],[Plan %]]</f>
        <v>-4.6999999999999993E-3</v>
      </c>
      <c r="M783" s="144" t="s">
        <v>283</v>
      </c>
      <c r="N783" s="12">
        <v>46096</v>
      </c>
      <c r="O783" s="12"/>
      <c r="P783" s="12">
        <v>46096</v>
      </c>
      <c r="Q783" s="198">
        <v>45555</v>
      </c>
      <c r="R783" s="146" t="s">
        <v>883</v>
      </c>
      <c r="S783" s="146" t="s">
        <v>792</v>
      </c>
      <c r="T783" s="196" t="s">
        <v>793</v>
      </c>
      <c r="U783" s="156">
        <v>116841278.45383713</v>
      </c>
      <c r="V783" s="154">
        <v>0</v>
      </c>
      <c r="W783" s="36">
        <f>Table2[[#This Row],[Construction Contract Amount]]+Table2[[#This Row],[Cumulative Variations]]</f>
        <v>116841278.45383713</v>
      </c>
      <c r="X783" s="158">
        <v>3229333.33</v>
      </c>
      <c r="Y783" s="154">
        <v>0</v>
      </c>
      <c r="Z783" s="36">
        <f>Table2[[#This Row],[Final Contract Value]]+Table2[[#This Row],[Supervision Contract amount]]+Table2[[#This Row],[Authority Cost]]</f>
        <v>120070611.78383712</v>
      </c>
      <c r="AA783" s="36"/>
      <c r="AB783" s="154">
        <v>56109.376666666598</v>
      </c>
      <c r="AC783" s="102" t="str">
        <f t="shared" si="51"/>
        <v>https://drive.google.com/thumbnail?id=1jjzR1RyL3evEhn3RbMY2vgThzWgq-fJN&amp;sz=w1000</v>
      </c>
      <c r="AD783" s="90" t="s">
        <v>811</v>
      </c>
      <c r="AE783" s="103" t="str">
        <f t="shared" si="52"/>
        <v>https://drive.google.com/thumbnail?id=10RRCP9PqW1a0aXZkHVOxVr_hGOY01_Ce&amp;sz=w1000</v>
      </c>
      <c r="AF783" s="90" t="s">
        <v>827</v>
      </c>
      <c r="AG783" s="90" t="str">
        <f t="shared" si="53"/>
        <v>https://drive.google.com/thumbnail?id=1MQhooDZfb_a8dh1XjYQap8rFcmtl5opU&amp;sz=w1000</v>
      </c>
      <c r="AH783" s="90" t="s">
        <v>843</v>
      </c>
    </row>
    <row r="784" spans="1:34" ht="22.15" customHeight="1">
      <c r="A784" s="30">
        <v>45548</v>
      </c>
      <c r="B784" s="17" t="s">
        <v>111</v>
      </c>
      <c r="C784" s="2" t="s">
        <v>11</v>
      </c>
      <c r="D784" s="16" t="str" cm="1">
        <f t="array" ref="D784">_xlfn.XLOOKUP(1, (Table1[Project Name]=Table2[[#This Row],[Project ID]])*(Table1[Plot]=Table2[[#This Row],[Plot]]), Table1[Project ID])</f>
        <v>MJ-12</v>
      </c>
      <c r="E784" s="69">
        <v>67</v>
      </c>
      <c r="F784" s="70">
        <v>541</v>
      </c>
      <c r="G784" s="69">
        <f>Table2[[#This Row],[Time Elapsed]]+Table2[[#This Row],[Time Remaining]]</f>
        <v>608</v>
      </c>
      <c r="H784" s="136" t="s">
        <v>679</v>
      </c>
      <c r="I784" s="136" t="s">
        <v>865</v>
      </c>
      <c r="J784" s="13">
        <v>2.7199999999999998E-2</v>
      </c>
      <c r="K784" s="137">
        <v>2.2499999999999999E-2</v>
      </c>
      <c r="L784" s="13">
        <f>Table2[[#This Row],[Actual %]]-Table2[[#This Row],[Plan %]]</f>
        <v>-4.6999999999999993E-3</v>
      </c>
      <c r="M784" s="144" t="s">
        <v>284</v>
      </c>
      <c r="N784" s="12">
        <v>46096</v>
      </c>
      <c r="O784" s="12"/>
      <c r="P784" s="12">
        <v>46096</v>
      </c>
      <c r="Q784" s="198">
        <v>45555</v>
      </c>
      <c r="R784" s="146" t="s">
        <v>883</v>
      </c>
      <c r="S784" s="146" t="s">
        <v>792</v>
      </c>
      <c r="T784" s="196" t="s">
        <v>793</v>
      </c>
      <c r="U784" s="156">
        <v>116841278.45383713</v>
      </c>
      <c r="V784" s="154">
        <v>0</v>
      </c>
      <c r="W784" s="36">
        <f>Table2[[#This Row],[Construction Contract Amount]]+Table2[[#This Row],[Cumulative Variations]]</f>
        <v>116841278.45383713</v>
      </c>
      <c r="X784" s="158">
        <v>3229333.33</v>
      </c>
      <c r="Y784" s="154">
        <v>0</v>
      </c>
      <c r="Z784" s="36">
        <f>Table2[[#This Row],[Final Contract Value]]+Table2[[#This Row],[Supervision Contract amount]]+Table2[[#This Row],[Authority Cost]]</f>
        <v>120070611.78383712</v>
      </c>
      <c r="AA784" s="36"/>
      <c r="AB784" s="154">
        <v>56109.376666666598</v>
      </c>
      <c r="AC784" s="102" t="str">
        <f t="shared" si="51"/>
        <v>https://drive.google.com/thumbnail?id=1jjzR1RyL3evEhn3RbMY2vgThzWgq-fJN&amp;sz=w1000</v>
      </c>
      <c r="AD784" s="90" t="s">
        <v>811</v>
      </c>
      <c r="AE784" s="103" t="str">
        <f t="shared" si="52"/>
        <v>https://drive.google.com/thumbnail?id=10RRCP9PqW1a0aXZkHVOxVr_hGOY01_Ce&amp;sz=w1000</v>
      </c>
      <c r="AF784" s="90" t="s">
        <v>827</v>
      </c>
      <c r="AG784" s="90" t="str">
        <f t="shared" si="53"/>
        <v>https://drive.google.com/thumbnail?id=1MQhooDZfb_a8dh1XjYQap8rFcmtl5opU&amp;sz=w1000</v>
      </c>
      <c r="AH784" s="90" t="s">
        <v>843</v>
      </c>
    </row>
    <row r="785" spans="1:34" ht="22.15" customHeight="1">
      <c r="A785" s="30">
        <v>45548</v>
      </c>
      <c r="B785" s="17" t="s">
        <v>114</v>
      </c>
      <c r="C785" s="2" t="s">
        <v>116</v>
      </c>
      <c r="D785" s="16" t="str" cm="1">
        <f t="array" ref="D785">_xlfn.XLOOKUP(1, (Table1[Project Name]=Table2[[#This Row],[Project ID]])*(Table1[Plot]=Table2[[#This Row],[Plot]]), Table1[Project ID])</f>
        <v>MJ-13</v>
      </c>
      <c r="E785" s="69">
        <v>67</v>
      </c>
      <c r="F785" s="70">
        <v>541</v>
      </c>
      <c r="G785" s="69">
        <f>Table2[[#This Row],[Time Elapsed]]+Table2[[#This Row],[Time Remaining]]</f>
        <v>608</v>
      </c>
      <c r="H785" s="136" t="s">
        <v>679</v>
      </c>
      <c r="I785" s="136" t="s">
        <v>865</v>
      </c>
      <c r="J785" s="13">
        <v>2.7199999999999998E-2</v>
      </c>
      <c r="K785" s="137">
        <v>2.2599999999999999E-2</v>
      </c>
      <c r="L785" s="13">
        <f>Table2[[#This Row],[Actual %]]-Table2[[#This Row],[Plan %]]</f>
        <v>-4.5999999999999999E-3</v>
      </c>
      <c r="M785" s="144" t="s">
        <v>28</v>
      </c>
      <c r="N785" s="12">
        <v>45489</v>
      </c>
      <c r="O785" s="12">
        <v>45489</v>
      </c>
      <c r="P785" s="12"/>
      <c r="Q785" s="198">
        <v>45555</v>
      </c>
      <c r="R785" s="146" t="s">
        <v>883</v>
      </c>
      <c r="S785" s="146" t="s">
        <v>792</v>
      </c>
      <c r="T785" s="196" t="s">
        <v>793</v>
      </c>
      <c r="U785" s="155">
        <v>98073241.524302095</v>
      </c>
      <c r="V785" s="152">
        <v>0</v>
      </c>
      <c r="W785" s="36">
        <f>Table2[[#This Row],[Construction Contract Amount]]+Table2[[#This Row],[Cumulative Variations]]</f>
        <v>98073241.524302095</v>
      </c>
      <c r="X785" s="152">
        <v>3229333.33</v>
      </c>
      <c r="Y785" s="152">
        <v>0</v>
      </c>
      <c r="Z785" s="36">
        <f>Table2[[#This Row],[Final Contract Value]]+Table2[[#This Row],[Supervision Contract amount]]+Table2[[#This Row],[Authority Cost]]</f>
        <v>101302574.85430209</v>
      </c>
      <c r="AA785" s="36"/>
      <c r="AB785" s="154">
        <v>56109.376666666598</v>
      </c>
      <c r="AC785" s="102" t="str">
        <f t="shared" si="51"/>
        <v>https://drive.google.com/thumbnail?id=1jjzR1RyL3evEhn3RbMY2vgThzWgq-fJN&amp;sz=w1000</v>
      </c>
      <c r="AD785" s="90" t="s">
        <v>811</v>
      </c>
      <c r="AE785" s="103" t="str">
        <f t="shared" si="52"/>
        <v>https://drive.google.com/thumbnail?id=10RRCP9PqW1a0aXZkHVOxVr_hGOY01_Ce&amp;sz=w1000</v>
      </c>
      <c r="AF785" s="90" t="s">
        <v>827</v>
      </c>
      <c r="AG785" s="90" t="str">
        <f t="shared" si="53"/>
        <v>https://drive.google.com/thumbnail?id=1MQhooDZfb_a8dh1XjYQap8rFcmtl5opU&amp;sz=w1000</v>
      </c>
      <c r="AH785" s="90" t="s">
        <v>843</v>
      </c>
    </row>
    <row r="786" spans="1:34" ht="22.15" customHeight="1">
      <c r="A786" s="30">
        <v>45548</v>
      </c>
      <c r="B786" s="17" t="s">
        <v>114</v>
      </c>
      <c r="C786" s="2" t="s">
        <v>116</v>
      </c>
      <c r="D786" s="16" t="str" cm="1">
        <f t="array" ref="D786">_xlfn.XLOOKUP(1, (Table1[Project Name]=Table2[[#This Row],[Project ID]])*(Table1[Plot]=Table2[[#This Row],[Plot]]), Table1[Project ID])</f>
        <v>MJ-13</v>
      </c>
      <c r="E786" s="69">
        <v>67</v>
      </c>
      <c r="F786" s="70">
        <v>541</v>
      </c>
      <c r="G786" s="69">
        <f>Table2[[#This Row],[Time Elapsed]]+Table2[[#This Row],[Time Remaining]]</f>
        <v>608</v>
      </c>
      <c r="H786" s="136" t="s">
        <v>679</v>
      </c>
      <c r="I786" s="136" t="s">
        <v>865</v>
      </c>
      <c r="J786" s="13">
        <v>2.7199999999999998E-2</v>
      </c>
      <c r="K786" s="137">
        <v>2.2599999999999999E-2</v>
      </c>
      <c r="L786" s="13">
        <f>Table2[[#This Row],[Actual %]]-Table2[[#This Row],[Plan %]]</f>
        <v>-4.5999999999999999E-3</v>
      </c>
      <c r="M786" s="144" t="s">
        <v>50</v>
      </c>
      <c r="N786" s="12">
        <v>45490</v>
      </c>
      <c r="O786" s="12">
        <v>45490</v>
      </c>
      <c r="P786" s="12"/>
      <c r="Q786" s="198">
        <v>45555</v>
      </c>
      <c r="R786" s="136" t="s">
        <v>883</v>
      </c>
      <c r="S786" s="136" t="s">
        <v>792</v>
      </c>
      <c r="T786" s="149" t="s">
        <v>793</v>
      </c>
      <c r="U786" s="155">
        <v>98073241.524302095</v>
      </c>
      <c r="V786" s="152">
        <v>0</v>
      </c>
      <c r="W786" s="36">
        <f>Table2[[#This Row],[Construction Contract Amount]]+Table2[[#This Row],[Cumulative Variations]]</f>
        <v>98073241.524302095</v>
      </c>
      <c r="X786" s="152">
        <v>3229333.33</v>
      </c>
      <c r="Y786" s="152">
        <v>0</v>
      </c>
      <c r="Z786" s="36">
        <f>Table2[[#This Row],[Final Contract Value]]+Table2[[#This Row],[Supervision Contract amount]]+Table2[[#This Row],[Authority Cost]]</f>
        <v>101302574.85430209</v>
      </c>
      <c r="AA786" s="36"/>
      <c r="AB786" s="152">
        <v>56109.376666666598</v>
      </c>
      <c r="AC786" s="102" t="str">
        <f t="shared" si="51"/>
        <v>https://drive.google.com/thumbnail?id=1jjzR1RyL3evEhn3RbMY2vgThzWgq-fJN&amp;sz=w1000</v>
      </c>
      <c r="AD786" s="90" t="s">
        <v>811</v>
      </c>
      <c r="AE786" s="103" t="str">
        <f t="shared" si="52"/>
        <v>https://drive.google.com/thumbnail?id=10RRCP9PqW1a0aXZkHVOxVr_hGOY01_Ce&amp;sz=w1000</v>
      </c>
      <c r="AF786" s="90" t="s">
        <v>827</v>
      </c>
      <c r="AG786" s="90" t="str">
        <f t="shared" si="53"/>
        <v>https://drive.google.com/thumbnail?id=1MQhooDZfb_a8dh1XjYQap8rFcmtl5opU&amp;sz=w1000</v>
      </c>
      <c r="AH786" s="90" t="s">
        <v>843</v>
      </c>
    </row>
    <row r="787" spans="1:34" ht="22.15" customHeight="1">
      <c r="A787" s="30">
        <v>45548</v>
      </c>
      <c r="B787" s="17" t="s">
        <v>114</v>
      </c>
      <c r="C787" s="2" t="s">
        <v>116</v>
      </c>
      <c r="D787" s="16" t="str" cm="1">
        <f t="array" ref="D787">_xlfn.XLOOKUP(1, (Table1[Project Name]=Table2[[#This Row],[Project ID]])*(Table1[Plot]=Table2[[#This Row],[Plot]]), Table1[Project ID])</f>
        <v>MJ-13</v>
      </c>
      <c r="E787" s="69">
        <v>67</v>
      </c>
      <c r="F787" s="70">
        <v>541</v>
      </c>
      <c r="G787" s="69">
        <f>Table2[[#This Row],[Time Elapsed]]+Table2[[#This Row],[Time Remaining]]</f>
        <v>608</v>
      </c>
      <c r="H787" s="136" t="s">
        <v>679</v>
      </c>
      <c r="I787" s="136" t="s">
        <v>865</v>
      </c>
      <c r="J787" s="13">
        <v>2.7199999999999998E-2</v>
      </c>
      <c r="K787" s="137">
        <v>2.2599999999999999E-2</v>
      </c>
      <c r="L787" s="13">
        <f>Table2[[#This Row],[Actual %]]-Table2[[#This Row],[Plan %]]</f>
        <v>-4.5999999999999999E-3</v>
      </c>
      <c r="M787" s="144" t="s">
        <v>51</v>
      </c>
      <c r="N787" s="12">
        <v>45590</v>
      </c>
      <c r="O787" s="12"/>
      <c r="P787" s="12">
        <v>45590</v>
      </c>
      <c r="Q787" s="198">
        <v>45555</v>
      </c>
      <c r="R787" s="136" t="s">
        <v>883</v>
      </c>
      <c r="S787" s="136" t="s">
        <v>792</v>
      </c>
      <c r="T787" s="143" t="s">
        <v>793</v>
      </c>
      <c r="U787" s="155">
        <v>98073241.524302095</v>
      </c>
      <c r="V787" s="152">
        <v>0</v>
      </c>
      <c r="W787" s="36">
        <f>Table2[[#This Row],[Construction Contract Amount]]+Table2[[#This Row],[Cumulative Variations]]</f>
        <v>98073241.524302095</v>
      </c>
      <c r="X787" s="152">
        <v>3229333.33</v>
      </c>
      <c r="Y787" s="152">
        <v>0</v>
      </c>
      <c r="Z787" s="36">
        <f>Table2[[#This Row],[Final Contract Value]]+Table2[[#This Row],[Supervision Contract amount]]+Table2[[#This Row],[Authority Cost]]</f>
        <v>101302574.85430209</v>
      </c>
      <c r="AA787" s="36"/>
      <c r="AB787" s="152">
        <v>56109.376666666598</v>
      </c>
      <c r="AC787" s="102" t="str">
        <f t="shared" si="51"/>
        <v>https://drive.google.com/thumbnail?id=1jjzR1RyL3evEhn3RbMY2vgThzWgq-fJN&amp;sz=w1000</v>
      </c>
      <c r="AD787" s="90" t="s">
        <v>811</v>
      </c>
      <c r="AE787" s="103" t="str">
        <f t="shared" si="52"/>
        <v>https://drive.google.com/thumbnail?id=10RRCP9PqW1a0aXZkHVOxVr_hGOY01_Ce&amp;sz=w1000</v>
      </c>
      <c r="AF787" s="90" t="s">
        <v>827</v>
      </c>
      <c r="AG787" s="90" t="str">
        <f t="shared" si="53"/>
        <v>https://drive.google.com/thumbnail?id=1MQhooDZfb_a8dh1XjYQap8rFcmtl5opU&amp;sz=w1000</v>
      </c>
      <c r="AH787" s="90" t="s">
        <v>843</v>
      </c>
    </row>
    <row r="788" spans="1:34" ht="22.15" customHeight="1">
      <c r="A788" s="30">
        <v>45548</v>
      </c>
      <c r="B788" s="17" t="s">
        <v>114</v>
      </c>
      <c r="C788" s="2" t="s">
        <v>116</v>
      </c>
      <c r="D788" s="16" t="str" cm="1">
        <f t="array" ref="D788">_xlfn.XLOOKUP(1, (Table1[Project Name]=Table2[[#This Row],[Project ID]])*(Table1[Plot]=Table2[[#This Row],[Plot]]), Table1[Project ID])</f>
        <v>MJ-13</v>
      </c>
      <c r="E788" s="69">
        <v>67</v>
      </c>
      <c r="F788" s="70">
        <v>541</v>
      </c>
      <c r="G788" s="69">
        <f>Table2[[#This Row],[Time Elapsed]]+Table2[[#This Row],[Time Remaining]]</f>
        <v>608</v>
      </c>
      <c r="H788" s="136" t="s">
        <v>679</v>
      </c>
      <c r="I788" s="136" t="s">
        <v>865</v>
      </c>
      <c r="J788" s="13">
        <v>2.7199999999999998E-2</v>
      </c>
      <c r="K788" s="137">
        <v>2.2599999999999999E-2</v>
      </c>
      <c r="L788" s="13">
        <f>Table2[[#This Row],[Actual %]]-Table2[[#This Row],[Plan %]]</f>
        <v>-4.5999999999999999E-3</v>
      </c>
      <c r="M788" s="144" t="s">
        <v>275</v>
      </c>
      <c r="N788" s="12">
        <v>45621</v>
      </c>
      <c r="O788" s="12"/>
      <c r="P788" s="12">
        <v>45621</v>
      </c>
      <c r="Q788" s="198">
        <v>45555</v>
      </c>
      <c r="R788" s="136" t="s">
        <v>883</v>
      </c>
      <c r="S788" s="136" t="s">
        <v>792</v>
      </c>
      <c r="T788" s="143" t="s">
        <v>793</v>
      </c>
      <c r="U788" s="155">
        <v>98073241.524302095</v>
      </c>
      <c r="V788" s="152">
        <v>0</v>
      </c>
      <c r="W788" s="36">
        <f>Table2[[#This Row],[Construction Contract Amount]]+Table2[[#This Row],[Cumulative Variations]]</f>
        <v>98073241.524302095</v>
      </c>
      <c r="X788" s="152">
        <v>3229333.33</v>
      </c>
      <c r="Y788" s="152">
        <v>0</v>
      </c>
      <c r="Z788" s="36">
        <f>Table2[[#This Row],[Final Contract Value]]+Table2[[#This Row],[Supervision Contract amount]]+Table2[[#This Row],[Authority Cost]]</f>
        <v>101302574.85430209</v>
      </c>
      <c r="AA788" s="36"/>
      <c r="AB788" s="152">
        <v>56109.376666666598</v>
      </c>
      <c r="AC788" s="102" t="str">
        <f t="shared" si="51"/>
        <v>https://drive.google.com/thumbnail?id=1jjzR1RyL3evEhn3RbMY2vgThzWgq-fJN&amp;sz=w1000</v>
      </c>
      <c r="AD788" s="90" t="s">
        <v>811</v>
      </c>
      <c r="AE788" s="103" t="str">
        <f t="shared" si="52"/>
        <v>https://drive.google.com/thumbnail?id=10RRCP9PqW1a0aXZkHVOxVr_hGOY01_Ce&amp;sz=w1000</v>
      </c>
      <c r="AF788" s="90" t="s">
        <v>827</v>
      </c>
      <c r="AG788" s="90" t="str">
        <f t="shared" si="53"/>
        <v>https://drive.google.com/thumbnail?id=1MQhooDZfb_a8dh1XjYQap8rFcmtl5opU&amp;sz=w1000</v>
      </c>
      <c r="AH788" s="90" t="s">
        <v>843</v>
      </c>
    </row>
    <row r="789" spans="1:34" ht="22.15" customHeight="1">
      <c r="A789" s="30">
        <v>45548</v>
      </c>
      <c r="B789" s="17" t="s">
        <v>114</v>
      </c>
      <c r="C789" s="2" t="s">
        <v>116</v>
      </c>
      <c r="D789" s="16" t="str" cm="1">
        <f t="array" ref="D789">_xlfn.XLOOKUP(1, (Table1[Project Name]=Table2[[#This Row],[Project ID]])*(Table1[Plot]=Table2[[#This Row],[Plot]]), Table1[Project ID])</f>
        <v>MJ-13</v>
      </c>
      <c r="E789" s="69">
        <v>67</v>
      </c>
      <c r="F789" s="70">
        <v>541</v>
      </c>
      <c r="G789" s="69">
        <f>Table2[[#This Row],[Time Elapsed]]+Table2[[#This Row],[Time Remaining]]</f>
        <v>608</v>
      </c>
      <c r="H789" s="136" t="s">
        <v>679</v>
      </c>
      <c r="I789" s="136" t="s">
        <v>865</v>
      </c>
      <c r="J789" s="13">
        <v>2.7199999999999998E-2</v>
      </c>
      <c r="K789" s="137">
        <v>2.2599999999999999E-2</v>
      </c>
      <c r="L789" s="13">
        <f>Table2[[#This Row],[Actual %]]-Table2[[#This Row],[Plan %]]</f>
        <v>-4.5999999999999999E-3</v>
      </c>
      <c r="M789" s="144" t="s">
        <v>276</v>
      </c>
      <c r="N789" s="12">
        <v>45659</v>
      </c>
      <c r="O789" s="12"/>
      <c r="P789" s="12">
        <v>45659</v>
      </c>
      <c r="Q789" s="198">
        <v>45555</v>
      </c>
      <c r="R789" s="136" t="s">
        <v>883</v>
      </c>
      <c r="S789" s="136" t="s">
        <v>792</v>
      </c>
      <c r="T789" s="143" t="s">
        <v>793</v>
      </c>
      <c r="U789" s="155">
        <v>98073241.524302095</v>
      </c>
      <c r="V789" s="152">
        <v>0</v>
      </c>
      <c r="W789" s="36">
        <f>Table2[[#This Row],[Construction Contract Amount]]+Table2[[#This Row],[Cumulative Variations]]</f>
        <v>98073241.524302095</v>
      </c>
      <c r="X789" s="152">
        <v>3229333.33</v>
      </c>
      <c r="Y789" s="152">
        <v>0</v>
      </c>
      <c r="Z789" s="36">
        <f>Table2[[#This Row],[Final Contract Value]]+Table2[[#This Row],[Supervision Contract amount]]+Table2[[#This Row],[Authority Cost]]</f>
        <v>101302574.85430209</v>
      </c>
      <c r="AA789" s="36"/>
      <c r="AB789" s="152">
        <v>56109.376666666598</v>
      </c>
      <c r="AC789" s="102" t="str">
        <f t="shared" si="51"/>
        <v>https://drive.google.com/thumbnail?id=1jjzR1RyL3evEhn3RbMY2vgThzWgq-fJN&amp;sz=w1000</v>
      </c>
      <c r="AD789" s="90" t="s">
        <v>811</v>
      </c>
      <c r="AE789" s="103" t="str">
        <f t="shared" si="52"/>
        <v>https://drive.google.com/thumbnail?id=10RRCP9PqW1a0aXZkHVOxVr_hGOY01_Ce&amp;sz=w1000</v>
      </c>
      <c r="AF789" s="90" t="s">
        <v>827</v>
      </c>
      <c r="AG789" s="90" t="str">
        <f t="shared" si="53"/>
        <v>https://drive.google.com/thumbnail?id=1MQhooDZfb_a8dh1XjYQap8rFcmtl5opU&amp;sz=w1000</v>
      </c>
      <c r="AH789" s="90" t="s">
        <v>843</v>
      </c>
    </row>
    <row r="790" spans="1:34" ht="22.15" customHeight="1">
      <c r="A790" s="30">
        <v>45548</v>
      </c>
      <c r="B790" s="17" t="s">
        <v>114</v>
      </c>
      <c r="C790" s="2" t="s">
        <v>116</v>
      </c>
      <c r="D790" s="16" t="str" cm="1">
        <f t="array" ref="D790">_xlfn.XLOOKUP(1, (Table1[Project Name]=Table2[[#This Row],[Project ID]])*(Table1[Plot]=Table2[[#This Row],[Plot]]), Table1[Project ID])</f>
        <v>MJ-13</v>
      </c>
      <c r="E790" s="69">
        <v>67</v>
      </c>
      <c r="F790" s="70">
        <v>541</v>
      </c>
      <c r="G790" s="69">
        <f>Table2[[#This Row],[Time Elapsed]]+Table2[[#This Row],[Time Remaining]]</f>
        <v>608</v>
      </c>
      <c r="H790" s="136" t="s">
        <v>679</v>
      </c>
      <c r="I790" s="136" t="s">
        <v>865</v>
      </c>
      <c r="J790" s="13">
        <v>2.7199999999999998E-2</v>
      </c>
      <c r="K790" s="137">
        <v>2.2599999999999999E-2</v>
      </c>
      <c r="L790" s="13">
        <f>Table2[[#This Row],[Actual %]]-Table2[[#This Row],[Plan %]]</f>
        <v>-4.5999999999999999E-3</v>
      </c>
      <c r="M790" s="147" t="s">
        <v>277</v>
      </c>
      <c r="N790" s="12">
        <v>45715</v>
      </c>
      <c r="O790" s="12"/>
      <c r="P790" s="12">
        <v>45715</v>
      </c>
      <c r="Q790" s="198">
        <v>45555</v>
      </c>
      <c r="R790" s="136" t="s">
        <v>883</v>
      </c>
      <c r="S790" s="136" t="s">
        <v>792</v>
      </c>
      <c r="T790" s="143" t="s">
        <v>793</v>
      </c>
      <c r="U790" s="155">
        <v>98073241.524302095</v>
      </c>
      <c r="V790" s="152">
        <v>0</v>
      </c>
      <c r="W790" s="36">
        <f>Table2[[#This Row],[Construction Contract Amount]]+Table2[[#This Row],[Cumulative Variations]]</f>
        <v>98073241.524302095</v>
      </c>
      <c r="X790" s="152">
        <v>3229333.33</v>
      </c>
      <c r="Y790" s="152">
        <v>0</v>
      </c>
      <c r="Z790" s="36">
        <f>Table2[[#This Row],[Final Contract Value]]+Table2[[#This Row],[Supervision Contract amount]]+Table2[[#This Row],[Authority Cost]]</f>
        <v>101302574.85430209</v>
      </c>
      <c r="AA790" s="36"/>
      <c r="AB790" s="152">
        <v>56109.376666666598</v>
      </c>
      <c r="AC790" s="102" t="str">
        <f t="shared" si="51"/>
        <v>https://drive.google.com/thumbnail?id=1jjzR1RyL3evEhn3RbMY2vgThzWgq-fJN&amp;sz=w1000</v>
      </c>
      <c r="AD790" s="90" t="s">
        <v>811</v>
      </c>
      <c r="AE790" s="103" t="str">
        <f t="shared" si="52"/>
        <v>https://drive.google.com/thumbnail?id=10RRCP9PqW1a0aXZkHVOxVr_hGOY01_Ce&amp;sz=w1000</v>
      </c>
      <c r="AF790" s="90" t="s">
        <v>827</v>
      </c>
      <c r="AG790" s="90" t="str">
        <f t="shared" si="53"/>
        <v>https://drive.google.com/thumbnail?id=1MQhooDZfb_a8dh1XjYQap8rFcmtl5opU&amp;sz=w1000</v>
      </c>
      <c r="AH790" s="90" t="s">
        <v>843</v>
      </c>
    </row>
    <row r="791" spans="1:34" ht="22.15" customHeight="1">
      <c r="A791" s="30">
        <v>45548</v>
      </c>
      <c r="B791" s="17" t="s">
        <v>114</v>
      </c>
      <c r="C791" s="2" t="s">
        <v>116</v>
      </c>
      <c r="D791" s="16" t="str" cm="1">
        <f t="array" ref="D791">_xlfn.XLOOKUP(1, (Table1[Project Name]=Table2[[#This Row],[Project ID]])*(Table1[Plot]=Table2[[#This Row],[Plot]]), Table1[Project ID])</f>
        <v>MJ-13</v>
      </c>
      <c r="E791" s="69">
        <v>67</v>
      </c>
      <c r="F791" s="70">
        <v>541</v>
      </c>
      <c r="G791" s="69">
        <f>Table2[[#This Row],[Time Elapsed]]+Table2[[#This Row],[Time Remaining]]</f>
        <v>608</v>
      </c>
      <c r="H791" s="136" t="s">
        <v>679</v>
      </c>
      <c r="I791" s="136" t="s">
        <v>865</v>
      </c>
      <c r="J791" s="13">
        <v>2.7199999999999998E-2</v>
      </c>
      <c r="K791" s="137">
        <v>2.2599999999999999E-2</v>
      </c>
      <c r="L791" s="13">
        <f>Table2[[#This Row],[Actual %]]-Table2[[#This Row],[Plan %]]</f>
        <v>-4.5999999999999999E-3</v>
      </c>
      <c r="M791" s="144" t="s">
        <v>278</v>
      </c>
      <c r="N791" s="12">
        <v>45867</v>
      </c>
      <c r="O791" s="12"/>
      <c r="P791" s="12">
        <v>45867</v>
      </c>
      <c r="Q791" s="198">
        <v>45555</v>
      </c>
      <c r="R791" s="136" t="s">
        <v>883</v>
      </c>
      <c r="S791" s="136" t="s">
        <v>792</v>
      </c>
      <c r="T791" s="143" t="s">
        <v>793</v>
      </c>
      <c r="U791" s="155">
        <v>98073241.524302095</v>
      </c>
      <c r="V791" s="152">
        <v>0</v>
      </c>
      <c r="W791" s="36">
        <f>Table2[[#This Row],[Construction Contract Amount]]+Table2[[#This Row],[Cumulative Variations]]</f>
        <v>98073241.524302095</v>
      </c>
      <c r="X791" s="152">
        <v>3229333.33</v>
      </c>
      <c r="Y791" s="152">
        <v>0</v>
      </c>
      <c r="Z791" s="36">
        <f>Table2[[#This Row],[Final Contract Value]]+Table2[[#This Row],[Supervision Contract amount]]+Table2[[#This Row],[Authority Cost]]</f>
        <v>101302574.85430209</v>
      </c>
      <c r="AA791" s="36"/>
      <c r="AB791" s="152">
        <v>56109.376666666598</v>
      </c>
      <c r="AC791" s="102" t="str">
        <f t="shared" si="51"/>
        <v>https://drive.google.com/thumbnail?id=1jjzR1RyL3evEhn3RbMY2vgThzWgq-fJN&amp;sz=w1000</v>
      </c>
      <c r="AD791" s="90" t="s">
        <v>811</v>
      </c>
      <c r="AE791" s="103" t="str">
        <f t="shared" si="52"/>
        <v>https://drive.google.com/thumbnail?id=10RRCP9PqW1a0aXZkHVOxVr_hGOY01_Ce&amp;sz=w1000</v>
      </c>
      <c r="AF791" s="90" t="s">
        <v>827</v>
      </c>
      <c r="AG791" s="90" t="str">
        <f t="shared" si="53"/>
        <v>https://drive.google.com/thumbnail?id=1MQhooDZfb_a8dh1XjYQap8rFcmtl5opU&amp;sz=w1000</v>
      </c>
      <c r="AH791" s="90" t="s">
        <v>843</v>
      </c>
    </row>
    <row r="792" spans="1:34" ht="22.15" customHeight="1">
      <c r="A792" s="30">
        <v>45548</v>
      </c>
      <c r="B792" s="17" t="s">
        <v>114</v>
      </c>
      <c r="C792" s="2" t="s">
        <v>116</v>
      </c>
      <c r="D792" s="16" t="str" cm="1">
        <f t="array" ref="D792">_xlfn.XLOOKUP(1, (Table1[Project Name]=Table2[[#This Row],[Project ID]])*(Table1[Plot]=Table2[[#This Row],[Plot]]), Table1[Project ID])</f>
        <v>MJ-13</v>
      </c>
      <c r="E792" s="69">
        <v>67</v>
      </c>
      <c r="F792" s="70">
        <v>541</v>
      </c>
      <c r="G792" s="69">
        <f>Table2[[#This Row],[Time Elapsed]]+Table2[[#This Row],[Time Remaining]]</f>
        <v>608</v>
      </c>
      <c r="H792" s="136" t="s">
        <v>679</v>
      </c>
      <c r="I792" s="136" t="s">
        <v>865</v>
      </c>
      <c r="J792" s="13">
        <v>2.7199999999999998E-2</v>
      </c>
      <c r="K792" s="137">
        <v>2.2599999999999999E-2</v>
      </c>
      <c r="L792" s="13">
        <f>Table2[[#This Row],[Actual %]]-Table2[[#This Row],[Plan %]]</f>
        <v>-4.5999999999999999E-3</v>
      </c>
      <c r="M792" s="144" t="s">
        <v>279</v>
      </c>
      <c r="N792" s="12">
        <v>45989</v>
      </c>
      <c r="O792" s="12"/>
      <c r="P792" s="12">
        <v>45989</v>
      </c>
      <c r="Q792" s="198">
        <v>45555</v>
      </c>
      <c r="R792" s="136" t="s">
        <v>883</v>
      </c>
      <c r="S792" s="136" t="s">
        <v>792</v>
      </c>
      <c r="T792" s="143" t="s">
        <v>793</v>
      </c>
      <c r="U792" s="155">
        <v>98073241.524302095</v>
      </c>
      <c r="V792" s="152">
        <v>0</v>
      </c>
      <c r="W792" s="36">
        <f>Table2[[#This Row],[Construction Contract Amount]]+Table2[[#This Row],[Cumulative Variations]]</f>
        <v>98073241.524302095</v>
      </c>
      <c r="X792" s="152">
        <v>3229333.33</v>
      </c>
      <c r="Y792" s="152">
        <v>0</v>
      </c>
      <c r="Z792" s="36">
        <f>Table2[[#This Row],[Final Contract Value]]+Table2[[#This Row],[Supervision Contract amount]]+Table2[[#This Row],[Authority Cost]]</f>
        <v>101302574.85430209</v>
      </c>
      <c r="AA792" s="36"/>
      <c r="AB792" s="152">
        <v>56109.376666666598</v>
      </c>
      <c r="AC792" s="102" t="str">
        <f t="shared" si="51"/>
        <v>https://drive.google.com/thumbnail?id=1jjzR1RyL3evEhn3RbMY2vgThzWgq-fJN&amp;sz=w1000</v>
      </c>
      <c r="AD792" s="90" t="s">
        <v>811</v>
      </c>
      <c r="AE792" s="103" t="str">
        <f t="shared" si="52"/>
        <v>https://drive.google.com/thumbnail?id=10RRCP9PqW1a0aXZkHVOxVr_hGOY01_Ce&amp;sz=w1000</v>
      </c>
      <c r="AF792" s="90" t="s">
        <v>827</v>
      </c>
      <c r="AG792" s="90" t="str">
        <f t="shared" si="53"/>
        <v>https://drive.google.com/thumbnail?id=1MQhooDZfb_a8dh1XjYQap8rFcmtl5opU&amp;sz=w1000</v>
      </c>
      <c r="AH792" s="90" t="s">
        <v>843</v>
      </c>
    </row>
    <row r="793" spans="1:34" ht="22.15" customHeight="1">
      <c r="A793" s="30">
        <v>45548</v>
      </c>
      <c r="B793" s="17" t="s">
        <v>114</v>
      </c>
      <c r="C793" s="2" t="s">
        <v>116</v>
      </c>
      <c r="D793" s="16" t="str" cm="1">
        <f t="array" ref="D793">_xlfn.XLOOKUP(1, (Table1[Project Name]=Table2[[#This Row],[Project ID]])*(Table1[Plot]=Table2[[#This Row],[Plot]]), Table1[Project ID])</f>
        <v>MJ-13</v>
      </c>
      <c r="E793" s="69">
        <v>67</v>
      </c>
      <c r="F793" s="70">
        <v>541</v>
      </c>
      <c r="G793" s="69">
        <f>Table2[[#This Row],[Time Elapsed]]+Table2[[#This Row],[Time Remaining]]</f>
        <v>608</v>
      </c>
      <c r="H793" s="136" t="s">
        <v>679</v>
      </c>
      <c r="I793" s="136" t="s">
        <v>865</v>
      </c>
      <c r="J793" s="13">
        <v>2.7199999999999998E-2</v>
      </c>
      <c r="K793" s="137">
        <v>2.2599999999999999E-2</v>
      </c>
      <c r="L793" s="13">
        <f>Table2[[#This Row],[Actual %]]-Table2[[#This Row],[Plan %]]</f>
        <v>-4.5999999999999999E-3</v>
      </c>
      <c r="M793" s="144" t="s">
        <v>280</v>
      </c>
      <c r="N793" s="12">
        <v>46065</v>
      </c>
      <c r="O793" s="12"/>
      <c r="P793" s="12">
        <v>46065</v>
      </c>
      <c r="Q793" s="198">
        <v>45555</v>
      </c>
      <c r="R793" s="136" t="s">
        <v>883</v>
      </c>
      <c r="S793" s="136" t="s">
        <v>792</v>
      </c>
      <c r="T793" s="143" t="s">
        <v>793</v>
      </c>
      <c r="U793" s="155">
        <v>98073241.524302095</v>
      </c>
      <c r="V793" s="152">
        <v>0</v>
      </c>
      <c r="W793" s="36">
        <f>Table2[[#This Row],[Construction Contract Amount]]+Table2[[#This Row],[Cumulative Variations]]</f>
        <v>98073241.524302095</v>
      </c>
      <c r="X793" s="152">
        <v>3229333.33</v>
      </c>
      <c r="Y793" s="152">
        <v>0</v>
      </c>
      <c r="Z793" s="36">
        <f>Table2[[#This Row],[Final Contract Value]]+Table2[[#This Row],[Supervision Contract amount]]+Table2[[#This Row],[Authority Cost]]</f>
        <v>101302574.85430209</v>
      </c>
      <c r="AA793" s="36"/>
      <c r="AB793" s="152">
        <v>56109.376666666598</v>
      </c>
      <c r="AC793" s="102" t="str">
        <f t="shared" si="51"/>
        <v>https://drive.google.com/thumbnail?id=1jjzR1RyL3evEhn3RbMY2vgThzWgq-fJN&amp;sz=w1000</v>
      </c>
      <c r="AD793" s="90" t="s">
        <v>811</v>
      </c>
      <c r="AE793" s="103" t="str">
        <f t="shared" si="52"/>
        <v>https://drive.google.com/thumbnail?id=10RRCP9PqW1a0aXZkHVOxVr_hGOY01_Ce&amp;sz=w1000</v>
      </c>
      <c r="AF793" s="90" t="s">
        <v>827</v>
      </c>
      <c r="AG793" s="90" t="str">
        <f t="shared" si="53"/>
        <v>https://drive.google.com/thumbnail?id=1MQhooDZfb_a8dh1XjYQap8rFcmtl5opU&amp;sz=w1000</v>
      </c>
      <c r="AH793" s="90" t="s">
        <v>843</v>
      </c>
    </row>
    <row r="794" spans="1:34" ht="22.15" customHeight="1">
      <c r="A794" s="30">
        <v>45548</v>
      </c>
      <c r="B794" s="17" t="s">
        <v>114</v>
      </c>
      <c r="C794" s="2" t="s">
        <v>116</v>
      </c>
      <c r="D794" s="16" t="str" cm="1">
        <f t="array" ref="D794">_xlfn.XLOOKUP(1, (Table1[Project Name]=Table2[[#This Row],[Project ID]])*(Table1[Plot]=Table2[[#This Row],[Plot]]), Table1[Project ID])</f>
        <v>MJ-13</v>
      </c>
      <c r="E794" s="69">
        <v>67</v>
      </c>
      <c r="F794" s="70">
        <v>541</v>
      </c>
      <c r="G794" s="69">
        <f>Table2[[#This Row],[Time Elapsed]]+Table2[[#This Row],[Time Remaining]]</f>
        <v>608</v>
      </c>
      <c r="H794" s="136" t="s">
        <v>679</v>
      </c>
      <c r="I794" s="136" t="s">
        <v>865</v>
      </c>
      <c r="J794" s="13">
        <v>2.7199999999999998E-2</v>
      </c>
      <c r="K794" s="137">
        <v>2.2599999999999999E-2</v>
      </c>
      <c r="L794" s="13">
        <f>Table2[[#This Row],[Actual %]]-Table2[[#This Row],[Plan %]]</f>
        <v>-4.5999999999999999E-3</v>
      </c>
      <c r="M794" s="144" t="s">
        <v>281</v>
      </c>
      <c r="N794" s="12">
        <v>46086</v>
      </c>
      <c r="O794" s="12"/>
      <c r="P794" s="12">
        <v>46086</v>
      </c>
      <c r="Q794" s="198">
        <v>45555</v>
      </c>
      <c r="R794" s="136" t="s">
        <v>883</v>
      </c>
      <c r="S794" s="136" t="s">
        <v>792</v>
      </c>
      <c r="T794" s="143" t="s">
        <v>793</v>
      </c>
      <c r="U794" s="155">
        <v>98073241.524302095</v>
      </c>
      <c r="V794" s="152">
        <v>0</v>
      </c>
      <c r="W794" s="36">
        <f>Table2[[#This Row],[Construction Contract Amount]]+Table2[[#This Row],[Cumulative Variations]]</f>
        <v>98073241.524302095</v>
      </c>
      <c r="X794" s="152">
        <v>3229333.33</v>
      </c>
      <c r="Y794" s="152">
        <v>0</v>
      </c>
      <c r="Z794" s="36">
        <f>Table2[[#This Row],[Final Contract Value]]+Table2[[#This Row],[Supervision Contract amount]]+Table2[[#This Row],[Authority Cost]]</f>
        <v>101302574.85430209</v>
      </c>
      <c r="AA794" s="36"/>
      <c r="AB794" s="152">
        <v>56109.376666666598</v>
      </c>
      <c r="AC794" s="102" t="str">
        <f t="shared" si="51"/>
        <v>https://drive.google.com/thumbnail?id=1jjzR1RyL3evEhn3RbMY2vgThzWgq-fJN&amp;sz=w1000</v>
      </c>
      <c r="AD794" s="90" t="s">
        <v>811</v>
      </c>
      <c r="AE794" s="103" t="str">
        <f t="shared" si="52"/>
        <v>https://drive.google.com/thumbnail?id=10RRCP9PqW1a0aXZkHVOxVr_hGOY01_Ce&amp;sz=w1000</v>
      </c>
      <c r="AF794" s="90" t="s">
        <v>827</v>
      </c>
      <c r="AG794" s="90" t="str">
        <f t="shared" si="53"/>
        <v>https://drive.google.com/thumbnail?id=1MQhooDZfb_a8dh1XjYQap8rFcmtl5opU&amp;sz=w1000</v>
      </c>
      <c r="AH794" s="90" t="s">
        <v>843</v>
      </c>
    </row>
    <row r="795" spans="1:34" ht="22.15" customHeight="1">
      <c r="A795" s="30">
        <v>45548</v>
      </c>
      <c r="B795" s="17" t="s">
        <v>114</v>
      </c>
      <c r="C795" s="2" t="s">
        <v>116</v>
      </c>
      <c r="D795" s="16" t="str" cm="1">
        <f t="array" ref="D795">_xlfn.XLOOKUP(1, (Table1[Project Name]=Table2[[#This Row],[Project ID]])*(Table1[Plot]=Table2[[#This Row],[Plot]]), Table1[Project ID])</f>
        <v>MJ-13</v>
      </c>
      <c r="E795" s="69">
        <v>67</v>
      </c>
      <c r="F795" s="70">
        <v>541</v>
      </c>
      <c r="G795" s="69">
        <f>Table2[[#This Row],[Time Elapsed]]+Table2[[#This Row],[Time Remaining]]</f>
        <v>608</v>
      </c>
      <c r="H795" s="136" t="s">
        <v>679</v>
      </c>
      <c r="I795" s="136" t="s">
        <v>865</v>
      </c>
      <c r="J795" s="13">
        <v>2.7199999999999998E-2</v>
      </c>
      <c r="K795" s="137">
        <v>2.2599999999999999E-2</v>
      </c>
      <c r="L795" s="13">
        <f>Table2[[#This Row],[Actual %]]-Table2[[#This Row],[Plan %]]</f>
        <v>-4.5999999999999999E-3</v>
      </c>
      <c r="M795" s="144" t="s">
        <v>282</v>
      </c>
      <c r="N795" s="12">
        <v>46096</v>
      </c>
      <c r="O795" s="12"/>
      <c r="P795" s="12">
        <v>46096</v>
      </c>
      <c r="Q795" s="198">
        <v>45555</v>
      </c>
      <c r="R795" s="136" t="s">
        <v>883</v>
      </c>
      <c r="S795" s="136" t="s">
        <v>792</v>
      </c>
      <c r="T795" s="143" t="s">
        <v>793</v>
      </c>
      <c r="U795" s="155">
        <v>98073241.524302095</v>
      </c>
      <c r="V795" s="152">
        <v>0</v>
      </c>
      <c r="W795" s="36">
        <f>Table2[[#This Row],[Construction Contract Amount]]+Table2[[#This Row],[Cumulative Variations]]</f>
        <v>98073241.524302095</v>
      </c>
      <c r="X795" s="152">
        <v>3229333.33</v>
      </c>
      <c r="Y795" s="152">
        <v>0</v>
      </c>
      <c r="Z795" s="36">
        <f>Table2[[#This Row],[Final Contract Value]]+Table2[[#This Row],[Supervision Contract amount]]+Table2[[#This Row],[Authority Cost]]</f>
        <v>101302574.85430209</v>
      </c>
      <c r="AA795" s="36"/>
      <c r="AB795" s="152">
        <v>56109.376666666598</v>
      </c>
      <c r="AC795" s="102" t="str">
        <f t="shared" si="51"/>
        <v>https://drive.google.com/thumbnail?id=1jjzR1RyL3evEhn3RbMY2vgThzWgq-fJN&amp;sz=w1000</v>
      </c>
      <c r="AD795" s="90" t="s">
        <v>811</v>
      </c>
      <c r="AE795" s="103" t="str">
        <f t="shared" si="52"/>
        <v>https://drive.google.com/thumbnail?id=10RRCP9PqW1a0aXZkHVOxVr_hGOY01_Ce&amp;sz=w1000</v>
      </c>
      <c r="AF795" s="90" t="s">
        <v>827</v>
      </c>
      <c r="AG795" s="90" t="str">
        <f t="shared" si="53"/>
        <v>https://drive.google.com/thumbnail?id=1MQhooDZfb_a8dh1XjYQap8rFcmtl5opU&amp;sz=w1000</v>
      </c>
      <c r="AH795" s="90" t="s">
        <v>843</v>
      </c>
    </row>
    <row r="796" spans="1:34" ht="22.15" customHeight="1">
      <c r="A796" s="30">
        <v>45548</v>
      </c>
      <c r="B796" s="17" t="s">
        <v>114</v>
      </c>
      <c r="C796" s="2" t="s">
        <v>116</v>
      </c>
      <c r="D796" s="16" t="str" cm="1">
        <f t="array" ref="D796">_xlfn.XLOOKUP(1, (Table1[Project Name]=Table2[[#This Row],[Project ID]])*(Table1[Plot]=Table2[[#This Row],[Plot]]), Table1[Project ID])</f>
        <v>MJ-13</v>
      </c>
      <c r="E796" s="69">
        <v>67</v>
      </c>
      <c r="F796" s="70">
        <v>541</v>
      </c>
      <c r="G796" s="69">
        <f>Table2[[#This Row],[Time Elapsed]]+Table2[[#This Row],[Time Remaining]]</f>
        <v>608</v>
      </c>
      <c r="H796" s="136" t="s">
        <v>679</v>
      </c>
      <c r="I796" s="136" t="s">
        <v>865</v>
      </c>
      <c r="J796" s="13">
        <v>2.7199999999999998E-2</v>
      </c>
      <c r="K796" s="137">
        <v>2.2599999999999999E-2</v>
      </c>
      <c r="L796" s="13">
        <f>Table2[[#This Row],[Actual %]]-Table2[[#This Row],[Plan %]]</f>
        <v>-4.5999999999999999E-3</v>
      </c>
      <c r="M796" s="144" t="s">
        <v>283</v>
      </c>
      <c r="N796" s="12">
        <v>46096</v>
      </c>
      <c r="O796" s="12"/>
      <c r="P796" s="12">
        <v>46096</v>
      </c>
      <c r="Q796" s="198">
        <v>45555</v>
      </c>
      <c r="R796" s="136" t="s">
        <v>883</v>
      </c>
      <c r="S796" s="136" t="s">
        <v>792</v>
      </c>
      <c r="T796" s="143" t="s">
        <v>793</v>
      </c>
      <c r="U796" s="155">
        <v>98073241.524302095</v>
      </c>
      <c r="V796" s="152">
        <v>0</v>
      </c>
      <c r="W796" s="36">
        <f>Table2[[#This Row],[Construction Contract Amount]]+Table2[[#This Row],[Cumulative Variations]]</f>
        <v>98073241.524302095</v>
      </c>
      <c r="X796" s="152">
        <v>3229333.33</v>
      </c>
      <c r="Y796" s="152">
        <v>0</v>
      </c>
      <c r="Z796" s="36">
        <f>Table2[[#This Row],[Final Contract Value]]+Table2[[#This Row],[Supervision Contract amount]]+Table2[[#This Row],[Authority Cost]]</f>
        <v>101302574.85430209</v>
      </c>
      <c r="AA796" s="36"/>
      <c r="AB796" s="152">
        <v>56109.376666666598</v>
      </c>
      <c r="AC796" s="102" t="str">
        <f t="shared" si="51"/>
        <v>https://drive.google.com/thumbnail?id=1jjzR1RyL3evEhn3RbMY2vgThzWgq-fJN&amp;sz=w1000</v>
      </c>
      <c r="AD796" s="90" t="s">
        <v>811</v>
      </c>
      <c r="AE796" s="103" t="str">
        <f t="shared" si="52"/>
        <v>https://drive.google.com/thumbnail?id=10RRCP9PqW1a0aXZkHVOxVr_hGOY01_Ce&amp;sz=w1000</v>
      </c>
      <c r="AF796" s="90" t="s">
        <v>827</v>
      </c>
      <c r="AG796" s="90" t="str">
        <f t="shared" si="53"/>
        <v>https://drive.google.com/thumbnail?id=1MQhooDZfb_a8dh1XjYQap8rFcmtl5opU&amp;sz=w1000</v>
      </c>
      <c r="AH796" s="90" t="s">
        <v>843</v>
      </c>
    </row>
    <row r="797" spans="1:34" ht="22.15" customHeight="1">
      <c r="A797" s="30">
        <v>45548</v>
      </c>
      <c r="B797" s="17" t="s">
        <v>114</v>
      </c>
      <c r="C797" s="2" t="s">
        <v>116</v>
      </c>
      <c r="D797" s="16" t="str" cm="1">
        <f t="array" ref="D797">_xlfn.XLOOKUP(1, (Table1[Project Name]=Table2[[#This Row],[Project ID]])*(Table1[Plot]=Table2[[#This Row],[Plot]]), Table1[Project ID])</f>
        <v>MJ-13</v>
      </c>
      <c r="E797" s="69">
        <v>67</v>
      </c>
      <c r="F797" s="70">
        <v>541</v>
      </c>
      <c r="G797" s="69">
        <f>Table2[[#This Row],[Time Elapsed]]+Table2[[#This Row],[Time Remaining]]</f>
        <v>608</v>
      </c>
      <c r="H797" s="136" t="s">
        <v>679</v>
      </c>
      <c r="I797" s="136" t="s">
        <v>865</v>
      </c>
      <c r="J797" s="13">
        <v>2.7199999999999998E-2</v>
      </c>
      <c r="K797" s="137">
        <v>2.2599999999999999E-2</v>
      </c>
      <c r="L797" s="13">
        <f>Table2[[#This Row],[Actual %]]-Table2[[#This Row],[Plan %]]</f>
        <v>-4.5999999999999999E-3</v>
      </c>
      <c r="M797" s="144" t="s">
        <v>284</v>
      </c>
      <c r="N797" s="12">
        <v>46096</v>
      </c>
      <c r="O797" s="12"/>
      <c r="P797" s="12">
        <v>46096</v>
      </c>
      <c r="Q797" s="198">
        <v>45555</v>
      </c>
      <c r="R797" s="136" t="s">
        <v>883</v>
      </c>
      <c r="S797" s="136" t="s">
        <v>792</v>
      </c>
      <c r="T797" s="143" t="s">
        <v>793</v>
      </c>
      <c r="U797" s="155">
        <v>98073241.524302095</v>
      </c>
      <c r="V797" s="152">
        <v>0</v>
      </c>
      <c r="W797" s="36">
        <f>Table2[[#This Row],[Construction Contract Amount]]+Table2[[#This Row],[Cumulative Variations]]</f>
        <v>98073241.524302095</v>
      </c>
      <c r="X797" s="152">
        <v>3229333.33</v>
      </c>
      <c r="Y797" s="152">
        <v>0</v>
      </c>
      <c r="Z797" s="36">
        <f>Table2[[#This Row],[Final Contract Value]]+Table2[[#This Row],[Supervision Contract amount]]+Table2[[#This Row],[Authority Cost]]</f>
        <v>101302574.85430209</v>
      </c>
      <c r="AA797" s="36"/>
      <c r="AB797" s="152">
        <v>56109.376666666598</v>
      </c>
      <c r="AC797" s="102" t="str">
        <f t="shared" si="51"/>
        <v>https://drive.google.com/thumbnail?id=1jjzR1RyL3evEhn3RbMY2vgThzWgq-fJN&amp;sz=w1000</v>
      </c>
      <c r="AD797" s="90" t="s">
        <v>811</v>
      </c>
      <c r="AE797" s="103" t="str">
        <f t="shared" si="52"/>
        <v>https://drive.google.com/thumbnail?id=10RRCP9PqW1a0aXZkHVOxVr_hGOY01_Ce&amp;sz=w1000</v>
      </c>
      <c r="AF797" s="90" t="s">
        <v>827</v>
      </c>
      <c r="AG797" s="90" t="str">
        <f t="shared" si="53"/>
        <v>https://drive.google.com/thumbnail?id=1MQhooDZfb_a8dh1XjYQap8rFcmtl5opU&amp;sz=w1000</v>
      </c>
      <c r="AH797" s="90" t="s">
        <v>843</v>
      </c>
    </row>
    <row r="798" spans="1:34" ht="22.15" customHeight="1">
      <c r="A798" s="30">
        <v>45548</v>
      </c>
      <c r="B798" s="17" t="s">
        <v>118</v>
      </c>
      <c r="C798" s="2" t="s">
        <v>121</v>
      </c>
      <c r="D798" s="16" t="str" cm="1">
        <f t="array" ref="D798">_xlfn.XLOOKUP(1, (Table1[Project Name]=Table2[[#This Row],[Project ID]])*(Table1[Plot]=Table2[[#This Row],[Plot]]), Table1[Project ID])</f>
        <v>MJ-14</v>
      </c>
      <c r="E798" s="69">
        <v>67</v>
      </c>
      <c r="F798" s="70">
        <v>541</v>
      </c>
      <c r="G798" s="69">
        <f>Table2[[#This Row],[Time Elapsed]]+Table2[[#This Row],[Time Remaining]]</f>
        <v>608</v>
      </c>
      <c r="H798" s="136" t="s">
        <v>766</v>
      </c>
      <c r="I798" s="136" t="s">
        <v>865</v>
      </c>
      <c r="J798" s="13">
        <v>2.7199999999999998E-2</v>
      </c>
      <c r="K798" s="137">
        <v>2.2499999999999999E-2</v>
      </c>
      <c r="L798" s="13">
        <f>Table2[[#This Row],[Actual %]]-Table2[[#This Row],[Plan %]]</f>
        <v>-4.6999999999999993E-3</v>
      </c>
      <c r="M798" s="144" t="s">
        <v>28</v>
      </c>
      <c r="N798" s="12">
        <v>45489</v>
      </c>
      <c r="O798" s="12">
        <v>45489</v>
      </c>
      <c r="P798" s="12"/>
      <c r="Q798" s="198">
        <v>45555</v>
      </c>
      <c r="R798" s="136" t="s">
        <v>883</v>
      </c>
      <c r="S798" s="136" t="s">
        <v>792</v>
      </c>
      <c r="T798" s="143" t="s">
        <v>793</v>
      </c>
      <c r="U798" s="157">
        <v>110585480.02186078</v>
      </c>
      <c r="V798" s="152">
        <v>0</v>
      </c>
      <c r="W798" s="36">
        <f>Table2[[#This Row],[Construction Contract Amount]]+Table2[[#This Row],[Cumulative Variations]]</f>
        <v>110585480.02186078</v>
      </c>
      <c r="X798" s="152">
        <v>3229333.33</v>
      </c>
      <c r="Y798" s="152">
        <v>0</v>
      </c>
      <c r="Z798" s="36">
        <f>Table2[[#This Row],[Final Contract Value]]+Table2[[#This Row],[Supervision Contract amount]]+Table2[[#This Row],[Authority Cost]]</f>
        <v>113814813.35186078</v>
      </c>
      <c r="AA798" s="36"/>
      <c r="AB798" s="152">
        <v>56109.376666666598</v>
      </c>
      <c r="AC798" s="102" t="str">
        <f t="shared" si="51"/>
        <v>https://drive.google.com/thumbnail?id=1P8dv2yDVWK28813AIv4m4F9tgxPrdqDO&amp;sz=w1000</v>
      </c>
      <c r="AD798" s="90" t="s">
        <v>812</v>
      </c>
      <c r="AE798" s="103" t="str">
        <f t="shared" si="52"/>
        <v>https://drive.google.com/thumbnail?id=11gAT3uSf6EhqY1gp7ESxBQx3ZJOIXz2O&amp;sz=w1000</v>
      </c>
      <c r="AF798" s="90" t="s">
        <v>828</v>
      </c>
      <c r="AG798" s="90" t="str">
        <f t="shared" si="53"/>
        <v>https://drive.google.com/thumbnail?id=10HQlUfuCM9rvKh755NA9pHKofaluje0o&amp;sz=w1000</v>
      </c>
      <c r="AH798" s="90" t="s">
        <v>844</v>
      </c>
    </row>
    <row r="799" spans="1:34" ht="22.15" customHeight="1">
      <c r="A799" s="30">
        <v>45548</v>
      </c>
      <c r="B799" s="17" t="s">
        <v>118</v>
      </c>
      <c r="C799" s="2" t="s">
        <v>121</v>
      </c>
      <c r="D799" s="16" t="str" cm="1">
        <f t="array" ref="D799">_xlfn.XLOOKUP(1, (Table1[Project Name]=Table2[[#This Row],[Project ID]])*(Table1[Plot]=Table2[[#This Row],[Plot]]), Table1[Project ID])</f>
        <v>MJ-14</v>
      </c>
      <c r="E799" s="69">
        <v>67</v>
      </c>
      <c r="F799" s="70">
        <v>541</v>
      </c>
      <c r="G799" s="69">
        <f>Table2[[#This Row],[Time Elapsed]]+Table2[[#This Row],[Time Remaining]]</f>
        <v>608</v>
      </c>
      <c r="H799" s="192" t="s">
        <v>766</v>
      </c>
      <c r="I799" s="136" t="s">
        <v>865</v>
      </c>
      <c r="J799" s="13">
        <v>2.7199999999999998E-2</v>
      </c>
      <c r="K799" s="137">
        <v>2.2499999999999999E-2</v>
      </c>
      <c r="L799" s="13">
        <f>Table2[[#This Row],[Actual %]]-Table2[[#This Row],[Plan %]]</f>
        <v>-4.6999999999999993E-3</v>
      </c>
      <c r="M799" s="144" t="s">
        <v>50</v>
      </c>
      <c r="N799" s="12">
        <v>45490</v>
      </c>
      <c r="O799" s="12">
        <v>45552</v>
      </c>
      <c r="P799" s="12"/>
      <c r="Q799" s="198">
        <v>45555</v>
      </c>
      <c r="R799" s="136" t="s">
        <v>883</v>
      </c>
      <c r="S799" s="136" t="s">
        <v>792</v>
      </c>
      <c r="T799" s="143" t="s">
        <v>793</v>
      </c>
      <c r="U799" s="157">
        <v>110585480.02186078</v>
      </c>
      <c r="V799" s="152">
        <v>0</v>
      </c>
      <c r="W799" s="36">
        <f>Table2[[#This Row],[Construction Contract Amount]]+Table2[[#This Row],[Cumulative Variations]]</f>
        <v>110585480.02186078</v>
      </c>
      <c r="X799" s="152">
        <v>3229333.33</v>
      </c>
      <c r="Y799" s="152">
        <v>0</v>
      </c>
      <c r="Z799" s="36">
        <f>Table2[[#This Row],[Final Contract Value]]+Table2[[#This Row],[Supervision Contract amount]]+Table2[[#This Row],[Authority Cost]]</f>
        <v>113814813.35186078</v>
      </c>
      <c r="AA799" s="36"/>
      <c r="AB799" s="152">
        <v>56109.376666666598</v>
      </c>
      <c r="AC799" s="102" t="str">
        <f t="shared" si="51"/>
        <v>https://drive.google.com/thumbnail?id=1P8dv2yDVWK28813AIv4m4F9tgxPrdqDO&amp;sz=w1000</v>
      </c>
      <c r="AD799" s="90" t="s">
        <v>812</v>
      </c>
      <c r="AE799" s="103" t="str">
        <f t="shared" si="52"/>
        <v>https://drive.google.com/thumbnail?id=11gAT3uSf6EhqY1gp7ESxBQx3ZJOIXz2O&amp;sz=w1000</v>
      </c>
      <c r="AF799" s="90" t="s">
        <v>828</v>
      </c>
      <c r="AG799" s="90" t="str">
        <f t="shared" si="53"/>
        <v>https://drive.google.com/thumbnail?id=10HQlUfuCM9rvKh755NA9pHKofaluje0o&amp;sz=w1000</v>
      </c>
      <c r="AH799" s="90" t="s">
        <v>844</v>
      </c>
    </row>
    <row r="800" spans="1:34" ht="22.15" customHeight="1">
      <c r="A800" s="30">
        <v>45548</v>
      </c>
      <c r="B800" s="17" t="s">
        <v>118</v>
      </c>
      <c r="C800" s="2" t="s">
        <v>121</v>
      </c>
      <c r="D800" s="16" t="str" cm="1">
        <f t="array" ref="D800">_xlfn.XLOOKUP(1, (Table1[Project Name]=Table2[[#This Row],[Project ID]])*(Table1[Plot]=Table2[[#This Row],[Plot]]), Table1[Project ID])</f>
        <v>MJ-14</v>
      </c>
      <c r="E800" s="69">
        <v>67</v>
      </c>
      <c r="F800" s="70">
        <v>541</v>
      </c>
      <c r="G800" s="69">
        <f>Table2[[#This Row],[Time Elapsed]]+Table2[[#This Row],[Time Remaining]]</f>
        <v>608</v>
      </c>
      <c r="H800" s="192" t="s">
        <v>766</v>
      </c>
      <c r="I800" s="136" t="s">
        <v>865</v>
      </c>
      <c r="J800" s="13">
        <v>2.7199999999999998E-2</v>
      </c>
      <c r="K800" s="137">
        <v>2.2499999999999999E-2</v>
      </c>
      <c r="L800" s="13">
        <f>Table2[[#This Row],[Actual %]]-Table2[[#This Row],[Plan %]]</f>
        <v>-4.6999999999999993E-3</v>
      </c>
      <c r="M800" s="144" t="s">
        <v>51</v>
      </c>
      <c r="N800" s="12">
        <v>45590</v>
      </c>
      <c r="O800" s="12"/>
      <c r="P800" s="12">
        <v>45590</v>
      </c>
      <c r="Q800" s="198">
        <v>45555</v>
      </c>
      <c r="R800" s="136" t="s">
        <v>883</v>
      </c>
      <c r="S800" s="136" t="s">
        <v>792</v>
      </c>
      <c r="T800" s="143" t="s">
        <v>793</v>
      </c>
      <c r="U800" s="157">
        <v>110585480.02186078</v>
      </c>
      <c r="V800" s="152">
        <v>0</v>
      </c>
      <c r="W800" s="36">
        <f>Table2[[#This Row],[Construction Contract Amount]]+Table2[[#This Row],[Cumulative Variations]]</f>
        <v>110585480.02186078</v>
      </c>
      <c r="X800" s="152">
        <v>3229333.33</v>
      </c>
      <c r="Y800" s="152">
        <v>0</v>
      </c>
      <c r="Z800" s="36">
        <f>Table2[[#This Row],[Final Contract Value]]+Table2[[#This Row],[Supervision Contract amount]]+Table2[[#This Row],[Authority Cost]]</f>
        <v>113814813.35186078</v>
      </c>
      <c r="AA800" s="36"/>
      <c r="AB800" s="152">
        <v>56109.376666666598</v>
      </c>
      <c r="AC800" s="102" t="str">
        <f t="shared" si="51"/>
        <v>https://drive.google.com/thumbnail?id=1P8dv2yDVWK28813AIv4m4F9tgxPrdqDO&amp;sz=w1000</v>
      </c>
      <c r="AD800" s="90" t="s">
        <v>812</v>
      </c>
      <c r="AE800" s="103" t="str">
        <f t="shared" si="52"/>
        <v>https://drive.google.com/thumbnail?id=11gAT3uSf6EhqY1gp7ESxBQx3ZJOIXz2O&amp;sz=w1000</v>
      </c>
      <c r="AF800" s="90" t="s">
        <v>828</v>
      </c>
      <c r="AG800" s="90" t="str">
        <f t="shared" si="53"/>
        <v>https://drive.google.com/thumbnail?id=10HQlUfuCM9rvKh755NA9pHKofaluje0o&amp;sz=w1000</v>
      </c>
      <c r="AH800" s="90" t="s">
        <v>844</v>
      </c>
    </row>
    <row r="801" spans="1:34" ht="22.15" customHeight="1">
      <c r="A801" s="30">
        <v>45548</v>
      </c>
      <c r="B801" s="17" t="s">
        <v>118</v>
      </c>
      <c r="C801" s="2" t="s">
        <v>121</v>
      </c>
      <c r="D801" s="16" t="str" cm="1">
        <f t="array" ref="D801">_xlfn.XLOOKUP(1, (Table1[Project Name]=Table2[[#This Row],[Project ID]])*(Table1[Plot]=Table2[[#This Row],[Plot]]), Table1[Project ID])</f>
        <v>MJ-14</v>
      </c>
      <c r="E801" s="69">
        <v>67</v>
      </c>
      <c r="F801" s="70">
        <v>541</v>
      </c>
      <c r="G801" s="69">
        <f>Table2[[#This Row],[Time Elapsed]]+Table2[[#This Row],[Time Remaining]]</f>
        <v>608</v>
      </c>
      <c r="H801" s="192" t="s">
        <v>766</v>
      </c>
      <c r="I801" s="136" t="s">
        <v>865</v>
      </c>
      <c r="J801" s="13">
        <v>2.7199999999999998E-2</v>
      </c>
      <c r="K801" s="137">
        <v>2.2499999999999999E-2</v>
      </c>
      <c r="L801" s="13">
        <f>Table2[[#This Row],[Actual %]]-Table2[[#This Row],[Plan %]]</f>
        <v>-4.6999999999999993E-3</v>
      </c>
      <c r="M801" s="144" t="s">
        <v>275</v>
      </c>
      <c r="N801" s="12">
        <v>45621</v>
      </c>
      <c r="O801" s="12"/>
      <c r="P801" s="12">
        <v>45621</v>
      </c>
      <c r="Q801" s="198">
        <v>45555</v>
      </c>
      <c r="R801" s="136" t="s">
        <v>883</v>
      </c>
      <c r="S801" s="136" t="s">
        <v>792</v>
      </c>
      <c r="T801" s="143" t="s">
        <v>793</v>
      </c>
      <c r="U801" s="157">
        <v>110585480.02186078</v>
      </c>
      <c r="V801" s="152">
        <v>0</v>
      </c>
      <c r="W801" s="36">
        <f>Table2[[#This Row],[Construction Contract Amount]]+Table2[[#This Row],[Cumulative Variations]]</f>
        <v>110585480.02186078</v>
      </c>
      <c r="X801" s="152">
        <v>3229333.33</v>
      </c>
      <c r="Y801" s="152">
        <v>0</v>
      </c>
      <c r="Z801" s="36">
        <f>Table2[[#This Row],[Final Contract Value]]+Table2[[#This Row],[Supervision Contract amount]]+Table2[[#This Row],[Authority Cost]]</f>
        <v>113814813.35186078</v>
      </c>
      <c r="AA801" s="36"/>
      <c r="AB801" s="152">
        <v>56109.376666666598</v>
      </c>
      <c r="AC801" s="102" t="str">
        <f t="shared" si="51"/>
        <v>https://drive.google.com/thumbnail?id=1P8dv2yDVWK28813AIv4m4F9tgxPrdqDO&amp;sz=w1000</v>
      </c>
      <c r="AD801" s="90" t="s">
        <v>812</v>
      </c>
      <c r="AE801" s="103" t="str">
        <f t="shared" si="52"/>
        <v>https://drive.google.com/thumbnail?id=11gAT3uSf6EhqY1gp7ESxBQx3ZJOIXz2O&amp;sz=w1000</v>
      </c>
      <c r="AF801" s="90" t="s">
        <v>828</v>
      </c>
      <c r="AG801" s="90" t="str">
        <f t="shared" si="53"/>
        <v>https://drive.google.com/thumbnail?id=10HQlUfuCM9rvKh755NA9pHKofaluje0o&amp;sz=w1000</v>
      </c>
      <c r="AH801" s="90" t="s">
        <v>844</v>
      </c>
    </row>
    <row r="802" spans="1:34" ht="22.15" customHeight="1">
      <c r="A802" s="30">
        <v>45548</v>
      </c>
      <c r="B802" s="17" t="s">
        <v>118</v>
      </c>
      <c r="C802" s="2" t="s">
        <v>121</v>
      </c>
      <c r="D802" s="16" t="str" cm="1">
        <f t="array" ref="D802">_xlfn.XLOOKUP(1, (Table1[Project Name]=Table2[[#This Row],[Project ID]])*(Table1[Plot]=Table2[[#This Row],[Plot]]), Table1[Project ID])</f>
        <v>MJ-14</v>
      </c>
      <c r="E802" s="69">
        <v>67</v>
      </c>
      <c r="F802" s="70">
        <v>541</v>
      </c>
      <c r="G802" s="69">
        <f>Table2[[#This Row],[Time Elapsed]]+Table2[[#This Row],[Time Remaining]]</f>
        <v>608</v>
      </c>
      <c r="H802" s="192" t="s">
        <v>766</v>
      </c>
      <c r="I802" s="136" t="s">
        <v>865</v>
      </c>
      <c r="J802" s="13">
        <v>2.7199999999999998E-2</v>
      </c>
      <c r="K802" s="137">
        <v>2.2499999999999999E-2</v>
      </c>
      <c r="L802" s="13">
        <f>Table2[[#This Row],[Actual %]]-Table2[[#This Row],[Plan %]]</f>
        <v>-4.6999999999999993E-3</v>
      </c>
      <c r="M802" s="144" t="s">
        <v>276</v>
      </c>
      <c r="N802" s="12">
        <v>45659</v>
      </c>
      <c r="O802" s="12"/>
      <c r="P802" s="12">
        <v>45659</v>
      </c>
      <c r="Q802" s="198">
        <v>45555</v>
      </c>
      <c r="R802" s="136" t="s">
        <v>883</v>
      </c>
      <c r="S802" s="136" t="s">
        <v>792</v>
      </c>
      <c r="T802" s="143" t="s">
        <v>793</v>
      </c>
      <c r="U802" s="157">
        <v>110585480.02186078</v>
      </c>
      <c r="V802" s="152">
        <v>0</v>
      </c>
      <c r="W802" s="36">
        <f>Table2[[#This Row],[Construction Contract Amount]]+Table2[[#This Row],[Cumulative Variations]]</f>
        <v>110585480.02186078</v>
      </c>
      <c r="X802" s="152">
        <v>3229333.33</v>
      </c>
      <c r="Y802" s="152">
        <v>0</v>
      </c>
      <c r="Z802" s="36">
        <f>Table2[[#This Row],[Final Contract Value]]+Table2[[#This Row],[Supervision Contract amount]]+Table2[[#This Row],[Authority Cost]]</f>
        <v>113814813.35186078</v>
      </c>
      <c r="AA802" s="36"/>
      <c r="AB802" s="152">
        <v>56109.376666666598</v>
      </c>
      <c r="AC802" s="102" t="str">
        <f t="shared" si="51"/>
        <v>https://drive.google.com/thumbnail?id=1P8dv2yDVWK28813AIv4m4F9tgxPrdqDO&amp;sz=w1000</v>
      </c>
      <c r="AD802" s="90" t="s">
        <v>812</v>
      </c>
      <c r="AE802" s="103" t="str">
        <f t="shared" si="52"/>
        <v>https://drive.google.com/thumbnail?id=11gAT3uSf6EhqY1gp7ESxBQx3ZJOIXz2O&amp;sz=w1000</v>
      </c>
      <c r="AF802" s="90" t="s">
        <v>828</v>
      </c>
      <c r="AG802" s="90" t="str">
        <f t="shared" si="53"/>
        <v>https://drive.google.com/thumbnail?id=10HQlUfuCM9rvKh755NA9pHKofaluje0o&amp;sz=w1000</v>
      </c>
      <c r="AH802" s="90" t="s">
        <v>844</v>
      </c>
    </row>
    <row r="803" spans="1:34" ht="22.15" customHeight="1">
      <c r="A803" s="30">
        <v>45548</v>
      </c>
      <c r="B803" s="17" t="s">
        <v>118</v>
      </c>
      <c r="C803" s="2" t="s">
        <v>121</v>
      </c>
      <c r="D803" s="16" t="str" cm="1">
        <f t="array" ref="D803">_xlfn.XLOOKUP(1, (Table1[Project Name]=Table2[[#This Row],[Project ID]])*(Table1[Plot]=Table2[[#This Row],[Plot]]), Table1[Project ID])</f>
        <v>MJ-14</v>
      </c>
      <c r="E803" s="69">
        <v>67</v>
      </c>
      <c r="F803" s="70">
        <v>541</v>
      </c>
      <c r="G803" s="69">
        <f>Table2[[#This Row],[Time Elapsed]]+Table2[[#This Row],[Time Remaining]]</f>
        <v>608</v>
      </c>
      <c r="H803" s="192" t="s">
        <v>766</v>
      </c>
      <c r="I803" s="136" t="s">
        <v>865</v>
      </c>
      <c r="J803" s="13">
        <v>2.7199999999999998E-2</v>
      </c>
      <c r="K803" s="137">
        <v>2.2499999999999999E-2</v>
      </c>
      <c r="L803" s="13">
        <f>Table2[[#This Row],[Actual %]]-Table2[[#This Row],[Plan %]]</f>
        <v>-4.6999999999999993E-3</v>
      </c>
      <c r="M803" s="144" t="s">
        <v>277</v>
      </c>
      <c r="N803" s="12">
        <v>45715</v>
      </c>
      <c r="O803" s="12"/>
      <c r="P803" s="12">
        <v>45715</v>
      </c>
      <c r="Q803" s="198">
        <v>45555</v>
      </c>
      <c r="R803" s="136" t="s">
        <v>883</v>
      </c>
      <c r="S803" s="136" t="s">
        <v>792</v>
      </c>
      <c r="T803" s="143" t="s">
        <v>793</v>
      </c>
      <c r="U803" s="157">
        <v>110585480.02186078</v>
      </c>
      <c r="V803" s="152">
        <v>0</v>
      </c>
      <c r="W803" s="36">
        <f>Table2[[#This Row],[Construction Contract Amount]]+Table2[[#This Row],[Cumulative Variations]]</f>
        <v>110585480.02186078</v>
      </c>
      <c r="X803" s="152">
        <v>3229333.33</v>
      </c>
      <c r="Y803" s="152">
        <v>0</v>
      </c>
      <c r="Z803" s="36">
        <f>Table2[[#This Row],[Final Contract Value]]+Table2[[#This Row],[Supervision Contract amount]]+Table2[[#This Row],[Authority Cost]]</f>
        <v>113814813.35186078</v>
      </c>
      <c r="AA803" s="36"/>
      <c r="AB803" s="152">
        <v>56109.376666666598</v>
      </c>
      <c r="AC803" s="102" t="str">
        <f t="shared" si="51"/>
        <v>https://drive.google.com/thumbnail?id=1P8dv2yDVWK28813AIv4m4F9tgxPrdqDO&amp;sz=w1000</v>
      </c>
      <c r="AD803" s="90" t="s">
        <v>812</v>
      </c>
      <c r="AE803" s="103" t="str">
        <f t="shared" si="52"/>
        <v>https://drive.google.com/thumbnail?id=11gAT3uSf6EhqY1gp7ESxBQx3ZJOIXz2O&amp;sz=w1000</v>
      </c>
      <c r="AF803" s="90" t="s">
        <v>828</v>
      </c>
      <c r="AG803" s="90" t="str">
        <f t="shared" si="53"/>
        <v>https://drive.google.com/thumbnail?id=10HQlUfuCM9rvKh755NA9pHKofaluje0o&amp;sz=w1000</v>
      </c>
      <c r="AH803" s="90" t="s">
        <v>844</v>
      </c>
    </row>
    <row r="804" spans="1:34" ht="22.15" customHeight="1">
      <c r="A804" s="30">
        <v>45548</v>
      </c>
      <c r="B804" s="17" t="s">
        <v>118</v>
      </c>
      <c r="C804" s="2" t="s">
        <v>121</v>
      </c>
      <c r="D804" s="16" t="str" cm="1">
        <f t="array" ref="D804">_xlfn.XLOOKUP(1, (Table1[Project Name]=Table2[[#This Row],[Project ID]])*(Table1[Plot]=Table2[[#This Row],[Plot]]), Table1[Project ID])</f>
        <v>MJ-14</v>
      </c>
      <c r="E804" s="69">
        <v>67</v>
      </c>
      <c r="F804" s="70">
        <v>541</v>
      </c>
      <c r="G804" s="69">
        <f>Table2[[#This Row],[Time Elapsed]]+Table2[[#This Row],[Time Remaining]]</f>
        <v>608</v>
      </c>
      <c r="H804" s="192" t="s">
        <v>766</v>
      </c>
      <c r="I804" s="136" t="s">
        <v>865</v>
      </c>
      <c r="J804" s="13">
        <v>2.7199999999999998E-2</v>
      </c>
      <c r="K804" s="137">
        <v>2.2499999999999999E-2</v>
      </c>
      <c r="L804" s="13">
        <f>Table2[[#This Row],[Actual %]]-Table2[[#This Row],[Plan %]]</f>
        <v>-4.6999999999999993E-3</v>
      </c>
      <c r="M804" s="144" t="s">
        <v>278</v>
      </c>
      <c r="N804" s="12">
        <v>45867</v>
      </c>
      <c r="O804" s="12"/>
      <c r="P804" s="12">
        <v>45867</v>
      </c>
      <c r="Q804" s="198">
        <v>45555</v>
      </c>
      <c r="R804" s="136" t="s">
        <v>883</v>
      </c>
      <c r="S804" s="136" t="s">
        <v>792</v>
      </c>
      <c r="T804" s="143" t="s">
        <v>793</v>
      </c>
      <c r="U804" s="157">
        <v>110585480.02186078</v>
      </c>
      <c r="V804" s="152">
        <v>0</v>
      </c>
      <c r="W804" s="36">
        <f>Table2[[#This Row],[Construction Contract Amount]]+Table2[[#This Row],[Cumulative Variations]]</f>
        <v>110585480.02186078</v>
      </c>
      <c r="X804" s="152">
        <v>3229333.33</v>
      </c>
      <c r="Y804" s="152">
        <v>0</v>
      </c>
      <c r="Z804" s="36">
        <f>Table2[[#This Row],[Final Contract Value]]+Table2[[#This Row],[Supervision Contract amount]]+Table2[[#This Row],[Authority Cost]]</f>
        <v>113814813.35186078</v>
      </c>
      <c r="AA804" s="36"/>
      <c r="AB804" s="152">
        <v>56109.376666666598</v>
      </c>
      <c r="AC804" s="102" t="str">
        <f t="shared" si="51"/>
        <v>https://drive.google.com/thumbnail?id=1P8dv2yDVWK28813AIv4m4F9tgxPrdqDO&amp;sz=w1000</v>
      </c>
      <c r="AD804" s="90" t="s">
        <v>812</v>
      </c>
      <c r="AE804" s="103" t="str">
        <f t="shared" si="52"/>
        <v>https://drive.google.com/thumbnail?id=11gAT3uSf6EhqY1gp7ESxBQx3ZJOIXz2O&amp;sz=w1000</v>
      </c>
      <c r="AF804" s="90" t="s">
        <v>828</v>
      </c>
      <c r="AG804" s="90" t="str">
        <f t="shared" si="53"/>
        <v>https://drive.google.com/thumbnail?id=10HQlUfuCM9rvKh755NA9pHKofaluje0o&amp;sz=w1000</v>
      </c>
      <c r="AH804" s="90" t="s">
        <v>844</v>
      </c>
    </row>
    <row r="805" spans="1:34" ht="22.15" customHeight="1">
      <c r="A805" s="30">
        <v>45548</v>
      </c>
      <c r="B805" s="17" t="s">
        <v>118</v>
      </c>
      <c r="C805" s="2" t="s">
        <v>121</v>
      </c>
      <c r="D805" s="16" t="str" cm="1">
        <f t="array" ref="D805">_xlfn.XLOOKUP(1, (Table1[Project Name]=Table2[[#This Row],[Project ID]])*(Table1[Plot]=Table2[[#This Row],[Plot]]), Table1[Project ID])</f>
        <v>MJ-14</v>
      </c>
      <c r="E805" s="69">
        <v>67</v>
      </c>
      <c r="F805" s="70">
        <v>541</v>
      </c>
      <c r="G805" s="69">
        <f>Table2[[#This Row],[Time Elapsed]]+Table2[[#This Row],[Time Remaining]]</f>
        <v>608</v>
      </c>
      <c r="H805" s="192" t="s">
        <v>766</v>
      </c>
      <c r="I805" s="136" t="s">
        <v>865</v>
      </c>
      <c r="J805" s="13">
        <v>2.7199999999999998E-2</v>
      </c>
      <c r="K805" s="137">
        <v>2.2499999999999999E-2</v>
      </c>
      <c r="L805" s="13">
        <f>Table2[[#This Row],[Actual %]]-Table2[[#This Row],[Plan %]]</f>
        <v>-4.6999999999999993E-3</v>
      </c>
      <c r="M805" s="144" t="s">
        <v>279</v>
      </c>
      <c r="N805" s="12">
        <v>45989</v>
      </c>
      <c r="O805" s="12"/>
      <c r="P805" s="12">
        <v>45989</v>
      </c>
      <c r="Q805" s="198">
        <v>45555</v>
      </c>
      <c r="R805" s="136" t="s">
        <v>883</v>
      </c>
      <c r="S805" s="136" t="s">
        <v>792</v>
      </c>
      <c r="T805" s="143" t="s">
        <v>793</v>
      </c>
      <c r="U805" s="157">
        <v>110585480.02186078</v>
      </c>
      <c r="V805" s="152">
        <v>0</v>
      </c>
      <c r="W805" s="36">
        <f>Table2[[#This Row],[Construction Contract Amount]]+Table2[[#This Row],[Cumulative Variations]]</f>
        <v>110585480.02186078</v>
      </c>
      <c r="X805" s="152">
        <v>3229333.33</v>
      </c>
      <c r="Y805" s="152">
        <v>0</v>
      </c>
      <c r="Z805" s="36">
        <f>Table2[[#This Row],[Final Contract Value]]+Table2[[#This Row],[Supervision Contract amount]]+Table2[[#This Row],[Authority Cost]]</f>
        <v>113814813.35186078</v>
      </c>
      <c r="AA805" s="36"/>
      <c r="AB805" s="152">
        <v>56109.376666666598</v>
      </c>
      <c r="AC805" s="102" t="str">
        <f t="shared" ref="AC805:AC810" si="54">CONCATENATE("https://drive.google.com/thumbnail?id=", MID(AD805, FIND("/d/", AD805) + 3, FIND("/view", AD805) - FIND("/d/", AD805) - 3), "&amp;sz=w1000")</f>
        <v>https://drive.google.com/thumbnail?id=1P8dv2yDVWK28813AIv4m4F9tgxPrdqDO&amp;sz=w1000</v>
      </c>
      <c r="AD805" s="90" t="s">
        <v>812</v>
      </c>
      <c r="AE805" s="103" t="str">
        <f t="shared" ref="AE805:AE810" si="55">CONCATENATE("https://drive.google.com/thumbnail?id=", MID(AF805, FIND("/d/", AF805) + 3, FIND("/view", AF805) - FIND("/d/", AF805) - 3), "&amp;sz=w1000")</f>
        <v>https://drive.google.com/thumbnail?id=11gAT3uSf6EhqY1gp7ESxBQx3ZJOIXz2O&amp;sz=w1000</v>
      </c>
      <c r="AF805" s="90" t="s">
        <v>828</v>
      </c>
      <c r="AG805" s="90" t="str">
        <f t="shared" ref="AG805:AG810" si="56">CONCATENATE("https://drive.google.com/thumbnail?id=", MID(AH805, FIND("/d/", AH805) + 3, FIND("/view", AH805) - FIND("/d/", AH805) - 3), "&amp;sz=w1000")</f>
        <v>https://drive.google.com/thumbnail?id=10HQlUfuCM9rvKh755NA9pHKofaluje0o&amp;sz=w1000</v>
      </c>
      <c r="AH805" s="90" t="s">
        <v>844</v>
      </c>
    </row>
    <row r="806" spans="1:34" ht="22.15" customHeight="1">
      <c r="A806" s="30">
        <v>45548</v>
      </c>
      <c r="B806" s="17" t="s">
        <v>118</v>
      </c>
      <c r="C806" s="2" t="s">
        <v>121</v>
      </c>
      <c r="D806" s="16" t="str" cm="1">
        <f t="array" ref="D806">_xlfn.XLOOKUP(1, (Table1[Project Name]=Table2[[#This Row],[Project ID]])*(Table1[Plot]=Table2[[#This Row],[Plot]]), Table1[Project ID])</f>
        <v>MJ-14</v>
      </c>
      <c r="E806" s="69">
        <v>67</v>
      </c>
      <c r="F806" s="70">
        <v>541</v>
      </c>
      <c r="G806" s="69">
        <f>Table2[[#This Row],[Time Elapsed]]+Table2[[#This Row],[Time Remaining]]</f>
        <v>608</v>
      </c>
      <c r="H806" s="192" t="s">
        <v>766</v>
      </c>
      <c r="I806" s="136" t="s">
        <v>865</v>
      </c>
      <c r="J806" s="13">
        <v>2.7199999999999998E-2</v>
      </c>
      <c r="K806" s="137">
        <v>2.2499999999999999E-2</v>
      </c>
      <c r="L806" s="13">
        <f>Table2[[#This Row],[Actual %]]-Table2[[#This Row],[Plan %]]</f>
        <v>-4.6999999999999993E-3</v>
      </c>
      <c r="M806" s="144" t="s">
        <v>280</v>
      </c>
      <c r="N806" s="12">
        <v>46065</v>
      </c>
      <c r="O806" s="12"/>
      <c r="P806" s="12">
        <v>46065</v>
      </c>
      <c r="Q806" s="198">
        <v>45555</v>
      </c>
      <c r="R806" s="136" t="s">
        <v>883</v>
      </c>
      <c r="S806" s="136" t="s">
        <v>792</v>
      </c>
      <c r="T806" s="143" t="s">
        <v>793</v>
      </c>
      <c r="U806" s="157">
        <v>110585480.02186078</v>
      </c>
      <c r="V806" s="152">
        <v>0</v>
      </c>
      <c r="W806" s="36">
        <f>Table2[[#This Row],[Construction Contract Amount]]+Table2[[#This Row],[Cumulative Variations]]</f>
        <v>110585480.02186078</v>
      </c>
      <c r="X806" s="152">
        <v>3229333.33</v>
      </c>
      <c r="Y806" s="152">
        <v>0</v>
      </c>
      <c r="Z806" s="36">
        <f>Table2[[#This Row],[Final Contract Value]]+Table2[[#This Row],[Supervision Contract amount]]+Table2[[#This Row],[Authority Cost]]</f>
        <v>113814813.35186078</v>
      </c>
      <c r="AA806" s="36"/>
      <c r="AB806" s="152">
        <v>56109.376666666598</v>
      </c>
      <c r="AC806" s="102" t="str">
        <f t="shared" si="54"/>
        <v>https://drive.google.com/thumbnail?id=1P8dv2yDVWK28813AIv4m4F9tgxPrdqDO&amp;sz=w1000</v>
      </c>
      <c r="AD806" s="90" t="s">
        <v>812</v>
      </c>
      <c r="AE806" s="103" t="str">
        <f t="shared" si="55"/>
        <v>https://drive.google.com/thumbnail?id=11gAT3uSf6EhqY1gp7ESxBQx3ZJOIXz2O&amp;sz=w1000</v>
      </c>
      <c r="AF806" s="90" t="s">
        <v>828</v>
      </c>
      <c r="AG806" s="90" t="str">
        <f t="shared" si="56"/>
        <v>https://drive.google.com/thumbnail?id=10HQlUfuCM9rvKh755NA9pHKofaluje0o&amp;sz=w1000</v>
      </c>
      <c r="AH806" s="90" t="s">
        <v>844</v>
      </c>
    </row>
    <row r="807" spans="1:34" ht="22.15" customHeight="1">
      <c r="A807" s="30">
        <v>45548</v>
      </c>
      <c r="B807" s="17" t="s">
        <v>118</v>
      </c>
      <c r="C807" s="2" t="s">
        <v>121</v>
      </c>
      <c r="D807" s="16" t="str" cm="1">
        <f t="array" ref="D807">_xlfn.XLOOKUP(1, (Table1[Project Name]=Table2[[#This Row],[Project ID]])*(Table1[Plot]=Table2[[#This Row],[Plot]]), Table1[Project ID])</f>
        <v>MJ-14</v>
      </c>
      <c r="E807" s="69">
        <v>67</v>
      </c>
      <c r="F807" s="70">
        <v>541</v>
      </c>
      <c r="G807" s="69">
        <f>Table2[[#This Row],[Time Elapsed]]+Table2[[#This Row],[Time Remaining]]</f>
        <v>608</v>
      </c>
      <c r="H807" s="192" t="s">
        <v>766</v>
      </c>
      <c r="I807" s="136" t="s">
        <v>865</v>
      </c>
      <c r="J807" s="13">
        <v>2.7199999999999998E-2</v>
      </c>
      <c r="K807" s="137">
        <v>2.2499999999999999E-2</v>
      </c>
      <c r="L807" s="13">
        <f>Table2[[#This Row],[Actual %]]-Table2[[#This Row],[Plan %]]</f>
        <v>-4.6999999999999993E-3</v>
      </c>
      <c r="M807" s="144" t="s">
        <v>281</v>
      </c>
      <c r="N807" s="12">
        <v>46086</v>
      </c>
      <c r="O807" s="12"/>
      <c r="P807" s="12">
        <v>46086</v>
      </c>
      <c r="Q807" s="198">
        <v>45555</v>
      </c>
      <c r="R807" s="136" t="s">
        <v>883</v>
      </c>
      <c r="S807" s="136" t="s">
        <v>792</v>
      </c>
      <c r="T807" s="143" t="s">
        <v>793</v>
      </c>
      <c r="U807" s="157">
        <v>110585480.02186078</v>
      </c>
      <c r="V807" s="152">
        <v>0</v>
      </c>
      <c r="W807" s="36">
        <f>Table2[[#This Row],[Construction Contract Amount]]+Table2[[#This Row],[Cumulative Variations]]</f>
        <v>110585480.02186078</v>
      </c>
      <c r="X807" s="152">
        <v>3229333.33</v>
      </c>
      <c r="Y807" s="152">
        <v>0</v>
      </c>
      <c r="Z807" s="36">
        <f>Table2[[#This Row],[Final Contract Value]]+Table2[[#This Row],[Supervision Contract amount]]+Table2[[#This Row],[Authority Cost]]</f>
        <v>113814813.35186078</v>
      </c>
      <c r="AA807" s="36"/>
      <c r="AB807" s="152">
        <v>56109.376666666598</v>
      </c>
      <c r="AC807" s="102" t="str">
        <f t="shared" si="54"/>
        <v>https://drive.google.com/thumbnail?id=1P8dv2yDVWK28813AIv4m4F9tgxPrdqDO&amp;sz=w1000</v>
      </c>
      <c r="AD807" s="90" t="s">
        <v>812</v>
      </c>
      <c r="AE807" s="103" t="str">
        <f t="shared" si="55"/>
        <v>https://drive.google.com/thumbnail?id=11gAT3uSf6EhqY1gp7ESxBQx3ZJOIXz2O&amp;sz=w1000</v>
      </c>
      <c r="AF807" s="90" t="s">
        <v>828</v>
      </c>
      <c r="AG807" s="90" t="str">
        <f t="shared" si="56"/>
        <v>https://drive.google.com/thumbnail?id=10HQlUfuCM9rvKh755NA9pHKofaluje0o&amp;sz=w1000</v>
      </c>
      <c r="AH807" s="90" t="s">
        <v>844</v>
      </c>
    </row>
    <row r="808" spans="1:34" ht="22.15" customHeight="1">
      <c r="A808" s="30">
        <v>45548</v>
      </c>
      <c r="B808" s="17" t="s">
        <v>118</v>
      </c>
      <c r="C808" s="2" t="s">
        <v>121</v>
      </c>
      <c r="D808" s="16" t="str" cm="1">
        <f t="array" ref="D808">_xlfn.XLOOKUP(1, (Table1[Project Name]=Table2[[#This Row],[Project ID]])*(Table1[Plot]=Table2[[#This Row],[Plot]]), Table1[Project ID])</f>
        <v>MJ-14</v>
      </c>
      <c r="E808" s="69">
        <v>67</v>
      </c>
      <c r="F808" s="70">
        <v>541</v>
      </c>
      <c r="G808" s="69">
        <f>Table2[[#This Row],[Time Elapsed]]+Table2[[#This Row],[Time Remaining]]</f>
        <v>608</v>
      </c>
      <c r="H808" s="192" t="s">
        <v>766</v>
      </c>
      <c r="I808" s="136" t="s">
        <v>865</v>
      </c>
      <c r="J808" s="13">
        <v>2.7199999999999998E-2</v>
      </c>
      <c r="K808" s="137">
        <v>2.2499999999999999E-2</v>
      </c>
      <c r="L808" s="13">
        <f>Table2[[#This Row],[Actual %]]-Table2[[#This Row],[Plan %]]</f>
        <v>-4.6999999999999993E-3</v>
      </c>
      <c r="M808" s="144" t="s">
        <v>282</v>
      </c>
      <c r="N808" s="12">
        <v>46096</v>
      </c>
      <c r="O808" s="12"/>
      <c r="P808" s="12">
        <v>46096</v>
      </c>
      <c r="Q808" s="198">
        <v>45555</v>
      </c>
      <c r="R808" s="136" t="s">
        <v>883</v>
      </c>
      <c r="S808" s="136" t="s">
        <v>792</v>
      </c>
      <c r="T808" s="143" t="s">
        <v>793</v>
      </c>
      <c r="U808" s="157">
        <v>110585480.02186078</v>
      </c>
      <c r="V808" s="152">
        <v>0</v>
      </c>
      <c r="W808" s="36">
        <f>Table2[[#This Row],[Construction Contract Amount]]+Table2[[#This Row],[Cumulative Variations]]</f>
        <v>110585480.02186078</v>
      </c>
      <c r="X808" s="152">
        <v>3229333.33</v>
      </c>
      <c r="Y808" s="152">
        <v>0</v>
      </c>
      <c r="Z808" s="36">
        <f>Table2[[#This Row],[Final Contract Value]]+Table2[[#This Row],[Supervision Contract amount]]+Table2[[#This Row],[Authority Cost]]</f>
        <v>113814813.35186078</v>
      </c>
      <c r="AA808" s="36"/>
      <c r="AB808" s="152">
        <v>56109.376666666598</v>
      </c>
      <c r="AC808" s="102" t="str">
        <f t="shared" si="54"/>
        <v>https://drive.google.com/thumbnail?id=1P8dv2yDVWK28813AIv4m4F9tgxPrdqDO&amp;sz=w1000</v>
      </c>
      <c r="AD808" s="90" t="s">
        <v>812</v>
      </c>
      <c r="AE808" s="103" t="str">
        <f t="shared" si="55"/>
        <v>https://drive.google.com/thumbnail?id=11gAT3uSf6EhqY1gp7ESxBQx3ZJOIXz2O&amp;sz=w1000</v>
      </c>
      <c r="AF808" s="90" t="s">
        <v>828</v>
      </c>
      <c r="AG808" s="90" t="str">
        <f t="shared" si="56"/>
        <v>https://drive.google.com/thumbnail?id=10HQlUfuCM9rvKh755NA9pHKofaluje0o&amp;sz=w1000</v>
      </c>
      <c r="AH808" s="90" t="s">
        <v>844</v>
      </c>
    </row>
    <row r="809" spans="1:34" ht="22.15" customHeight="1">
      <c r="A809" s="30">
        <v>45548</v>
      </c>
      <c r="B809" s="17" t="s">
        <v>118</v>
      </c>
      <c r="C809" s="2" t="s">
        <v>121</v>
      </c>
      <c r="D809" s="16" t="str" cm="1">
        <f t="array" ref="D809">_xlfn.XLOOKUP(1, (Table1[Project Name]=Table2[[#This Row],[Project ID]])*(Table1[Plot]=Table2[[#This Row],[Plot]]), Table1[Project ID])</f>
        <v>MJ-14</v>
      </c>
      <c r="E809" s="69">
        <v>67</v>
      </c>
      <c r="F809" s="70">
        <v>541</v>
      </c>
      <c r="G809" s="69">
        <f>Table2[[#This Row],[Time Elapsed]]+Table2[[#This Row],[Time Remaining]]</f>
        <v>608</v>
      </c>
      <c r="H809" s="192" t="s">
        <v>766</v>
      </c>
      <c r="I809" s="136" t="s">
        <v>865</v>
      </c>
      <c r="J809" s="13">
        <v>2.7199999999999998E-2</v>
      </c>
      <c r="K809" s="137">
        <v>2.2499999999999999E-2</v>
      </c>
      <c r="L809" s="13">
        <f>Table2[[#This Row],[Actual %]]-Table2[[#This Row],[Plan %]]</f>
        <v>-4.6999999999999993E-3</v>
      </c>
      <c r="M809" s="144" t="s">
        <v>283</v>
      </c>
      <c r="N809" s="12">
        <v>46096</v>
      </c>
      <c r="O809" s="12"/>
      <c r="P809" s="12">
        <v>46096</v>
      </c>
      <c r="Q809" s="198">
        <v>45555</v>
      </c>
      <c r="R809" s="136" t="s">
        <v>883</v>
      </c>
      <c r="S809" s="136" t="s">
        <v>792</v>
      </c>
      <c r="T809" s="143" t="s">
        <v>793</v>
      </c>
      <c r="U809" s="157">
        <v>110585480.02186078</v>
      </c>
      <c r="V809" s="152">
        <v>0</v>
      </c>
      <c r="W809" s="36">
        <f>Table2[[#This Row],[Construction Contract Amount]]+Table2[[#This Row],[Cumulative Variations]]</f>
        <v>110585480.02186078</v>
      </c>
      <c r="X809" s="152">
        <v>3229333.33</v>
      </c>
      <c r="Y809" s="152">
        <v>0</v>
      </c>
      <c r="Z809" s="36">
        <f>Table2[[#This Row],[Final Contract Value]]+Table2[[#This Row],[Supervision Contract amount]]+Table2[[#This Row],[Authority Cost]]</f>
        <v>113814813.35186078</v>
      </c>
      <c r="AA809" s="36"/>
      <c r="AB809" s="152">
        <v>56109.376666666598</v>
      </c>
      <c r="AC809" s="102" t="str">
        <f t="shared" si="54"/>
        <v>https://drive.google.com/thumbnail?id=1P8dv2yDVWK28813AIv4m4F9tgxPrdqDO&amp;sz=w1000</v>
      </c>
      <c r="AD809" s="90" t="s">
        <v>812</v>
      </c>
      <c r="AE809" s="103" t="str">
        <f t="shared" si="55"/>
        <v>https://drive.google.com/thumbnail?id=11gAT3uSf6EhqY1gp7ESxBQx3ZJOIXz2O&amp;sz=w1000</v>
      </c>
      <c r="AF809" s="90" t="s">
        <v>828</v>
      </c>
      <c r="AG809" s="90" t="str">
        <f t="shared" si="56"/>
        <v>https://drive.google.com/thumbnail?id=10HQlUfuCM9rvKh755NA9pHKofaluje0o&amp;sz=w1000</v>
      </c>
      <c r="AH809" s="90" t="s">
        <v>844</v>
      </c>
    </row>
    <row r="810" spans="1:34" ht="22.15" customHeight="1">
      <c r="A810" s="30">
        <v>45548</v>
      </c>
      <c r="B810" s="17" t="s">
        <v>118</v>
      </c>
      <c r="C810" s="2" t="s">
        <v>121</v>
      </c>
      <c r="D810" s="16" t="str" cm="1">
        <f t="array" ref="D810">_xlfn.XLOOKUP(1, (Table1[Project Name]=Table2[[#This Row],[Project ID]])*(Table1[Plot]=Table2[[#This Row],[Plot]]), Table1[Project ID])</f>
        <v>MJ-14</v>
      </c>
      <c r="E810" s="69">
        <v>67</v>
      </c>
      <c r="F810" s="70">
        <v>541</v>
      </c>
      <c r="G810" s="69">
        <f>Table2[[#This Row],[Time Elapsed]]+Table2[[#This Row],[Time Remaining]]</f>
        <v>608</v>
      </c>
      <c r="H810" s="192" t="s">
        <v>766</v>
      </c>
      <c r="I810" s="136" t="s">
        <v>865</v>
      </c>
      <c r="J810" s="13">
        <v>2.7199999999999998E-2</v>
      </c>
      <c r="K810" s="137">
        <v>2.2499999999999999E-2</v>
      </c>
      <c r="L810" s="13">
        <f>Table2[[#This Row],[Actual %]]-Table2[[#This Row],[Plan %]]</f>
        <v>-4.6999999999999993E-3</v>
      </c>
      <c r="M810" s="144" t="s">
        <v>284</v>
      </c>
      <c r="N810" s="12">
        <v>46096</v>
      </c>
      <c r="O810" s="12"/>
      <c r="P810" s="12">
        <v>46096</v>
      </c>
      <c r="Q810" s="198">
        <v>45555</v>
      </c>
      <c r="R810" s="136" t="s">
        <v>883</v>
      </c>
      <c r="S810" s="136" t="s">
        <v>792</v>
      </c>
      <c r="T810" s="143" t="s">
        <v>793</v>
      </c>
      <c r="U810" s="157">
        <v>110585480.02186078</v>
      </c>
      <c r="V810" s="152">
        <v>0</v>
      </c>
      <c r="W810" s="36">
        <f>Table2[[#This Row],[Construction Contract Amount]]+Table2[[#This Row],[Cumulative Variations]]</f>
        <v>110585480.02186078</v>
      </c>
      <c r="X810" s="152">
        <v>3229333.33</v>
      </c>
      <c r="Y810" s="152">
        <v>0</v>
      </c>
      <c r="Z810" s="36">
        <f>Table2[[#This Row],[Final Contract Value]]+Table2[[#This Row],[Supervision Contract amount]]+Table2[[#This Row],[Authority Cost]]</f>
        <v>113814813.35186078</v>
      </c>
      <c r="AA810" s="36"/>
      <c r="AB810" s="152">
        <v>56109.376666666598</v>
      </c>
      <c r="AC810" s="102" t="str">
        <f t="shared" si="54"/>
        <v>https://drive.google.com/thumbnail?id=1P8dv2yDVWK28813AIv4m4F9tgxPrdqDO&amp;sz=w1000</v>
      </c>
      <c r="AD810" s="90" t="s">
        <v>812</v>
      </c>
      <c r="AE810" s="103" t="str">
        <f t="shared" si="55"/>
        <v>https://drive.google.com/thumbnail?id=11gAT3uSf6EhqY1gp7ESxBQx3ZJOIXz2O&amp;sz=w1000</v>
      </c>
      <c r="AF810" s="90" t="s">
        <v>828</v>
      </c>
      <c r="AG810" s="90" t="str">
        <f t="shared" si="56"/>
        <v>https://drive.google.com/thumbnail?id=10HQlUfuCM9rvKh755NA9pHKofaluje0o&amp;sz=w1000</v>
      </c>
      <c r="AH810" s="90" t="s">
        <v>844</v>
      </c>
    </row>
    <row r="811" spans="1:34" ht="22.15" customHeight="1">
      <c r="A811" s="30">
        <v>45548</v>
      </c>
      <c r="B811" s="17" t="s">
        <v>153</v>
      </c>
      <c r="C811" s="17" t="s">
        <v>155</v>
      </c>
      <c r="D811" s="16" t="str" cm="1">
        <f t="array" ref="D811">_xlfn.XLOOKUP(1, (Table1[Project Name]=Table2[[#This Row],[Project ID]])*(Table1[Plot]=Table2[[#This Row],[Plot]]), Table1[Project ID])</f>
        <v>CP-03</v>
      </c>
      <c r="E811" s="174">
        <v>61</v>
      </c>
      <c r="F811" s="174">
        <v>488</v>
      </c>
      <c r="G811" s="69">
        <f>Table2[[#This Row],[Time Elapsed]]+Table2[[#This Row],[Time Remaining]]</f>
        <v>549</v>
      </c>
      <c r="H811" s="136" t="s">
        <v>929</v>
      </c>
      <c r="I811" s="136" t="s">
        <v>930</v>
      </c>
      <c r="J811" s="13">
        <v>8.6999999999999994E-3</v>
      </c>
      <c r="K811" s="137">
        <v>6.4999999999999997E-3</v>
      </c>
      <c r="L811" s="13">
        <f>Table2[[#This Row],[Actual %]]-Table2[[#This Row],[Plan %]]</f>
        <v>-2.1999999999999997E-3</v>
      </c>
      <c r="M811" s="232" t="s">
        <v>931</v>
      </c>
      <c r="N811" s="193">
        <v>45488</v>
      </c>
      <c r="O811" s="193">
        <v>45488</v>
      </c>
      <c r="P811" s="193"/>
      <c r="Q811" s="198">
        <v>45555</v>
      </c>
      <c r="R811" s="136" t="s">
        <v>932</v>
      </c>
      <c r="S811" s="136" t="s">
        <v>933</v>
      </c>
      <c r="T811" s="136" t="s">
        <v>934</v>
      </c>
      <c r="U811" s="150">
        <v>113960984.64</v>
      </c>
      <c r="V811" s="138">
        <v>0</v>
      </c>
      <c r="W811" s="36">
        <f>Table2[[#This Row],[Construction Contract Amount]]+Table2[[#This Row],[Cumulative Variations]]</f>
        <v>113960984.64</v>
      </c>
      <c r="X811" s="236">
        <f>20364000/4</f>
        <v>5091000</v>
      </c>
      <c r="Y811" s="36"/>
      <c r="Z811" s="36">
        <f>Table2[[#This Row],[Final Contract Value]]+Table2[[#This Row],[Supervision Contract amount]]+Table2[[#This Row],[Authority Cost]]</f>
        <v>119051984.64</v>
      </c>
      <c r="AA811" s="36"/>
      <c r="AB811" s="36"/>
      <c r="AC811" s="102" t="str">
        <f t="shared" ref="AC811:AC846" si="57">CONCATENATE("https://drive.google.com/thumbnail?id=", MID(AD811, FIND("/d/", AD811) + 3, FIND("/view", AD811) - FIND("/d/", AD811) - 3), "&amp;sz=w1000")</f>
        <v>https://drive.google.com/thumbnail?id=1T7YIRQddf8thNan5EJFVaQpyLfl95ZI7&amp;sz=w1000</v>
      </c>
      <c r="AD811" s="234" t="s">
        <v>945</v>
      </c>
      <c r="AE811" s="103" t="str">
        <f t="shared" ref="AE811:AE846" si="58">CONCATENATE("https://drive.google.com/thumbnail?id=", MID(AF811, FIND("/d/", AF811) + 3, FIND("/view", AF811) - FIND("/d/", AF811) - 3), "&amp;sz=w1000")</f>
        <v>https://drive.google.com/thumbnail?id=14wgprJ2e6FNj1j69861AFl0UqCa1kpcQ&amp;sz=w1000</v>
      </c>
      <c r="AF811" s="234" t="s">
        <v>949</v>
      </c>
      <c r="AG811" s="90" t="str">
        <f t="shared" ref="AG811:AG846" si="59">CONCATENATE("https://drive.google.com/thumbnail?id=", MID(AH811, FIND("/d/", AH811) + 3, FIND("/view", AH811) - FIND("/d/", AH811) - 3), "&amp;sz=w1000")</f>
        <v>https://drive.google.com/thumbnail?id=1V-a_ob3pdPr21zpJrqWWTHOOFYV63CVx&amp;sz=w1000</v>
      </c>
      <c r="AH811" s="234" t="s">
        <v>953</v>
      </c>
    </row>
    <row r="812" spans="1:34" ht="22.15" customHeight="1">
      <c r="A812" s="30">
        <v>45548</v>
      </c>
      <c r="B812" s="17" t="s">
        <v>153</v>
      </c>
      <c r="C812" s="17" t="s">
        <v>155</v>
      </c>
      <c r="D812" s="16" t="str" cm="1">
        <f t="array" ref="D812">_xlfn.XLOOKUP(1, (Table1[Project Name]=Table2[[#This Row],[Project ID]])*(Table1[Plot]=Table2[[#This Row],[Plot]]), Table1[Project ID])</f>
        <v>CP-03</v>
      </c>
      <c r="E812" s="174">
        <v>61</v>
      </c>
      <c r="F812" s="174">
        <v>488</v>
      </c>
      <c r="G812" s="69">
        <f>Table2[[#This Row],[Time Elapsed]]+Table2[[#This Row],[Time Remaining]]</f>
        <v>549</v>
      </c>
      <c r="H812" s="136" t="s">
        <v>929</v>
      </c>
      <c r="I812" s="136" t="s">
        <v>930</v>
      </c>
      <c r="J812" s="13">
        <v>8.6999999999999994E-3</v>
      </c>
      <c r="K812" s="137">
        <v>6.4999999999999997E-3</v>
      </c>
      <c r="L812" s="13">
        <f>Table2[[#This Row],[Actual %]]-Table2[[#This Row],[Plan %]]</f>
        <v>-2.1999999999999997E-3</v>
      </c>
      <c r="M812" s="232" t="s">
        <v>935</v>
      </c>
      <c r="N812" s="193">
        <v>45870</v>
      </c>
      <c r="O812" s="193"/>
      <c r="P812" s="193">
        <v>45593</v>
      </c>
      <c r="Q812" s="198">
        <v>45555</v>
      </c>
      <c r="R812" s="136" t="s">
        <v>932</v>
      </c>
      <c r="S812" s="136" t="s">
        <v>933</v>
      </c>
      <c r="T812" s="136" t="s">
        <v>934</v>
      </c>
      <c r="U812" s="150">
        <v>113960984.64</v>
      </c>
      <c r="V812" s="138">
        <v>0</v>
      </c>
      <c r="W812" s="36">
        <f>Table2[[#This Row],[Construction Contract Amount]]+Table2[[#This Row],[Cumulative Variations]]</f>
        <v>113960984.64</v>
      </c>
      <c r="X812" s="236">
        <f t="shared" ref="X812:X846" si="60">20364000/4</f>
        <v>5091000</v>
      </c>
      <c r="Y812" s="36"/>
      <c r="Z812" s="36">
        <f>Table2[[#This Row],[Final Contract Value]]+Table2[[#This Row],[Supervision Contract amount]]+Table2[[#This Row],[Authority Cost]]</f>
        <v>119051984.64</v>
      </c>
      <c r="AA812" s="36"/>
      <c r="AB812" s="36"/>
      <c r="AC812" s="102" t="str">
        <f t="shared" si="57"/>
        <v>https://drive.google.com/thumbnail?id=1T7YIRQddf8thNan5EJFVaQpyLfl95ZI7&amp;sz=w1000</v>
      </c>
      <c r="AD812" s="234" t="s">
        <v>945</v>
      </c>
      <c r="AE812" s="103" t="str">
        <f t="shared" si="58"/>
        <v>https://drive.google.com/thumbnail?id=14wgprJ2e6FNj1j69861AFl0UqCa1kpcQ&amp;sz=w1000</v>
      </c>
      <c r="AF812" s="234" t="s">
        <v>949</v>
      </c>
      <c r="AG812" s="90" t="str">
        <f t="shared" si="59"/>
        <v>https://drive.google.com/thumbnail?id=1V-a_ob3pdPr21zpJrqWWTHOOFYV63CVx&amp;sz=w1000</v>
      </c>
      <c r="AH812" s="234" t="s">
        <v>953</v>
      </c>
    </row>
    <row r="813" spans="1:34" ht="22.15" customHeight="1">
      <c r="A813" s="30">
        <v>45548</v>
      </c>
      <c r="B813" s="17" t="s">
        <v>153</v>
      </c>
      <c r="C813" s="17" t="s">
        <v>155</v>
      </c>
      <c r="D813" s="16" t="str" cm="1">
        <f t="array" ref="D813">_xlfn.XLOOKUP(1, (Table1[Project Name]=Table2[[#This Row],[Project ID]])*(Table1[Plot]=Table2[[#This Row],[Plot]]), Table1[Project ID])</f>
        <v>CP-03</v>
      </c>
      <c r="E813" s="174">
        <v>61</v>
      </c>
      <c r="F813" s="174">
        <v>488</v>
      </c>
      <c r="G813" s="69">
        <f>Table2[[#This Row],[Time Elapsed]]+Table2[[#This Row],[Time Remaining]]</f>
        <v>549</v>
      </c>
      <c r="H813" s="136" t="s">
        <v>929</v>
      </c>
      <c r="I813" s="136" t="s">
        <v>930</v>
      </c>
      <c r="J813" s="13">
        <v>8.6999999999999994E-3</v>
      </c>
      <c r="K813" s="137">
        <v>6.4999999999999997E-3</v>
      </c>
      <c r="L813" s="13">
        <f>Table2[[#This Row],[Actual %]]-Table2[[#This Row],[Plan %]]</f>
        <v>-2.1999999999999997E-3</v>
      </c>
      <c r="M813" s="232" t="s">
        <v>936</v>
      </c>
      <c r="N813" s="193">
        <v>45808</v>
      </c>
      <c r="O813" s="193"/>
      <c r="P813" s="193">
        <v>45808</v>
      </c>
      <c r="Q813" s="198">
        <v>45555</v>
      </c>
      <c r="R813" s="136" t="s">
        <v>932</v>
      </c>
      <c r="S813" s="136" t="s">
        <v>933</v>
      </c>
      <c r="T813" s="136" t="s">
        <v>934</v>
      </c>
      <c r="U813" s="150">
        <v>113960984.64</v>
      </c>
      <c r="V813" s="138">
        <v>0</v>
      </c>
      <c r="W813" s="36">
        <f>Table2[[#This Row],[Construction Contract Amount]]+Table2[[#This Row],[Cumulative Variations]]</f>
        <v>113960984.64</v>
      </c>
      <c r="X813" s="236">
        <f t="shared" si="60"/>
        <v>5091000</v>
      </c>
      <c r="Y813" s="36"/>
      <c r="Z813" s="36">
        <f>Table2[[#This Row],[Final Contract Value]]+Table2[[#This Row],[Supervision Contract amount]]+Table2[[#This Row],[Authority Cost]]</f>
        <v>119051984.64</v>
      </c>
      <c r="AA813" s="36"/>
      <c r="AB813" s="36"/>
      <c r="AC813" s="102" t="str">
        <f t="shared" si="57"/>
        <v>https://drive.google.com/thumbnail?id=1T7YIRQddf8thNan5EJFVaQpyLfl95ZI7&amp;sz=w1000</v>
      </c>
      <c r="AD813" s="234" t="s">
        <v>945</v>
      </c>
      <c r="AE813" s="103" t="str">
        <f t="shared" si="58"/>
        <v>https://drive.google.com/thumbnail?id=14wgprJ2e6FNj1j69861AFl0UqCa1kpcQ&amp;sz=w1000</v>
      </c>
      <c r="AF813" s="234" t="s">
        <v>949</v>
      </c>
      <c r="AG813" s="90" t="str">
        <f t="shared" si="59"/>
        <v>https://drive.google.com/thumbnail?id=1V-a_ob3pdPr21zpJrqWWTHOOFYV63CVx&amp;sz=w1000</v>
      </c>
      <c r="AH813" s="234" t="s">
        <v>953</v>
      </c>
    </row>
    <row r="814" spans="1:34" ht="22.15" customHeight="1">
      <c r="A814" s="30">
        <v>45548</v>
      </c>
      <c r="B814" s="17" t="s">
        <v>153</v>
      </c>
      <c r="C814" s="17" t="s">
        <v>155</v>
      </c>
      <c r="D814" s="16" t="str" cm="1">
        <f t="array" ref="D814">_xlfn.XLOOKUP(1, (Table1[Project Name]=Table2[[#This Row],[Project ID]])*(Table1[Plot]=Table2[[#This Row],[Plot]]), Table1[Project ID])</f>
        <v>CP-03</v>
      </c>
      <c r="E814" s="174">
        <v>61</v>
      </c>
      <c r="F814" s="174">
        <v>488</v>
      </c>
      <c r="G814" s="69">
        <f>Table2[[#This Row],[Time Elapsed]]+Table2[[#This Row],[Time Remaining]]</f>
        <v>549</v>
      </c>
      <c r="H814" s="136" t="s">
        <v>929</v>
      </c>
      <c r="I814" s="136" t="s">
        <v>930</v>
      </c>
      <c r="J814" s="13">
        <v>8.6999999999999994E-3</v>
      </c>
      <c r="K814" s="137">
        <v>6.4999999999999997E-3</v>
      </c>
      <c r="L814" s="13">
        <f>Table2[[#This Row],[Actual %]]-Table2[[#This Row],[Plan %]]</f>
        <v>-2.1999999999999997E-3</v>
      </c>
      <c r="M814" s="232" t="s">
        <v>937</v>
      </c>
      <c r="N814" s="193">
        <v>46006</v>
      </c>
      <c r="O814" s="193"/>
      <c r="P814" s="193">
        <v>45930</v>
      </c>
      <c r="Q814" s="198">
        <v>45555</v>
      </c>
      <c r="R814" s="136" t="s">
        <v>932</v>
      </c>
      <c r="S814" s="136" t="s">
        <v>933</v>
      </c>
      <c r="T814" s="136" t="s">
        <v>934</v>
      </c>
      <c r="U814" s="150">
        <v>113960984.64</v>
      </c>
      <c r="V814" s="138">
        <v>0</v>
      </c>
      <c r="W814" s="36">
        <f>Table2[[#This Row],[Construction Contract Amount]]+Table2[[#This Row],[Cumulative Variations]]</f>
        <v>113960984.64</v>
      </c>
      <c r="X814" s="236">
        <f t="shared" si="60"/>
        <v>5091000</v>
      </c>
      <c r="Y814" s="36"/>
      <c r="Z814" s="36">
        <f>Table2[[#This Row],[Final Contract Value]]+Table2[[#This Row],[Supervision Contract amount]]+Table2[[#This Row],[Authority Cost]]</f>
        <v>119051984.64</v>
      </c>
      <c r="AA814" s="36"/>
      <c r="AB814" s="36"/>
      <c r="AC814" s="102" t="str">
        <f t="shared" si="57"/>
        <v>https://drive.google.com/thumbnail?id=1T7YIRQddf8thNan5EJFVaQpyLfl95ZI7&amp;sz=w1000</v>
      </c>
      <c r="AD814" s="234" t="s">
        <v>945</v>
      </c>
      <c r="AE814" s="103" t="str">
        <f t="shared" si="58"/>
        <v>https://drive.google.com/thumbnail?id=14wgprJ2e6FNj1j69861AFl0UqCa1kpcQ&amp;sz=w1000</v>
      </c>
      <c r="AF814" s="234" t="s">
        <v>949</v>
      </c>
      <c r="AG814" s="90" t="str">
        <f t="shared" si="59"/>
        <v>https://drive.google.com/thumbnail?id=1V-a_ob3pdPr21zpJrqWWTHOOFYV63CVx&amp;sz=w1000</v>
      </c>
      <c r="AH814" s="234" t="s">
        <v>953</v>
      </c>
    </row>
    <row r="815" spans="1:34" ht="22.15" customHeight="1">
      <c r="A815" s="30">
        <v>45548</v>
      </c>
      <c r="B815" s="17" t="s">
        <v>153</v>
      </c>
      <c r="C815" s="17" t="s">
        <v>155</v>
      </c>
      <c r="D815" s="16" t="str" cm="1">
        <f t="array" ref="D815">_xlfn.XLOOKUP(1, (Table1[Project Name]=Table2[[#This Row],[Project ID]])*(Table1[Plot]=Table2[[#This Row],[Plot]]), Table1[Project ID])</f>
        <v>CP-03</v>
      </c>
      <c r="E815" s="174">
        <v>61</v>
      </c>
      <c r="F815" s="174">
        <v>488</v>
      </c>
      <c r="G815" s="69">
        <f>Table2[[#This Row],[Time Elapsed]]+Table2[[#This Row],[Time Remaining]]</f>
        <v>549</v>
      </c>
      <c r="H815" s="136" t="s">
        <v>929</v>
      </c>
      <c r="I815" s="136" t="s">
        <v>930</v>
      </c>
      <c r="J815" s="13">
        <v>8.6999999999999994E-3</v>
      </c>
      <c r="K815" s="137">
        <v>6.4999999999999997E-3</v>
      </c>
      <c r="L815" s="13">
        <f>Table2[[#This Row],[Actual %]]-Table2[[#This Row],[Plan %]]</f>
        <v>-2.1999999999999997E-3</v>
      </c>
      <c r="M815" s="232" t="s">
        <v>938</v>
      </c>
      <c r="N815" s="193">
        <v>46006</v>
      </c>
      <c r="O815" s="193"/>
      <c r="P815" s="193">
        <v>45991</v>
      </c>
      <c r="Q815" s="198">
        <v>45555</v>
      </c>
      <c r="R815" s="136" t="s">
        <v>932</v>
      </c>
      <c r="S815" s="136" t="s">
        <v>933</v>
      </c>
      <c r="T815" s="136" t="s">
        <v>934</v>
      </c>
      <c r="U815" s="150">
        <v>113960984.64</v>
      </c>
      <c r="V815" s="138">
        <v>0</v>
      </c>
      <c r="W815" s="36">
        <f>Table2[[#This Row],[Construction Contract Amount]]+Table2[[#This Row],[Cumulative Variations]]</f>
        <v>113960984.64</v>
      </c>
      <c r="X815" s="236">
        <f t="shared" si="60"/>
        <v>5091000</v>
      </c>
      <c r="Y815" s="36"/>
      <c r="Z815" s="36">
        <f>Table2[[#This Row],[Final Contract Value]]+Table2[[#This Row],[Supervision Contract amount]]+Table2[[#This Row],[Authority Cost]]</f>
        <v>119051984.64</v>
      </c>
      <c r="AA815" s="36"/>
      <c r="AB815" s="36"/>
      <c r="AC815" s="102" t="str">
        <f t="shared" si="57"/>
        <v>https://drive.google.com/thumbnail?id=1T7YIRQddf8thNan5EJFVaQpyLfl95ZI7&amp;sz=w1000</v>
      </c>
      <c r="AD815" s="234" t="s">
        <v>945</v>
      </c>
      <c r="AE815" s="103" t="str">
        <f t="shared" si="58"/>
        <v>https://drive.google.com/thumbnail?id=14wgprJ2e6FNj1j69861AFl0UqCa1kpcQ&amp;sz=w1000</v>
      </c>
      <c r="AF815" s="234" t="s">
        <v>949</v>
      </c>
      <c r="AG815" s="90" t="str">
        <f t="shared" si="59"/>
        <v>https://drive.google.com/thumbnail?id=1V-a_ob3pdPr21zpJrqWWTHOOFYV63CVx&amp;sz=w1000</v>
      </c>
      <c r="AH815" s="234" t="s">
        <v>953</v>
      </c>
    </row>
    <row r="816" spans="1:34" ht="22.15" customHeight="1">
      <c r="A816" s="30">
        <v>45548</v>
      </c>
      <c r="B816" s="17" t="s">
        <v>153</v>
      </c>
      <c r="C816" s="17" t="s">
        <v>155</v>
      </c>
      <c r="D816" s="16" t="str" cm="1">
        <f t="array" ref="D816">_xlfn.XLOOKUP(1, (Table1[Project Name]=Table2[[#This Row],[Project ID]])*(Table1[Plot]=Table2[[#This Row],[Plot]]), Table1[Project ID])</f>
        <v>CP-03</v>
      </c>
      <c r="E816" s="174">
        <v>61</v>
      </c>
      <c r="F816" s="174">
        <v>488</v>
      </c>
      <c r="G816" s="69">
        <f>Table2[[#This Row],[Time Elapsed]]+Table2[[#This Row],[Time Remaining]]</f>
        <v>549</v>
      </c>
      <c r="H816" s="136" t="s">
        <v>929</v>
      </c>
      <c r="I816" s="136" t="s">
        <v>930</v>
      </c>
      <c r="J816" s="13">
        <v>8.6999999999999994E-3</v>
      </c>
      <c r="K816" s="137">
        <v>6.4999999999999997E-3</v>
      </c>
      <c r="L816" s="13">
        <f>Table2[[#This Row],[Actual %]]-Table2[[#This Row],[Plan %]]</f>
        <v>-2.1999999999999997E-3</v>
      </c>
      <c r="M816" s="232" t="s">
        <v>939</v>
      </c>
      <c r="N816" s="193">
        <v>46014</v>
      </c>
      <c r="O816" s="193"/>
      <c r="P816" s="193">
        <v>46001</v>
      </c>
      <c r="Q816" s="198">
        <v>45555</v>
      </c>
      <c r="R816" s="136" t="s">
        <v>932</v>
      </c>
      <c r="S816" s="136" t="s">
        <v>933</v>
      </c>
      <c r="T816" s="136" t="s">
        <v>934</v>
      </c>
      <c r="U816" s="150">
        <v>113960984.64</v>
      </c>
      <c r="V816" s="138">
        <v>0</v>
      </c>
      <c r="W816" s="36">
        <f>Table2[[#This Row],[Construction Contract Amount]]+Table2[[#This Row],[Cumulative Variations]]</f>
        <v>113960984.64</v>
      </c>
      <c r="X816" s="236">
        <f t="shared" si="60"/>
        <v>5091000</v>
      </c>
      <c r="Y816" s="36"/>
      <c r="Z816" s="36">
        <f>Table2[[#This Row],[Final Contract Value]]+Table2[[#This Row],[Supervision Contract amount]]+Table2[[#This Row],[Authority Cost]]</f>
        <v>119051984.64</v>
      </c>
      <c r="AA816" s="36"/>
      <c r="AB816" s="36"/>
      <c r="AC816" s="102" t="str">
        <f t="shared" si="57"/>
        <v>https://drive.google.com/thumbnail?id=1T7YIRQddf8thNan5EJFVaQpyLfl95ZI7&amp;sz=w1000</v>
      </c>
      <c r="AD816" s="234" t="s">
        <v>945</v>
      </c>
      <c r="AE816" s="103" t="str">
        <f t="shared" si="58"/>
        <v>https://drive.google.com/thumbnail?id=14wgprJ2e6FNj1j69861AFl0UqCa1kpcQ&amp;sz=w1000</v>
      </c>
      <c r="AF816" s="234" t="s">
        <v>949</v>
      </c>
      <c r="AG816" s="90" t="str">
        <f t="shared" si="59"/>
        <v>https://drive.google.com/thumbnail?id=1V-a_ob3pdPr21zpJrqWWTHOOFYV63CVx&amp;sz=w1000</v>
      </c>
      <c r="AH816" s="234" t="s">
        <v>953</v>
      </c>
    </row>
    <row r="817" spans="1:34" ht="22.15" customHeight="1">
      <c r="A817" s="30">
        <v>45548</v>
      </c>
      <c r="B817" s="17" t="s">
        <v>153</v>
      </c>
      <c r="C817" s="17" t="s">
        <v>155</v>
      </c>
      <c r="D817" s="16" t="str" cm="1">
        <f t="array" ref="D817">_xlfn.XLOOKUP(1, (Table1[Project Name]=Table2[[#This Row],[Project ID]])*(Table1[Plot]=Table2[[#This Row],[Plot]]), Table1[Project ID])</f>
        <v>CP-03</v>
      </c>
      <c r="E817" s="174">
        <v>61</v>
      </c>
      <c r="F817" s="174">
        <v>488</v>
      </c>
      <c r="G817" s="69">
        <f>Table2[[#This Row],[Time Elapsed]]+Table2[[#This Row],[Time Remaining]]</f>
        <v>549</v>
      </c>
      <c r="H817" s="136" t="s">
        <v>929</v>
      </c>
      <c r="I817" s="136" t="s">
        <v>930</v>
      </c>
      <c r="J817" s="13">
        <v>8.6999999999999994E-3</v>
      </c>
      <c r="K817" s="137">
        <v>6.4999999999999997E-3</v>
      </c>
      <c r="L817" s="13">
        <f>Table2[[#This Row],[Actual %]]-Table2[[#This Row],[Plan %]]</f>
        <v>-2.1999999999999997E-3</v>
      </c>
      <c r="M817" s="232" t="s">
        <v>940</v>
      </c>
      <c r="N817" s="193">
        <v>46009</v>
      </c>
      <c r="O817" s="193"/>
      <c r="P817" s="193">
        <v>46009</v>
      </c>
      <c r="Q817" s="198">
        <v>45555</v>
      </c>
      <c r="R817" s="136"/>
      <c r="S817" s="136"/>
      <c r="T817" s="136"/>
      <c r="U817" s="233"/>
      <c r="V817" s="138"/>
      <c r="W817" s="36">
        <f>Table2[[#This Row],[Construction Contract Amount]]+Table2[[#This Row],[Cumulative Variations]]</f>
        <v>0</v>
      </c>
      <c r="X817" s="236">
        <f t="shared" si="60"/>
        <v>5091000</v>
      </c>
      <c r="Y817" s="36"/>
      <c r="Z817" s="36">
        <f>Table2[[#This Row],[Final Contract Value]]+Table2[[#This Row],[Supervision Contract amount]]+Table2[[#This Row],[Authority Cost]]</f>
        <v>5091000</v>
      </c>
      <c r="AA817" s="36"/>
      <c r="AB817" s="36"/>
      <c r="AC817" s="102" t="str">
        <f t="shared" si="57"/>
        <v>https://drive.google.com/thumbnail?id=1T7YIRQddf8thNan5EJFVaQpyLfl95ZI7&amp;sz=w1000</v>
      </c>
      <c r="AD817" s="234" t="s">
        <v>945</v>
      </c>
      <c r="AE817" s="103" t="str">
        <f t="shared" si="58"/>
        <v>https://drive.google.com/thumbnail?id=14wgprJ2e6FNj1j69861AFl0UqCa1kpcQ&amp;sz=w1000</v>
      </c>
      <c r="AF817" s="234" t="s">
        <v>949</v>
      </c>
      <c r="AG817" s="90" t="str">
        <f t="shared" si="59"/>
        <v>https://drive.google.com/thumbnail?id=1V-a_ob3pdPr21zpJrqWWTHOOFYV63CVx&amp;sz=w1000</v>
      </c>
      <c r="AH817" s="234" t="s">
        <v>953</v>
      </c>
    </row>
    <row r="818" spans="1:34" ht="22.15" customHeight="1">
      <c r="A818" s="30">
        <v>45548</v>
      </c>
      <c r="B818" s="17" t="s">
        <v>153</v>
      </c>
      <c r="C818" s="17" t="s">
        <v>155</v>
      </c>
      <c r="D818" s="16" t="str" cm="1">
        <f t="array" ref="D818">_xlfn.XLOOKUP(1, (Table1[Project Name]=Table2[[#This Row],[Project ID]])*(Table1[Plot]=Table2[[#This Row],[Plot]]), Table1[Project ID])</f>
        <v>CP-03</v>
      </c>
      <c r="E818" s="174">
        <v>61</v>
      </c>
      <c r="F818" s="174">
        <v>488</v>
      </c>
      <c r="G818" s="69">
        <f>Table2[[#This Row],[Time Elapsed]]+Table2[[#This Row],[Time Remaining]]</f>
        <v>549</v>
      </c>
      <c r="H818" s="136" t="s">
        <v>929</v>
      </c>
      <c r="I818" s="136" t="s">
        <v>930</v>
      </c>
      <c r="J818" s="13">
        <v>8.6999999999999994E-3</v>
      </c>
      <c r="K818" s="137">
        <v>6.4999999999999997E-3</v>
      </c>
      <c r="L818" s="13">
        <f>Table2[[#This Row],[Actual %]]-Table2[[#This Row],[Plan %]]</f>
        <v>-2.1999999999999997E-3</v>
      </c>
      <c r="M818" s="232" t="s">
        <v>283</v>
      </c>
      <c r="N818" s="193">
        <v>46021</v>
      </c>
      <c r="O818" s="193"/>
      <c r="P818" s="193">
        <v>46021</v>
      </c>
      <c r="Q818" s="198">
        <v>45555</v>
      </c>
      <c r="R818" s="136" t="s">
        <v>932</v>
      </c>
      <c r="S818" s="136" t="s">
        <v>933</v>
      </c>
      <c r="T818" s="136" t="s">
        <v>934</v>
      </c>
      <c r="U818" s="150">
        <v>113960984.64</v>
      </c>
      <c r="V818" s="138">
        <v>0</v>
      </c>
      <c r="W818" s="36">
        <f>Table2[[#This Row],[Construction Contract Amount]]+Table2[[#This Row],[Cumulative Variations]]</f>
        <v>113960984.64</v>
      </c>
      <c r="X818" s="236">
        <f t="shared" si="60"/>
        <v>5091000</v>
      </c>
      <c r="Y818" s="36"/>
      <c r="Z818" s="36">
        <f>Table2[[#This Row],[Final Contract Value]]+Table2[[#This Row],[Supervision Contract amount]]+Table2[[#This Row],[Authority Cost]]</f>
        <v>119051984.64</v>
      </c>
      <c r="AA818" s="36"/>
      <c r="AB818" s="36"/>
      <c r="AC818" s="102" t="str">
        <f t="shared" si="57"/>
        <v>https://drive.google.com/thumbnail?id=1T7YIRQddf8thNan5EJFVaQpyLfl95ZI7&amp;sz=w1000</v>
      </c>
      <c r="AD818" s="234" t="s">
        <v>945</v>
      </c>
      <c r="AE818" s="103" t="str">
        <f t="shared" si="58"/>
        <v>https://drive.google.com/thumbnail?id=14wgprJ2e6FNj1j69861AFl0UqCa1kpcQ&amp;sz=w1000</v>
      </c>
      <c r="AF818" s="234" t="s">
        <v>949</v>
      </c>
      <c r="AG818" s="90" t="str">
        <f t="shared" si="59"/>
        <v>https://drive.google.com/thumbnail?id=1V-a_ob3pdPr21zpJrqWWTHOOFYV63CVx&amp;sz=w1000</v>
      </c>
      <c r="AH818" s="234" t="s">
        <v>953</v>
      </c>
    </row>
    <row r="819" spans="1:34" ht="22.15" customHeight="1">
      <c r="A819" s="30">
        <v>45548</v>
      </c>
      <c r="B819" s="17" t="s">
        <v>153</v>
      </c>
      <c r="C819" s="17" t="s">
        <v>155</v>
      </c>
      <c r="D819" s="16" t="str" cm="1">
        <f t="array" ref="D819">_xlfn.XLOOKUP(1, (Table1[Project Name]=Table2[[#This Row],[Project ID]])*(Table1[Plot]=Table2[[#This Row],[Plot]]), Table1[Project ID])</f>
        <v>CP-03</v>
      </c>
      <c r="E819" s="174">
        <v>61</v>
      </c>
      <c r="F819" s="174">
        <v>488</v>
      </c>
      <c r="G819" s="69">
        <f>Table2[[#This Row],[Time Elapsed]]+Table2[[#This Row],[Time Remaining]]</f>
        <v>549</v>
      </c>
      <c r="H819" s="136" t="s">
        <v>929</v>
      </c>
      <c r="I819" s="136" t="s">
        <v>930</v>
      </c>
      <c r="J819" s="13">
        <v>8.6999999999999994E-3</v>
      </c>
      <c r="K819" s="137">
        <v>6.4999999999999997E-3</v>
      </c>
      <c r="L819" s="13">
        <f>Table2[[#This Row],[Actual %]]-Table2[[#This Row],[Plan %]]</f>
        <v>-2.1999999999999997E-3</v>
      </c>
      <c r="M819" s="232" t="s">
        <v>941</v>
      </c>
      <c r="N819" s="193">
        <v>46036</v>
      </c>
      <c r="O819" s="193"/>
      <c r="P819" s="193">
        <v>46036</v>
      </c>
      <c r="Q819" s="198">
        <v>45555</v>
      </c>
      <c r="R819" s="136" t="s">
        <v>932</v>
      </c>
      <c r="S819" s="136" t="s">
        <v>933</v>
      </c>
      <c r="T819" s="136" t="s">
        <v>934</v>
      </c>
      <c r="U819" s="150">
        <v>113960984.64</v>
      </c>
      <c r="V819" s="138">
        <v>0</v>
      </c>
      <c r="W819" s="36">
        <f>Table2[[#This Row],[Construction Contract Amount]]+Table2[[#This Row],[Cumulative Variations]]</f>
        <v>113960984.64</v>
      </c>
      <c r="X819" s="236">
        <f t="shared" si="60"/>
        <v>5091000</v>
      </c>
      <c r="Y819" s="36"/>
      <c r="Z819" s="36">
        <f>Table2[[#This Row],[Final Contract Value]]+Table2[[#This Row],[Supervision Contract amount]]+Table2[[#This Row],[Authority Cost]]</f>
        <v>119051984.64</v>
      </c>
      <c r="AA819" s="36"/>
      <c r="AB819" s="36"/>
      <c r="AC819" s="102" t="str">
        <f t="shared" si="57"/>
        <v>https://drive.google.com/thumbnail?id=1T7YIRQddf8thNan5EJFVaQpyLfl95ZI7&amp;sz=w1000</v>
      </c>
      <c r="AD819" s="234" t="s">
        <v>945</v>
      </c>
      <c r="AE819" s="103" t="str">
        <f t="shared" si="58"/>
        <v>https://drive.google.com/thumbnail?id=14wgprJ2e6FNj1j69861AFl0UqCa1kpcQ&amp;sz=w1000</v>
      </c>
      <c r="AF819" s="234" t="s">
        <v>949</v>
      </c>
      <c r="AG819" s="90" t="str">
        <f t="shared" si="59"/>
        <v>https://drive.google.com/thumbnail?id=1V-a_ob3pdPr21zpJrqWWTHOOFYV63CVx&amp;sz=w1000</v>
      </c>
      <c r="AH819" s="234" t="s">
        <v>953</v>
      </c>
    </row>
    <row r="820" spans="1:34" ht="22.15" customHeight="1">
      <c r="A820" s="30">
        <v>45548</v>
      </c>
      <c r="B820" s="17" t="s">
        <v>157</v>
      </c>
      <c r="C820" s="17" t="s">
        <v>158</v>
      </c>
      <c r="D820" s="16" t="str" cm="1">
        <f t="array" ref="D820">_xlfn.XLOOKUP(1, (Table1[Project Name]=Table2[[#This Row],[Project ID]])*(Table1[Plot]=Table2[[#This Row],[Plot]]), Table1[Project ID])</f>
        <v>CP-04</v>
      </c>
      <c r="E820" s="174">
        <v>61</v>
      </c>
      <c r="F820" s="174">
        <v>488</v>
      </c>
      <c r="G820" s="69">
        <f>Table2[[#This Row],[Time Elapsed]]+Table2[[#This Row],[Time Remaining]]</f>
        <v>549</v>
      </c>
      <c r="H820" s="136" t="s">
        <v>929</v>
      </c>
      <c r="I820" s="136" t="s">
        <v>930</v>
      </c>
      <c r="J820" s="13">
        <v>1.2800000000000001E-2</v>
      </c>
      <c r="K820" s="137">
        <v>8.5000000000000006E-3</v>
      </c>
      <c r="L820" s="13">
        <f>Table2[[#This Row],[Actual %]]-Table2[[#This Row],[Plan %]]</f>
        <v>-4.3E-3</v>
      </c>
      <c r="M820" s="232" t="s">
        <v>931</v>
      </c>
      <c r="N820" s="193">
        <v>45488</v>
      </c>
      <c r="O820" s="193">
        <v>45488</v>
      </c>
      <c r="P820" s="193"/>
      <c r="Q820" s="198">
        <v>45555</v>
      </c>
      <c r="R820" s="136" t="s">
        <v>932</v>
      </c>
      <c r="S820" s="136" t="s">
        <v>933</v>
      </c>
      <c r="T820" s="136" t="s">
        <v>942</v>
      </c>
      <c r="U820" s="150">
        <v>227141911.59</v>
      </c>
      <c r="V820" s="138">
        <v>0</v>
      </c>
      <c r="W820" s="36">
        <f>Table2[[#This Row],[Construction Contract Amount]]+Table2[[#This Row],[Cumulative Variations]]</f>
        <v>227141911.59</v>
      </c>
      <c r="X820" s="236">
        <f t="shared" si="60"/>
        <v>5091000</v>
      </c>
      <c r="Y820" s="36"/>
      <c r="Z820" s="36">
        <f>Table2[[#This Row],[Final Contract Value]]+Table2[[#This Row],[Supervision Contract amount]]+Table2[[#This Row],[Authority Cost]]</f>
        <v>232232911.59</v>
      </c>
      <c r="AA820" s="36"/>
      <c r="AB820" s="36"/>
      <c r="AC820" s="102" t="str">
        <f t="shared" si="57"/>
        <v>https://drive.google.com/thumbnail?id=1YykSkRS5Oz7UZj0FL5C-mjRrSyiXnWcq&amp;sz=w1000</v>
      </c>
      <c r="AD820" s="234" t="s">
        <v>946</v>
      </c>
      <c r="AE820" s="103" t="str">
        <f t="shared" si="58"/>
        <v>https://drive.google.com/thumbnail?id=1CuDlsnQtJB-PNdjg1ybnzwH7fvelUrHn&amp;sz=w1000</v>
      </c>
      <c r="AF820" s="234" t="s">
        <v>950</v>
      </c>
      <c r="AG820" s="90" t="str">
        <f t="shared" si="59"/>
        <v>https://drive.google.com/thumbnail?id=1VJ4sHxvHEYoAx3IJfsB5VejT27JsC_8_&amp;sz=w1000</v>
      </c>
      <c r="AH820" s="235" t="s">
        <v>954</v>
      </c>
    </row>
    <row r="821" spans="1:34" ht="22.15" customHeight="1">
      <c r="A821" s="30">
        <v>45548</v>
      </c>
      <c r="B821" s="17" t="s">
        <v>157</v>
      </c>
      <c r="C821" s="17" t="s">
        <v>158</v>
      </c>
      <c r="D821" s="16" t="str" cm="1">
        <f t="array" ref="D821">_xlfn.XLOOKUP(1, (Table1[Project Name]=Table2[[#This Row],[Project ID]])*(Table1[Plot]=Table2[[#This Row],[Plot]]), Table1[Project ID])</f>
        <v>CP-04</v>
      </c>
      <c r="E821" s="174">
        <v>61</v>
      </c>
      <c r="F821" s="174">
        <v>488</v>
      </c>
      <c r="G821" s="69">
        <f>Table2[[#This Row],[Time Elapsed]]+Table2[[#This Row],[Time Remaining]]</f>
        <v>549</v>
      </c>
      <c r="H821" s="136" t="s">
        <v>929</v>
      </c>
      <c r="I821" s="136" t="s">
        <v>930</v>
      </c>
      <c r="J821" s="13">
        <v>1.2800000000000001E-2</v>
      </c>
      <c r="K821" s="137">
        <v>8.5000000000000006E-3</v>
      </c>
      <c r="L821" s="13">
        <f>Table2[[#This Row],[Actual %]]-Table2[[#This Row],[Plan %]]</f>
        <v>-4.3E-3</v>
      </c>
      <c r="M821" s="232" t="s">
        <v>935</v>
      </c>
      <c r="N821" s="193">
        <v>45870</v>
      </c>
      <c r="O821" s="193"/>
      <c r="P821" s="193">
        <v>45593</v>
      </c>
      <c r="Q821" s="198">
        <v>45555</v>
      </c>
      <c r="R821" s="136" t="s">
        <v>932</v>
      </c>
      <c r="S821" s="136" t="s">
        <v>933</v>
      </c>
      <c r="T821" s="136" t="s">
        <v>942</v>
      </c>
      <c r="U821" s="150">
        <v>227141911.59</v>
      </c>
      <c r="V821" s="138">
        <v>0</v>
      </c>
      <c r="W821" s="36">
        <f>Table2[[#This Row],[Construction Contract Amount]]+Table2[[#This Row],[Cumulative Variations]]</f>
        <v>227141911.59</v>
      </c>
      <c r="X821" s="236">
        <f t="shared" si="60"/>
        <v>5091000</v>
      </c>
      <c r="Y821" s="36"/>
      <c r="Z821" s="36">
        <f>Table2[[#This Row],[Final Contract Value]]+Table2[[#This Row],[Supervision Contract amount]]+Table2[[#This Row],[Authority Cost]]</f>
        <v>232232911.59</v>
      </c>
      <c r="AA821" s="36"/>
      <c r="AB821" s="36"/>
      <c r="AC821" s="102" t="str">
        <f t="shared" si="57"/>
        <v>https://drive.google.com/thumbnail?id=1YykSkRS5Oz7UZj0FL5C-mjRrSyiXnWcq&amp;sz=w1000</v>
      </c>
      <c r="AD821" s="234" t="s">
        <v>946</v>
      </c>
      <c r="AE821" s="103" t="str">
        <f t="shared" si="58"/>
        <v>https://drive.google.com/thumbnail?id=1CuDlsnQtJB-PNdjg1ybnzwH7fvelUrHn&amp;sz=w1000</v>
      </c>
      <c r="AF821" s="234" t="s">
        <v>950</v>
      </c>
      <c r="AG821" s="90" t="str">
        <f t="shared" si="59"/>
        <v>https://drive.google.com/thumbnail?id=1VJ4sHxvHEYoAx3IJfsB5VejT27JsC_8_&amp;sz=w1000</v>
      </c>
      <c r="AH821" s="235" t="s">
        <v>954</v>
      </c>
    </row>
    <row r="822" spans="1:34" ht="22.15" customHeight="1">
      <c r="A822" s="30">
        <v>45548</v>
      </c>
      <c r="B822" s="17" t="s">
        <v>157</v>
      </c>
      <c r="C822" s="17" t="s">
        <v>158</v>
      </c>
      <c r="D822" s="16" t="str" cm="1">
        <f t="array" ref="D822">_xlfn.XLOOKUP(1, (Table1[Project Name]=Table2[[#This Row],[Project ID]])*(Table1[Plot]=Table2[[#This Row],[Plot]]), Table1[Project ID])</f>
        <v>CP-04</v>
      </c>
      <c r="E822" s="174">
        <v>61</v>
      </c>
      <c r="F822" s="174">
        <v>488</v>
      </c>
      <c r="G822" s="69">
        <f>Table2[[#This Row],[Time Elapsed]]+Table2[[#This Row],[Time Remaining]]</f>
        <v>549</v>
      </c>
      <c r="H822" s="136" t="s">
        <v>929</v>
      </c>
      <c r="I822" s="136" t="s">
        <v>930</v>
      </c>
      <c r="J822" s="13">
        <v>1.2800000000000001E-2</v>
      </c>
      <c r="K822" s="137">
        <v>8.5000000000000006E-3</v>
      </c>
      <c r="L822" s="13">
        <f>Table2[[#This Row],[Actual %]]-Table2[[#This Row],[Plan %]]</f>
        <v>-4.3E-3</v>
      </c>
      <c r="M822" s="232" t="s">
        <v>936</v>
      </c>
      <c r="N822" s="193">
        <v>45808</v>
      </c>
      <c r="O822" s="193"/>
      <c r="P822" s="193">
        <v>45808</v>
      </c>
      <c r="Q822" s="198">
        <v>45555</v>
      </c>
      <c r="R822" s="136" t="s">
        <v>932</v>
      </c>
      <c r="S822" s="136" t="s">
        <v>933</v>
      </c>
      <c r="T822" s="136" t="s">
        <v>942</v>
      </c>
      <c r="U822" s="150">
        <v>227141911.59</v>
      </c>
      <c r="V822" s="138">
        <v>0</v>
      </c>
      <c r="W822" s="36">
        <f>Table2[[#This Row],[Construction Contract Amount]]+Table2[[#This Row],[Cumulative Variations]]</f>
        <v>227141911.59</v>
      </c>
      <c r="X822" s="236">
        <f t="shared" si="60"/>
        <v>5091000</v>
      </c>
      <c r="Y822" s="36"/>
      <c r="Z822" s="36">
        <f>Table2[[#This Row],[Final Contract Value]]+Table2[[#This Row],[Supervision Contract amount]]+Table2[[#This Row],[Authority Cost]]</f>
        <v>232232911.59</v>
      </c>
      <c r="AA822" s="36"/>
      <c r="AB822" s="36"/>
      <c r="AC822" s="102" t="str">
        <f t="shared" si="57"/>
        <v>https://drive.google.com/thumbnail?id=1YykSkRS5Oz7UZj0FL5C-mjRrSyiXnWcq&amp;sz=w1000</v>
      </c>
      <c r="AD822" s="234" t="s">
        <v>946</v>
      </c>
      <c r="AE822" s="103" t="str">
        <f t="shared" si="58"/>
        <v>https://drive.google.com/thumbnail?id=1CuDlsnQtJB-PNdjg1ybnzwH7fvelUrHn&amp;sz=w1000</v>
      </c>
      <c r="AF822" s="234" t="s">
        <v>950</v>
      </c>
      <c r="AG822" s="90" t="str">
        <f t="shared" si="59"/>
        <v>https://drive.google.com/thumbnail?id=1VJ4sHxvHEYoAx3IJfsB5VejT27JsC_8_&amp;sz=w1000</v>
      </c>
      <c r="AH822" s="235" t="s">
        <v>954</v>
      </c>
    </row>
    <row r="823" spans="1:34" ht="22.15" customHeight="1">
      <c r="A823" s="30">
        <v>45548</v>
      </c>
      <c r="B823" s="17" t="s">
        <v>157</v>
      </c>
      <c r="C823" s="17" t="s">
        <v>158</v>
      </c>
      <c r="D823" s="16" t="str" cm="1">
        <f t="array" ref="D823">_xlfn.XLOOKUP(1, (Table1[Project Name]=Table2[[#This Row],[Project ID]])*(Table1[Plot]=Table2[[#This Row],[Plot]]), Table1[Project ID])</f>
        <v>CP-04</v>
      </c>
      <c r="E823" s="174">
        <v>61</v>
      </c>
      <c r="F823" s="174">
        <v>488</v>
      </c>
      <c r="G823" s="69">
        <f>Table2[[#This Row],[Time Elapsed]]+Table2[[#This Row],[Time Remaining]]</f>
        <v>549</v>
      </c>
      <c r="H823" s="136" t="s">
        <v>929</v>
      </c>
      <c r="I823" s="136" t="s">
        <v>930</v>
      </c>
      <c r="J823" s="13">
        <v>1.2800000000000001E-2</v>
      </c>
      <c r="K823" s="137">
        <v>8.5000000000000006E-3</v>
      </c>
      <c r="L823" s="13">
        <f>Table2[[#This Row],[Actual %]]-Table2[[#This Row],[Plan %]]</f>
        <v>-4.3E-3</v>
      </c>
      <c r="M823" s="232" t="s">
        <v>937</v>
      </c>
      <c r="N823" s="193">
        <v>46006</v>
      </c>
      <c r="O823" s="193"/>
      <c r="P823" s="193">
        <v>45930</v>
      </c>
      <c r="Q823" s="198">
        <v>45555</v>
      </c>
      <c r="R823" s="136" t="s">
        <v>932</v>
      </c>
      <c r="S823" s="136" t="s">
        <v>933</v>
      </c>
      <c r="T823" s="136" t="s">
        <v>942</v>
      </c>
      <c r="U823" s="150">
        <v>227141911.59</v>
      </c>
      <c r="V823" s="138">
        <v>0</v>
      </c>
      <c r="W823" s="36">
        <f>Table2[[#This Row],[Construction Contract Amount]]+Table2[[#This Row],[Cumulative Variations]]</f>
        <v>227141911.59</v>
      </c>
      <c r="X823" s="236">
        <f t="shared" si="60"/>
        <v>5091000</v>
      </c>
      <c r="Y823" s="36"/>
      <c r="Z823" s="36">
        <f>Table2[[#This Row],[Final Contract Value]]+Table2[[#This Row],[Supervision Contract amount]]+Table2[[#This Row],[Authority Cost]]</f>
        <v>232232911.59</v>
      </c>
      <c r="AA823" s="36"/>
      <c r="AB823" s="36"/>
      <c r="AC823" s="102" t="str">
        <f t="shared" si="57"/>
        <v>https://drive.google.com/thumbnail?id=1YykSkRS5Oz7UZj0FL5C-mjRrSyiXnWcq&amp;sz=w1000</v>
      </c>
      <c r="AD823" s="234" t="s">
        <v>946</v>
      </c>
      <c r="AE823" s="103" t="str">
        <f t="shared" si="58"/>
        <v>https://drive.google.com/thumbnail?id=1CuDlsnQtJB-PNdjg1ybnzwH7fvelUrHn&amp;sz=w1000</v>
      </c>
      <c r="AF823" s="234" t="s">
        <v>950</v>
      </c>
      <c r="AG823" s="90" t="str">
        <f t="shared" si="59"/>
        <v>https://drive.google.com/thumbnail?id=1VJ4sHxvHEYoAx3IJfsB5VejT27JsC_8_&amp;sz=w1000</v>
      </c>
      <c r="AH823" s="235" t="s">
        <v>954</v>
      </c>
    </row>
    <row r="824" spans="1:34" ht="22.15" customHeight="1">
      <c r="A824" s="30">
        <v>45548</v>
      </c>
      <c r="B824" s="17" t="s">
        <v>157</v>
      </c>
      <c r="C824" s="17" t="s">
        <v>158</v>
      </c>
      <c r="D824" s="16" t="str" cm="1">
        <f t="array" ref="D824">_xlfn.XLOOKUP(1, (Table1[Project Name]=Table2[[#This Row],[Project ID]])*(Table1[Plot]=Table2[[#This Row],[Plot]]), Table1[Project ID])</f>
        <v>CP-04</v>
      </c>
      <c r="E824" s="174">
        <v>61</v>
      </c>
      <c r="F824" s="174">
        <v>488</v>
      </c>
      <c r="G824" s="69">
        <f>Table2[[#This Row],[Time Elapsed]]+Table2[[#This Row],[Time Remaining]]</f>
        <v>549</v>
      </c>
      <c r="H824" s="136" t="s">
        <v>929</v>
      </c>
      <c r="I824" s="136" t="s">
        <v>930</v>
      </c>
      <c r="J824" s="13">
        <v>1.2800000000000001E-2</v>
      </c>
      <c r="K824" s="137">
        <v>8.5000000000000006E-3</v>
      </c>
      <c r="L824" s="13">
        <f>Table2[[#This Row],[Actual %]]-Table2[[#This Row],[Plan %]]</f>
        <v>-4.3E-3</v>
      </c>
      <c r="M824" s="232" t="s">
        <v>938</v>
      </c>
      <c r="N824" s="193">
        <v>46006</v>
      </c>
      <c r="O824" s="193"/>
      <c r="P824" s="193">
        <v>45991</v>
      </c>
      <c r="Q824" s="198">
        <v>45555</v>
      </c>
      <c r="R824" s="136" t="s">
        <v>932</v>
      </c>
      <c r="S824" s="136" t="s">
        <v>933</v>
      </c>
      <c r="T824" s="136" t="s">
        <v>942</v>
      </c>
      <c r="U824" s="150">
        <v>227141911.59</v>
      </c>
      <c r="V824" s="138">
        <v>0</v>
      </c>
      <c r="W824" s="36">
        <f>Table2[[#This Row],[Construction Contract Amount]]+Table2[[#This Row],[Cumulative Variations]]</f>
        <v>227141911.59</v>
      </c>
      <c r="X824" s="236">
        <f t="shared" si="60"/>
        <v>5091000</v>
      </c>
      <c r="Y824" s="36"/>
      <c r="Z824" s="36">
        <f>Table2[[#This Row],[Final Contract Value]]+Table2[[#This Row],[Supervision Contract amount]]+Table2[[#This Row],[Authority Cost]]</f>
        <v>232232911.59</v>
      </c>
      <c r="AA824" s="36"/>
      <c r="AB824" s="36"/>
      <c r="AC824" s="102" t="str">
        <f t="shared" si="57"/>
        <v>https://drive.google.com/thumbnail?id=1YykSkRS5Oz7UZj0FL5C-mjRrSyiXnWcq&amp;sz=w1000</v>
      </c>
      <c r="AD824" s="234" t="s">
        <v>946</v>
      </c>
      <c r="AE824" s="103" t="str">
        <f t="shared" si="58"/>
        <v>https://drive.google.com/thumbnail?id=1CuDlsnQtJB-PNdjg1ybnzwH7fvelUrHn&amp;sz=w1000</v>
      </c>
      <c r="AF824" s="234" t="s">
        <v>950</v>
      </c>
      <c r="AG824" s="90" t="str">
        <f t="shared" si="59"/>
        <v>https://drive.google.com/thumbnail?id=1VJ4sHxvHEYoAx3IJfsB5VejT27JsC_8_&amp;sz=w1000</v>
      </c>
      <c r="AH824" s="235" t="s">
        <v>954</v>
      </c>
    </row>
    <row r="825" spans="1:34" ht="22.15" customHeight="1">
      <c r="A825" s="30">
        <v>45548</v>
      </c>
      <c r="B825" s="17" t="s">
        <v>157</v>
      </c>
      <c r="C825" s="17" t="s">
        <v>158</v>
      </c>
      <c r="D825" s="16" t="str" cm="1">
        <f t="array" ref="D825">_xlfn.XLOOKUP(1, (Table1[Project Name]=Table2[[#This Row],[Project ID]])*(Table1[Plot]=Table2[[#This Row],[Plot]]), Table1[Project ID])</f>
        <v>CP-04</v>
      </c>
      <c r="E825" s="174">
        <v>61</v>
      </c>
      <c r="F825" s="174">
        <v>488</v>
      </c>
      <c r="G825" s="69">
        <f>Table2[[#This Row],[Time Elapsed]]+Table2[[#This Row],[Time Remaining]]</f>
        <v>549</v>
      </c>
      <c r="H825" s="136" t="s">
        <v>929</v>
      </c>
      <c r="I825" s="136" t="s">
        <v>930</v>
      </c>
      <c r="J825" s="13">
        <v>1.2800000000000001E-2</v>
      </c>
      <c r="K825" s="137">
        <v>8.5000000000000006E-3</v>
      </c>
      <c r="L825" s="13">
        <f>Table2[[#This Row],[Actual %]]-Table2[[#This Row],[Plan %]]</f>
        <v>-4.3E-3</v>
      </c>
      <c r="M825" s="232" t="s">
        <v>939</v>
      </c>
      <c r="N825" s="193">
        <v>46014</v>
      </c>
      <c r="O825" s="193"/>
      <c r="P825" s="193">
        <v>46001</v>
      </c>
      <c r="Q825" s="198">
        <v>45555</v>
      </c>
      <c r="R825" s="136" t="s">
        <v>932</v>
      </c>
      <c r="S825" s="136" t="s">
        <v>933</v>
      </c>
      <c r="T825" s="136" t="s">
        <v>942</v>
      </c>
      <c r="U825" s="150">
        <v>227141911.59</v>
      </c>
      <c r="V825" s="138">
        <v>0</v>
      </c>
      <c r="W825" s="36">
        <f>Table2[[#This Row],[Construction Contract Amount]]+Table2[[#This Row],[Cumulative Variations]]</f>
        <v>227141911.59</v>
      </c>
      <c r="X825" s="236">
        <f t="shared" si="60"/>
        <v>5091000</v>
      </c>
      <c r="Y825" s="36"/>
      <c r="Z825" s="36">
        <f>Table2[[#This Row],[Final Contract Value]]+Table2[[#This Row],[Supervision Contract amount]]+Table2[[#This Row],[Authority Cost]]</f>
        <v>232232911.59</v>
      </c>
      <c r="AA825" s="36"/>
      <c r="AB825" s="36"/>
      <c r="AC825" s="102" t="str">
        <f t="shared" si="57"/>
        <v>https://drive.google.com/thumbnail?id=1YykSkRS5Oz7UZj0FL5C-mjRrSyiXnWcq&amp;sz=w1000</v>
      </c>
      <c r="AD825" s="234" t="s">
        <v>946</v>
      </c>
      <c r="AE825" s="103" t="str">
        <f t="shared" si="58"/>
        <v>https://drive.google.com/thumbnail?id=1CuDlsnQtJB-PNdjg1ybnzwH7fvelUrHn&amp;sz=w1000</v>
      </c>
      <c r="AF825" s="234" t="s">
        <v>950</v>
      </c>
      <c r="AG825" s="90" t="str">
        <f t="shared" si="59"/>
        <v>https://drive.google.com/thumbnail?id=1VJ4sHxvHEYoAx3IJfsB5VejT27JsC_8_&amp;sz=w1000</v>
      </c>
      <c r="AH825" s="235" t="s">
        <v>954</v>
      </c>
    </row>
    <row r="826" spans="1:34" ht="22.15" customHeight="1">
      <c r="A826" s="30">
        <v>45548</v>
      </c>
      <c r="B826" s="17" t="s">
        <v>157</v>
      </c>
      <c r="C826" s="17" t="s">
        <v>158</v>
      </c>
      <c r="D826" s="16" t="str" cm="1">
        <f t="array" ref="D826">_xlfn.XLOOKUP(1, (Table1[Project Name]=Table2[[#This Row],[Project ID]])*(Table1[Plot]=Table2[[#This Row],[Plot]]), Table1[Project ID])</f>
        <v>CP-04</v>
      </c>
      <c r="E826" s="174">
        <v>61</v>
      </c>
      <c r="F826" s="174">
        <v>488</v>
      </c>
      <c r="G826" s="69">
        <f>Table2[[#This Row],[Time Elapsed]]+Table2[[#This Row],[Time Remaining]]</f>
        <v>549</v>
      </c>
      <c r="H826" s="136" t="s">
        <v>929</v>
      </c>
      <c r="I826" s="136" t="s">
        <v>930</v>
      </c>
      <c r="J826" s="13">
        <v>1.2800000000000001E-2</v>
      </c>
      <c r="K826" s="137">
        <v>8.5000000000000006E-3</v>
      </c>
      <c r="L826" s="13">
        <f>Table2[[#This Row],[Actual %]]-Table2[[#This Row],[Plan %]]</f>
        <v>-4.3E-3</v>
      </c>
      <c r="M826" s="232" t="s">
        <v>940</v>
      </c>
      <c r="N826" s="193">
        <v>46009</v>
      </c>
      <c r="O826" s="193"/>
      <c r="P826" s="193">
        <v>46009</v>
      </c>
      <c r="Q826" s="198">
        <v>45555</v>
      </c>
      <c r="R826" s="136" t="s">
        <v>932</v>
      </c>
      <c r="S826" s="136" t="s">
        <v>933</v>
      </c>
      <c r="T826" s="136" t="s">
        <v>942</v>
      </c>
      <c r="U826" s="150">
        <v>227141911.59</v>
      </c>
      <c r="V826" s="138">
        <v>0</v>
      </c>
      <c r="W826" s="36">
        <f>Table2[[#This Row],[Construction Contract Amount]]+Table2[[#This Row],[Cumulative Variations]]</f>
        <v>227141911.59</v>
      </c>
      <c r="X826" s="236">
        <f t="shared" si="60"/>
        <v>5091000</v>
      </c>
      <c r="Y826" s="36"/>
      <c r="Z826" s="36">
        <f>Table2[[#This Row],[Final Contract Value]]+Table2[[#This Row],[Supervision Contract amount]]+Table2[[#This Row],[Authority Cost]]</f>
        <v>232232911.59</v>
      </c>
      <c r="AA826" s="36"/>
      <c r="AB826" s="36"/>
      <c r="AC826" s="102" t="str">
        <f t="shared" si="57"/>
        <v>https://drive.google.com/thumbnail?id=1YykSkRS5Oz7UZj0FL5C-mjRrSyiXnWcq&amp;sz=w1000</v>
      </c>
      <c r="AD826" s="234" t="s">
        <v>946</v>
      </c>
      <c r="AE826" s="103" t="str">
        <f t="shared" si="58"/>
        <v>https://drive.google.com/thumbnail?id=1CuDlsnQtJB-PNdjg1ybnzwH7fvelUrHn&amp;sz=w1000</v>
      </c>
      <c r="AF826" s="234" t="s">
        <v>950</v>
      </c>
      <c r="AG826" s="90" t="str">
        <f t="shared" si="59"/>
        <v>https://drive.google.com/thumbnail?id=1VJ4sHxvHEYoAx3IJfsB5VejT27JsC_8_&amp;sz=w1000</v>
      </c>
      <c r="AH826" s="235" t="s">
        <v>954</v>
      </c>
    </row>
    <row r="827" spans="1:34" ht="22.15" customHeight="1">
      <c r="A827" s="30">
        <v>45548</v>
      </c>
      <c r="B827" s="17" t="s">
        <v>157</v>
      </c>
      <c r="C827" s="17" t="s">
        <v>158</v>
      </c>
      <c r="D827" s="16" t="str" cm="1">
        <f t="array" ref="D827">_xlfn.XLOOKUP(1, (Table1[Project Name]=Table2[[#This Row],[Project ID]])*(Table1[Plot]=Table2[[#This Row],[Plot]]), Table1[Project ID])</f>
        <v>CP-04</v>
      </c>
      <c r="E827" s="174">
        <v>61</v>
      </c>
      <c r="F827" s="174">
        <v>488</v>
      </c>
      <c r="G827" s="69">
        <f>Table2[[#This Row],[Time Elapsed]]+Table2[[#This Row],[Time Remaining]]</f>
        <v>549</v>
      </c>
      <c r="H827" s="136" t="s">
        <v>929</v>
      </c>
      <c r="I827" s="136" t="s">
        <v>930</v>
      </c>
      <c r="J827" s="13">
        <v>1.2800000000000001E-2</v>
      </c>
      <c r="K827" s="137">
        <v>8.5000000000000006E-3</v>
      </c>
      <c r="L827" s="13">
        <f>Table2[[#This Row],[Actual %]]-Table2[[#This Row],[Plan %]]</f>
        <v>-4.3E-3</v>
      </c>
      <c r="M827" s="232" t="s">
        <v>283</v>
      </c>
      <c r="N827" s="193">
        <v>46021</v>
      </c>
      <c r="O827" s="193"/>
      <c r="P827" s="193">
        <v>46021</v>
      </c>
      <c r="Q827" s="198">
        <v>45555</v>
      </c>
      <c r="R827" s="136" t="s">
        <v>932</v>
      </c>
      <c r="S827" s="136" t="s">
        <v>933</v>
      </c>
      <c r="T827" s="136" t="s">
        <v>942</v>
      </c>
      <c r="U827" s="150">
        <v>227141911.59</v>
      </c>
      <c r="V827" s="138">
        <v>0</v>
      </c>
      <c r="W827" s="36">
        <f>Table2[[#This Row],[Construction Contract Amount]]+Table2[[#This Row],[Cumulative Variations]]</f>
        <v>227141911.59</v>
      </c>
      <c r="X827" s="236">
        <f t="shared" si="60"/>
        <v>5091000</v>
      </c>
      <c r="Y827" s="36"/>
      <c r="Z827" s="36">
        <f>Table2[[#This Row],[Final Contract Value]]+Table2[[#This Row],[Supervision Contract amount]]+Table2[[#This Row],[Authority Cost]]</f>
        <v>232232911.59</v>
      </c>
      <c r="AA827" s="36"/>
      <c r="AB827" s="36"/>
      <c r="AC827" s="102" t="str">
        <f t="shared" si="57"/>
        <v>https://drive.google.com/thumbnail?id=1YykSkRS5Oz7UZj0FL5C-mjRrSyiXnWcq&amp;sz=w1000</v>
      </c>
      <c r="AD827" s="234" t="s">
        <v>946</v>
      </c>
      <c r="AE827" s="103" t="str">
        <f t="shared" si="58"/>
        <v>https://drive.google.com/thumbnail?id=1CuDlsnQtJB-PNdjg1ybnzwH7fvelUrHn&amp;sz=w1000</v>
      </c>
      <c r="AF827" s="234" t="s">
        <v>950</v>
      </c>
      <c r="AG827" s="90" t="str">
        <f t="shared" si="59"/>
        <v>https://drive.google.com/thumbnail?id=1VJ4sHxvHEYoAx3IJfsB5VejT27JsC_8_&amp;sz=w1000</v>
      </c>
      <c r="AH827" s="235" t="s">
        <v>954</v>
      </c>
    </row>
    <row r="828" spans="1:34" ht="22.15" customHeight="1">
      <c r="A828" s="30">
        <v>45548</v>
      </c>
      <c r="B828" s="17" t="s">
        <v>157</v>
      </c>
      <c r="C828" s="17" t="s">
        <v>158</v>
      </c>
      <c r="D828" s="16" t="str" cm="1">
        <f t="array" ref="D828">_xlfn.XLOOKUP(1, (Table1[Project Name]=Table2[[#This Row],[Project ID]])*(Table1[Plot]=Table2[[#This Row],[Plot]]), Table1[Project ID])</f>
        <v>CP-04</v>
      </c>
      <c r="E828" s="174">
        <v>61</v>
      </c>
      <c r="F828" s="174">
        <v>488</v>
      </c>
      <c r="G828" s="69">
        <f>Table2[[#This Row],[Time Elapsed]]+Table2[[#This Row],[Time Remaining]]</f>
        <v>549</v>
      </c>
      <c r="H828" s="136" t="s">
        <v>929</v>
      </c>
      <c r="I828" s="136" t="s">
        <v>930</v>
      </c>
      <c r="J828" s="13">
        <v>1.2800000000000001E-2</v>
      </c>
      <c r="K828" s="137">
        <v>8.5000000000000006E-3</v>
      </c>
      <c r="L828" s="13">
        <f>Table2[[#This Row],[Actual %]]-Table2[[#This Row],[Plan %]]</f>
        <v>-4.3E-3</v>
      </c>
      <c r="M828" s="232" t="s">
        <v>941</v>
      </c>
      <c r="N828" s="193">
        <v>46036</v>
      </c>
      <c r="O828" s="193"/>
      <c r="P828" s="193">
        <v>46036</v>
      </c>
      <c r="Q828" s="198">
        <v>45555</v>
      </c>
      <c r="R828" s="136" t="s">
        <v>932</v>
      </c>
      <c r="S828" s="136" t="s">
        <v>933</v>
      </c>
      <c r="T828" s="136" t="s">
        <v>942</v>
      </c>
      <c r="U828" s="150">
        <v>227141911.59</v>
      </c>
      <c r="V828" s="138">
        <v>0</v>
      </c>
      <c r="W828" s="36">
        <f>Table2[[#This Row],[Construction Contract Amount]]+Table2[[#This Row],[Cumulative Variations]]</f>
        <v>227141911.59</v>
      </c>
      <c r="X828" s="236">
        <f t="shared" si="60"/>
        <v>5091000</v>
      </c>
      <c r="Y828" s="36"/>
      <c r="Z828" s="36">
        <f>Table2[[#This Row],[Final Contract Value]]+Table2[[#This Row],[Supervision Contract amount]]+Table2[[#This Row],[Authority Cost]]</f>
        <v>232232911.59</v>
      </c>
      <c r="AA828" s="36"/>
      <c r="AB828" s="36"/>
      <c r="AC828" s="102" t="str">
        <f t="shared" si="57"/>
        <v>https://drive.google.com/thumbnail?id=1YykSkRS5Oz7UZj0FL5C-mjRrSyiXnWcq&amp;sz=w1000</v>
      </c>
      <c r="AD828" s="234" t="s">
        <v>946</v>
      </c>
      <c r="AE828" s="103" t="str">
        <f t="shared" si="58"/>
        <v>https://drive.google.com/thumbnail?id=1CuDlsnQtJB-PNdjg1ybnzwH7fvelUrHn&amp;sz=w1000</v>
      </c>
      <c r="AF828" s="234" t="s">
        <v>950</v>
      </c>
      <c r="AG828" s="90" t="str">
        <f t="shared" si="59"/>
        <v>https://drive.google.com/thumbnail?id=1VJ4sHxvHEYoAx3IJfsB5VejT27JsC_8_&amp;sz=w1000</v>
      </c>
      <c r="AH828" s="235" t="s">
        <v>954</v>
      </c>
    </row>
    <row r="829" spans="1:34" ht="22.15" customHeight="1">
      <c r="A829" s="30">
        <v>45548</v>
      </c>
      <c r="B829" s="17" t="s">
        <v>160</v>
      </c>
      <c r="C829" s="17" t="s">
        <v>162</v>
      </c>
      <c r="D829" s="16" t="str" cm="1">
        <f t="array" ref="D829">_xlfn.XLOOKUP(1, (Table1[Project Name]=Table2[[#This Row],[Project ID]])*(Table1[Plot]=Table2[[#This Row],[Plot]]), Table1[Project ID])</f>
        <v>CP-05</v>
      </c>
      <c r="E829" s="174">
        <v>61</v>
      </c>
      <c r="F829" s="174">
        <v>488</v>
      </c>
      <c r="G829" s="69">
        <f>Table2[[#This Row],[Time Elapsed]]+Table2[[#This Row],[Time Remaining]]</f>
        <v>549</v>
      </c>
      <c r="H829" s="136" t="s">
        <v>929</v>
      </c>
      <c r="I829" s="136" t="s">
        <v>930</v>
      </c>
      <c r="J829" s="13">
        <v>1.2500000000000001E-2</v>
      </c>
      <c r="K829" s="137">
        <v>7.1999999999999998E-3</v>
      </c>
      <c r="L829" s="13">
        <f>Table2[[#This Row],[Actual %]]-Table2[[#This Row],[Plan %]]</f>
        <v>-5.3000000000000009E-3</v>
      </c>
      <c r="M829" s="232" t="s">
        <v>931</v>
      </c>
      <c r="N829" s="193">
        <v>45488</v>
      </c>
      <c r="O829" s="193">
        <v>45488</v>
      </c>
      <c r="P829" s="193"/>
      <c r="Q829" s="198">
        <v>45555</v>
      </c>
      <c r="R829" s="136" t="s">
        <v>932</v>
      </c>
      <c r="S829" s="136" t="s">
        <v>933</v>
      </c>
      <c r="T829" s="136" t="s">
        <v>943</v>
      </c>
      <c r="U829" s="150">
        <v>156595787.40000001</v>
      </c>
      <c r="V829" s="138">
        <v>0</v>
      </c>
      <c r="W829" s="36">
        <f>Table2[[#This Row],[Construction Contract Amount]]+Table2[[#This Row],[Cumulative Variations]]</f>
        <v>156595787.40000001</v>
      </c>
      <c r="X829" s="236">
        <f t="shared" si="60"/>
        <v>5091000</v>
      </c>
      <c r="Y829" s="36"/>
      <c r="Z829" s="36">
        <f>Table2[[#This Row],[Final Contract Value]]+Table2[[#This Row],[Supervision Contract amount]]+Table2[[#This Row],[Authority Cost]]</f>
        <v>161686787.40000001</v>
      </c>
      <c r="AA829" s="36"/>
      <c r="AB829" s="36"/>
      <c r="AC829" s="102" t="str">
        <f t="shared" si="57"/>
        <v>https://drive.google.com/thumbnail?id=1w6UPVTFIWsnJWkkyxF5dCN9sAVW3V2Q2&amp;sz=w1000</v>
      </c>
      <c r="AD829" s="234" t="s">
        <v>947</v>
      </c>
      <c r="AE829" s="103" t="str">
        <f t="shared" si="58"/>
        <v>https://drive.google.com/thumbnail?id=1oou1Xw9DcJtqi1GXuDypx-S_Vc2uTt_m&amp;sz=w1000</v>
      </c>
      <c r="AF829" s="234" t="s">
        <v>951</v>
      </c>
      <c r="AG829" s="90" t="str">
        <f t="shared" si="59"/>
        <v>https://drive.google.com/thumbnail?id=1ngIc8spFoqQC5sawSrHTxKP7CmN_SYxy&amp;sz=w1000</v>
      </c>
      <c r="AH829" s="235" t="s">
        <v>955</v>
      </c>
    </row>
    <row r="830" spans="1:34" ht="22.15" customHeight="1">
      <c r="A830" s="30">
        <v>45548</v>
      </c>
      <c r="B830" s="17" t="s">
        <v>160</v>
      </c>
      <c r="C830" s="17" t="s">
        <v>162</v>
      </c>
      <c r="D830" s="16" t="str" cm="1">
        <f t="array" ref="D830">_xlfn.XLOOKUP(1, (Table1[Project Name]=Table2[[#This Row],[Project ID]])*(Table1[Plot]=Table2[[#This Row],[Plot]]), Table1[Project ID])</f>
        <v>CP-05</v>
      </c>
      <c r="E830" s="174">
        <v>61</v>
      </c>
      <c r="F830" s="174">
        <v>488</v>
      </c>
      <c r="G830" s="69">
        <f>Table2[[#This Row],[Time Elapsed]]+Table2[[#This Row],[Time Remaining]]</f>
        <v>549</v>
      </c>
      <c r="H830" s="136" t="s">
        <v>929</v>
      </c>
      <c r="I830" s="136" t="s">
        <v>930</v>
      </c>
      <c r="J830" s="13">
        <v>1.2500000000000001E-2</v>
      </c>
      <c r="K830" s="137">
        <v>7.1999999999999998E-3</v>
      </c>
      <c r="L830" s="13">
        <f>Table2[[#This Row],[Actual %]]-Table2[[#This Row],[Plan %]]</f>
        <v>-5.3000000000000009E-3</v>
      </c>
      <c r="M830" s="232" t="s">
        <v>935</v>
      </c>
      <c r="N830" s="193">
        <v>45870</v>
      </c>
      <c r="O830" s="193"/>
      <c r="P830" s="193">
        <v>45593</v>
      </c>
      <c r="Q830" s="198">
        <v>45555</v>
      </c>
      <c r="R830" s="136" t="s">
        <v>932</v>
      </c>
      <c r="S830" s="136" t="s">
        <v>933</v>
      </c>
      <c r="T830" s="136" t="s">
        <v>943</v>
      </c>
      <c r="U830" s="150">
        <v>156595787.40000001</v>
      </c>
      <c r="V830" s="138">
        <v>0</v>
      </c>
      <c r="W830" s="36">
        <f>Table2[[#This Row],[Construction Contract Amount]]+Table2[[#This Row],[Cumulative Variations]]</f>
        <v>156595787.40000001</v>
      </c>
      <c r="X830" s="236">
        <f t="shared" si="60"/>
        <v>5091000</v>
      </c>
      <c r="Y830" s="36"/>
      <c r="Z830" s="36">
        <f>Table2[[#This Row],[Final Contract Value]]+Table2[[#This Row],[Supervision Contract amount]]+Table2[[#This Row],[Authority Cost]]</f>
        <v>161686787.40000001</v>
      </c>
      <c r="AA830" s="36"/>
      <c r="AB830" s="36"/>
      <c r="AC830" s="102" t="str">
        <f t="shared" si="57"/>
        <v>https://drive.google.com/thumbnail?id=1w6UPVTFIWsnJWkkyxF5dCN9sAVW3V2Q2&amp;sz=w1000</v>
      </c>
      <c r="AD830" s="234" t="s">
        <v>947</v>
      </c>
      <c r="AE830" s="103" t="str">
        <f t="shared" si="58"/>
        <v>https://drive.google.com/thumbnail?id=1oou1Xw9DcJtqi1GXuDypx-S_Vc2uTt_m&amp;sz=w1000</v>
      </c>
      <c r="AF830" s="234" t="s">
        <v>951</v>
      </c>
      <c r="AG830" s="90" t="str">
        <f t="shared" si="59"/>
        <v>https://drive.google.com/thumbnail?id=1ngIc8spFoqQC5sawSrHTxKP7CmN_SYxy&amp;sz=w1000</v>
      </c>
      <c r="AH830" s="235" t="s">
        <v>955</v>
      </c>
    </row>
    <row r="831" spans="1:34" ht="22.15" customHeight="1">
      <c r="A831" s="30">
        <v>45548</v>
      </c>
      <c r="B831" s="17" t="s">
        <v>160</v>
      </c>
      <c r="C831" s="17" t="s">
        <v>162</v>
      </c>
      <c r="D831" s="16" t="str" cm="1">
        <f t="array" ref="D831">_xlfn.XLOOKUP(1, (Table1[Project Name]=Table2[[#This Row],[Project ID]])*(Table1[Plot]=Table2[[#This Row],[Plot]]), Table1[Project ID])</f>
        <v>CP-05</v>
      </c>
      <c r="E831" s="174">
        <v>61</v>
      </c>
      <c r="F831" s="174">
        <v>488</v>
      </c>
      <c r="G831" s="69">
        <f>Table2[[#This Row],[Time Elapsed]]+Table2[[#This Row],[Time Remaining]]</f>
        <v>549</v>
      </c>
      <c r="H831" s="136" t="s">
        <v>929</v>
      </c>
      <c r="I831" s="136" t="s">
        <v>930</v>
      </c>
      <c r="J831" s="13">
        <v>1.2500000000000001E-2</v>
      </c>
      <c r="K831" s="137">
        <v>7.1999999999999998E-3</v>
      </c>
      <c r="L831" s="13">
        <f>Table2[[#This Row],[Actual %]]-Table2[[#This Row],[Plan %]]</f>
        <v>-5.3000000000000009E-3</v>
      </c>
      <c r="M831" s="232" t="s">
        <v>936</v>
      </c>
      <c r="N831" s="193">
        <v>45808</v>
      </c>
      <c r="O831" s="193"/>
      <c r="P831" s="193">
        <v>45808</v>
      </c>
      <c r="Q831" s="198">
        <v>45555</v>
      </c>
      <c r="R831" s="136" t="s">
        <v>932</v>
      </c>
      <c r="S831" s="136" t="s">
        <v>933</v>
      </c>
      <c r="T831" s="136" t="s">
        <v>943</v>
      </c>
      <c r="U831" s="150">
        <v>156595787.40000001</v>
      </c>
      <c r="V831" s="138">
        <v>0</v>
      </c>
      <c r="W831" s="36">
        <f>Table2[[#This Row],[Construction Contract Amount]]+Table2[[#This Row],[Cumulative Variations]]</f>
        <v>156595787.40000001</v>
      </c>
      <c r="X831" s="236">
        <f t="shared" si="60"/>
        <v>5091000</v>
      </c>
      <c r="Y831" s="36"/>
      <c r="Z831" s="36">
        <f>Table2[[#This Row],[Final Contract Value]]+Table2[[#This Row],[Supervision Contract amount]]+Table2[[#This Row],[Authority Cost]]</f>
        <v>161686787.40000001</v>
      </c>
      <c r="AA831" s="36"/>
      <c r="AB831" s="36"/>
      <c r="AC831" s="102" t="str">
        <f t="shared" si="57"/>
        <v>https://drive.google.com/thumbnail?id=1w6UPVTFIWsnJWkkyxF5dCN9sAVW3V2Q2&amp;sz=w1000</v>
      </c>
      <c r="AD831" s="234" t="s">
        <v>947</v>
      </c>
      <c r="AE831" s="103" t="str">
        <f t="shared" si="58"/>
        <v>https://drive.google.com/thumbnail?id=1oou1Xw9DcJtqi1GXuDypx-S_Vc2uTt_m&amp;sz=w1000</v>
      </c>
      <c r="AF831" s="234" t="s">
        <v>951</v>
      </c>
      <c r="AG831" s="90" t="str">
        <f t="shared" si="59"/>
        <v>https://drive.google.com/thumbnail?id=1ngIc8spFoqQC5sawSrHTxKP7CmN_SYxy&amp;sz=w1000</v>
      </c>
      <c r="AH831" s="235" t="s">
        <v>955</v>
      </c>
    </row>
    <row r="832" spans="1:34" ht="22.15" customHeight="1">
      <c r="A832" s="30">
        <v>45548</v>
      </c>
      <c r="B832" s="17" t="s">
        <v>160</v>
      </c>
      <c r="C832" s="17" t="s">
        <v>162</v>
      </c>
      <c r="D832" s="16" t="str" cm="1">
        <f t="array" ref="D832">_xlfn.XLOOKUP(1, (Table1[Project Name]=Table2[[#This Row],[Project ID]])*(Table1[Plot]=Table2[[#This Row],[Plot]]), Table1[Project ID])</f>
        <v>CP-05</v>
      </c>
      <c r="E832" s="174">
        <v>61</v>
      </c>
      <c r="F832" s="174">
        <v>488</v>
      </c>
      <c r="G832" s="69">
        <f>Table2[[#This Row],[Time Elapsed]]+Table2[[#This Row],[Time Remaining]]</f>
        <v>549</v>
      </c>
      <c r="H832" s="136" t="s">
        <v>929</v>
      </c>
      <c r="I832" s="136" t="s">
        <v>930</v>
      </c>
      <c r="J832" s="13">
        <v>1.2500000000000001E-2</v>
      </c>
      <c r="K832" s="137">
        <v>7.1999999999999998E-3</v>
      </c>
      <c r="L832" s="13">
        <f>Table2[[#This Row],[Actual %]]-Table2[[#This Row],[Plan %]]</f>
        <v>-5.3000000000000009E-3</v>
      </c>
      <c r="M832" s="232" t="s">
        <v>937</v>
      </c>
      <c r="N832" s="193">
        <v>46006</v>
      </c>
      <c r="O832" s="193"/>
      <c r="P832" s="193">
        <v>45930</v>
      </c>
      <c r="Q832" s="198">
        <v>45555</v>
      </c>
      <c r="R832" s="136" t="s">
        <v>932</v>
      </c>
      <c r="S832" s="136" t="s">
        <v>933</v>
      </c>
      <c r="T832" s="136" t="s">
        <v>943</v>
      </c>
      <c r="U832" s="150">
        <v>156595787.40000001</v>
      </c>
      <c r="V832" s="138">
        <v>0</v>
      </c>
      <c r="W832" s="36">
        <f>Table2[[#This Row],[Construction Contract Amount]]+Table2[[#This Row],[Cumulative Variations]]</f>
        <v>156595787.40000001</v>
      </c>
      <c r="X832" s="236">
        <f t="shared" si="60"/>
        <v>5091000</v>
      </c>
      <c r="Y832" s="36"/>
      <c r="Z832" s="36">
        <f>Table2[[#This Row],[Final Contract Value]]+Table2[[#This Row],[Supervision Contract amount]]+Table2[[#This Row],[Authority Cost]]</f>
        <v>161686787.40000001</v>
      </c>
      <c r="AA832" s="36"/>
      <c r="AB832" s="36"/>
      <c r="AC832" s="102" t="str">
        <f t="shared" si="57"/>
        <v>https://drive.google.com/thumbnail?id=1w6UPVTFIWsnJWkkyxF5dCN9sAVW3V2Q2&amp;sz=w1000</v>
      </c>
      <c r="AD832" s="234" t="s">
        <v>947</v>
      </c>
      <c r="AE832" s="103" t="str">
        <f t="shared" si="58"/>
        <v>https://drive.google.com/thumbnail?id=1oou1Xw9DcJtqi1GXuDypx-S_Vc2uTt_m&amp;sz=w1000</v>
      </c>
      <c r="AF832" s="234" t="s">
        <v>951</v>
      </c>
      <c r="AG832" s="90" t="str">
        <f t="shared" si="59"/>
        <v>https://drive.google.com/thumbnail?id=1ngIc8spFoqQC5sawSrHTxKP7CmN_SYxy&amp;sz=w1000</v>
      </c>
      <c r="AH832" s="235" t="s">
        <v>955</v>
      </c>
    </row>
    <row r="833" spans="1:34" ht="22.15" customHeight="1">
      <c r="A833" s="30">
        <v>45548</v>
      </c>
      <c r="B833" s="17" t="s">
        <v>160</v>
      </c>
      <c r="C833" s="17" t="s">
        <v>162</v>
      </c>
      <c r="D833" s="16" t="str" cm="1">
        <f t="array" ref="D833">_xlfn.XLOOKUP(1, (Table1[Project Name]=Table2[[#This Row],[Project ID]])*(Table1[Plot]=Table2[[#This Row],[Plot]]), Table1[Project ID])</f>
        <v>CP-05</v>
      </c>
      <c r="E833" s="174">
        <v>61</v>
      </c>
      <c r="F833" s="174">
        <v>488</v>
      </c>
      <c r="G833" s="69">
        <f>Table2[[#This Row],[Time Elapsed]]+Table2[[#This Row],[Time Remaining]]</f>
        <v>549</v>
      </c>
      <c r="H833" s="136" t="s">
        <v>929</v>
      </c>
      <c r="I833" s="136" t="s">
        <v>930</v>
      </c>
      <c r="J833" s="13">
        <v>1.2500000000000001E-2</v>
      </c>
      <c r="K833" s="137">
        <v>7.1999999999999998E-3</v>
      </c>
      <c r="L833" s="13">
        <f>Table2[[#This Row],[Actual %]]-Table2[[#This Row],[Plan %]]</f>
        <v>-5.3000000000000009E-3</v>
      </c>
      <c r="M833" s="232" t="s">
        <v>938</v>
      </c>
      <c r="N833" s="193">
        <v>46006</v>
      </c>
      <c r="O833" s="193"/>
      <c r="P833" s="193">
        <v>45991</v>
      </c>
      <c r="Q833" s="198">
        <v>45555</v>
      </c>
      <c r="R833" s="136" t="s">
        <v>932</v>
      </c>
      <c r="S833" s="136" t="s">
        <v>933</v>
      </c>
      <c r="T833" s="136" t="s">
        <v>943</v>
      </c>
      <c r="U833" s="150">
        <v>156595787.40000001</v>
      </c>
      <c r="V833" s="138">
        <v>0</v>
      </c>
      <c r="W833" s="36">
        <f>Table2[[#This Row],[Construction Contract Amount]]+Table2[[#This Row],[Cumulative Variations]]</f>
        <v>156595787.40000001</v>
      </c>
      <c r="X833" s="236">
        <f t="shared" si="60"/>
        <v>5091000</v>
      </c>
      <c r="Y833" s="36"/>
      <c r="Z833" s="36">
        <f>Table2[[#This Row],[Final Contract Value]]+Table2[[#This Row],[Supervision Contract amount]]+Table2[[#This Row],[Authority Cost]]</f>
        <v>161686787.40000001</v>
      </c>
      <c r="AA833" s="36"/>
      <c r="AB833" s="36"/>
      <c r="AC833" s="102" t="str">
        <f t="shared" si="57"/>
        <v>https://drive.google.com/thumbnail?id=1w6UPVTFIWsnJWkkyxF5dCN9sAVW3V2Q2&amp;sz=w1000</v>
      </c>
      <c r="AD833" s="234" t="s">
        <v>947</v>
      </c>
      <c r="AE833" s="103" t="str">
        <f t="shared" si="58"/>
        <v>https://drive.google.com/thumbnail?id=1oou1Xw9DcJtqi1GXuDypx-S_Vc2uTt_m&amp;sz=w1000</v>
      </c>
      <c r="AF833" s="234" t="s">
        <v>951</v>
      </c>
      <c r="AG833" s="90" t="str">
        <f t="shared" si="59"/>
        <v>https://drive.google.com/thumbnail?id=1ngIc8spFoqQC5sawSrHTxKP7CmN_SYxy&amp;sz=w1000</v>
      </c>
      <c r="AH833" s="235" t="s">
        <v>955</v>
      </c>
    </row>
    <row r="834" spans="1:34" ht="22.15" customHeight="1">
      <c r="A834" s="30">
        <v>45548</v>
      </c>
      <c r="B834" s="17" t="s">
        <v>160</v>
      </c>
      <c r="C834" s="17" t="s">
        <v>162</v>
      </c>
      <c r="D834" s="16" t="str" cm="1">
        <f t="array" ref="D834">_xlfn.XLOOKUP(1, (Table1[Project Name]=Table2[[#This Row],[Project ID]])*(Table1[Plot]=Table2[[#This Row],[Plot]]), Table1[Project ID])</f>
        <v>CP-05</v>
      </c>
      <c r="E834" s="174">
        <v>61</v>
      </c>
      <c r="F834" s="174">
        <v>488</v>
      </c>
      <c r="G834" s="69">
        <f>Table2[[#This Row],[Time Elapsed]]+Table2[[#This Row],[Time Remaining]]</f>
        <v>549</v>
      </c>
      <c r="H834" s="136" t="s">
        <v>929</v>
      </c>
      <c r="I834" s="136" t="s">
        <v>930</v>
      </c>
      <c r="J834" s="13">
        <v>1.2500000000000001E-2</v>
      </c>
      <c r="K834" s="137">
        <v>7.1999999999999998E-3</v>
      </c>
      <c r="L834" s="13">
        <f>Table2[[#This Row],[Actual %]]-Table2[[#This Row],[Plan %]]</f>
        <v>-5.3000000000000009E-3</v>
      </c>
      <c r="M834" s="232" t="s">
        <v>939</v>
      </c>
      <c r="N834" s="193">
        <v>46014</v>
      </c>
      <c r="O834" s="193"/>
      <c r="P834" s="193">
        <v>46001</v>
      </c>
      <c r="Q834" s="198">
        <v>45555</v>
      </c>
      <c r="R834" s="136" t="s">
        <v>932</v>
      </c>
      <c r="S834" s="136" t="s">
        <v>933</v>
      </c>
      <c r="T834" s="136" t="s">
        <v>943</v>
      </c>
      <c r="U834" s="150">
        <v>156595787.40000001</v>
      </c>
      <c r="V834" s="138">
        <v>0</v>
      </c>
      <c r="W834" s="36">
        <f>Table2[[#This Row],[Construction Contract Amount]]+Table2[[#This Row],[Cumulative Variations]]</f>
        <v>156595787.40000001</v>
      </c>
      <c r="X834" s="236">
        <f t="shared" si="60"/>
        <v>5091000</v>
      </c>
      <c r="Y834" s="36"/>
      <c r="Z834" s="36">
        <f>Table2[[#This Row],[Final Contract Value]]+Table2[[#This Row],[Supervision Contract amount]]+Table2[[#This Row],[Authority Cost]]</f>
        <v>161686787.40000001</v>
      </c>
      <c r="AA834" s="36"/>
      <c r="AB834" s="36"/>
      <c r="AC834" s="102" t="str">
        <f t="shared" si="57"/>
        <v>https://drive.google.com/thumbnail?id=1w6UPVTFIWsnJWkkyxF5dCN9sAVW3V2Q2&amp;sz=w1000</v>
      </c>
      <c r="AD834" s="234" t="s">
        <v>947</v>
      </c>
      <c r="AE834" s="103" t="str">
        <f t="shared" si="58"/>
        <v>https://drive.google.com/thumbnail?id=1oou1Xw9DcJtqi1GXuDypx-S_Vc2uTt_m&amp;sz=w1000</v>
      </c>
      <c r="AF834" s="234" t="s">
        <v>951</v>
      </c>
      <c r="AG834" s="90" t="str">
        <f t="shared" si="59"/>
        <v>https://drive.google.com/thumbnail?id=1ngIc8spFoqQC5sawSrHTxKP7CmN_SYxy&amp;sz=w1000</v>
      </c>
      <c r="AH834" s="235" t="s">
        <v>955</v>
      </c>
    </row>
    <row r="835" spans="1:34" ht="22.15" customHeight="1">
      <c r="A835" s="30">
        <v>45548</v>
      </c>
      <c r="B835" s="17" t="s">
        <v>160</v>
      </c>
      <c r="C835" s="17" t="s">
        <v>162</v>
      </c>
      <c r="D835" s="16" t="str" cm="1">
        <f t="array" ref="D835">_xlfn.XLOOKUP(1, (Table1[Project Name]=Table2[[#This Row],[Project ID]])*(Table1[Plot]=Table2[[#This Row],[Plot]]), Table1[Project ID])</f>
        <v>CP-05</v>
      </c>
      <c r="E835" s="174">
        <v>61</v>
      </c>
      <c r="F835" s="174">
        <v>488</v>
      </c>
      <c r="G835" s="69">
        <f>Table2[[#This Row],[Time Elapsed]]+Table2[[#This Row],[Time Remaining]]</f>
        <v>549</v>
      </c>
      <c r="H835" s="136" t="s">
        <v>929</v>
      </c>
      <c r="I835" s="136" t="s">
        <v>930</v>
      </c>
      <c r="J835" s="13">
        <v>1.2500000000000001E-2</v>
      </c>
      <c r="K835" s="137">
        <v>7.1999999999999998E-3</v>
      </c>
      <c r="L835" s="13">
        <f>Table2[[#This Row],[Actual %]]-Table2[[#This Row],[Plan %]]</f>
        <v>-5.3000000000000009E-3</v>
      </c>
      <c r="M835" s="232" t="s">
        <v>940</v>
      </c>
      <c r="N835" s="193">
        <v>46009</v>
      </c>
      <c r="O835" s="193"/>
      <c r="P835" s="193">
        <v>46009</v>
      </c>
      <c r="Q835" s="198">
        <v>45555</v>
      </c>
      <c r="R835" s="136" t="s">
        <v>932</v>
      </c>
      <c r="S835" s="136" t="s">
        <v>933</v>
      </c>
      <c r="T835" s="136" t="s">
        <v>943</v>
      </c>
      <c r="U835" s="150">
        <v>156595787.40000001</v>
      </c>
      <c r="V835" s="138">
        <v>0</v>
      </c>
      <c r="W835" s="36">
        <f>Table2[[#This Row],[Construction Contract Amount]]+Table2[[#This Row],[Cumulative Variations]]</f>
        <v>156595787.40000001</v>
      </c>
      <c r="X835" s="236">
        <f t="shared" si="60"/>
        <v>5091000</v>
      </c>
      <c r="Y835" s="36"/>
      <c r="Z835" s="36">
        <f>Table2[[#This Row],[Final Contract Value]]+Table2[[#This Row],[Supervision Contract amount]]+Table2[[#This Row],[Authority Cost]]</f>
        <v>161686787.40000001</v>
      </c>
      <c r="AA835" s="36"/>
      <c r="AB835" s="36"/>
      <c r="AC835" s="102" t="str">
        <f t="shared" si="57"/>
        <v>https://drive.google.com/thumbnail?id=1w6UPVTFIWsnJWkkyxF5dCN9sAVW3V2Q2&amp;sz=w1000</v>
      </c>
      <c r="AD835" s="234" t="s">
        <v>947</v>
      </c>
      <c r="AE835" s="103" t="str">
        <f t="shared" si="58"/>
        <v>https://drive.google.com/thumbnail?id=1oou1Xw9DcJtqi1GXuDypx-S_Vc2uTt_m&amp;sz=w1000</v>
      </c>
      <c r="AF835" s="234" t="s">
        <v>951</v>
      </c>
      <c r="AG835" s="90" t="str">
        <f t="shared" si="59"/>
        <v>https://drive.google.com/thumbnail?id=1ngIc8spFoqQC5sawSrHTxKP7CmN_SYxy&amp;sz=w1000</v>
      </c>
      <c r="AH835" s="235" t="s">
        <v>955</v>
      </c>
    </row>
    <row r="836" spans="1:34" ht="22.15" customHeight="1">
      <c r="A836" s="30">
        <v>45548</v>
      </c>
      <c r="B836" s="17" t="s">
        <v>160</v>
      </c>
      <c r="C836" s="17" t="s">
        <v>162</v>
      </c>
      <c r="D836" s="16" t="str" cm="1">
        <f t="array" ref="D836">_xlfn.XLOOKUP(1, (Table1[Project Name]=Table2[[#This Row],[Project ID]])*(Table1[Plot]=Table2[[#This Row],[Plot]]), Table1[Project ID])</f>
        <v>CP-05</v>
      </c>
      <c r="E836" s="174">
        <v>61</v>
      </c>
      <c r="F836" s="174">
        <v>488</v>
      </c>
      <c r="G836" s="69">
        <f>Table2[[#This Row],[Time Elapsed]]+Table2[[#This Row],[Time Remaining]]</f>
        <v>549</v>
      </c>
      <c r="H836" s="136" t="s">
        <v>929</v>
      </c>
      <c r="I836" s="136" t="s">
        <v>930</v>
      </c>
      <c r="J836" s="13">
        <v>1.2500000000000001E-2</v>
      </c>
      <c r="K836" s="137">
        <v>7.1999999999999998E-3</v>
      </c>
      <c r="L836" s="13">
        <f>Table2[[#This Row],[Actual %]]-Table2[[#This Row],[Plan %]]</f>
        <v>-5.3000000000000009E-3</v>
      </c>
      <c r="M836" s="232" t="s">
        <v>283</v>
      </c>
      <c r="N836" s="193">
        <v>46021</v>
      </c>
      <c r="O836" s="193"/>
      <c r="P836" s="193">
        <v>46021</v>
      </c>
      <c r="Q836" s="198">
        <v>45555</v>
      </c>
      <c r="R836" s="136" t="s">
        <v>932</v>
      </c>
      <c r="S836" s="136" t="s">
        <v>933</v>
      </c>
      <c r="T836" s="136" t="s">
        <v>943</v>
      </c>
      <c r="U836" s="150">
        <v>156595787.40000001</v>
      </c>
      <c r="V836" s="138">
        <v>0</v>
      </c>
      <c r="W836" s="36">
        <f>Table2[[#This Row],[Construction Contract Amount]]+Table2[[#This Row],[Cumulative Variations]]</f>
        <v>156595787.40000001</v>
      </c>
      <c r="X836" s="236">
        <f t="shared" si="60"/>
        <v>5091000</v>
      </c>
      <c r="Y836" s="36"/>
      <c r="Z836" s="36">
        <f>Table2[[#This Row],[Final Contract Value]]+Table2[[#This Row],[Supervision Contract amount]]+Table2[[#This Row],[Authority Cost]]</f>
        <v>161686787.40000001</v>
      </c>
      <c r="AA836" s="36"/>
      <c r="AB836" s="36"/>
      <c r="AC836" s="102" t="str">
        <f t="shared" si="57"/>
        <v>https://drive.google.com/thumbnail?id=1w6UPVTFIWsnJWkkyxF5dCN9sAVW3V2Q2&amp;sz=w1000</v>
      </c>
      <c r="AD836" s="234" t="s">
        <v>947</v>
      </c>
      <c r="AE836" s="103" t="str">
        <f t="shared" si="58"/>
        <v>https://drive.google.com/thumbnail?id=1oou1Xw9DcJtqi1GXuDypx-S_Vc2uTt_m&amp;sz=w1000</v>
      </c>
      <c r="AF836" s="234" t="s">
        <v>951</v>
      </c>
      <c r="AG836" s="90" t="str">
        <f t="shared" si="59"/>
        <v>https://drive.google.com/thumbnail?id=1ngIc8spFoqQC5sawSrHTxKP7CmN_SYxy&amp;sz=w1000</v>
      </c>
      <c r="AH836" s="235" t="s">
        <v>955</v>
      </c>
    </row>
    <row r="837" spans="1:34" ht="22.15" customHeight="1">
      <c r="A837" s="30">
        <v>45548</v>
      </c>
      <c r="B837" s="17" t="s">
        <v>160</v>
      </c>
      <c r="C837" s="17" t="s">
        <v>162</v>
      </c>
      <c r="D837" s="16" t="str" cm="1">
        <f t="array" ref="D837">_xlfn.XLOOKUP(1, (Table1[Project Name]=Table2[[#This Row],[Project ID]])*(Table1[Plot]=Table2[[#This Row],[Plot]]), Table1[Project ID])</f>
        <v>CP-05</v>
      </c>
      <c r="E837" s="174">
        <v>61</v>
      </c>
      <c r="F837" s="174">
        <v>488</v>
      </c>
      <c r="G837" s="69">
        <f>Table2[[#This Row],[Time Elapsed]]+Table2[[#This Row],[Time Remaining]]</f>
        <v>549</v>
      </c>
      <c r="H837" s="136" t="s">
        <v>929</v>
      </c>
      <c r="I837" s="136" t="s">
        <v>930</v>
      </c>
      <c r="J837" s="13">
        <v>1.2500000000000001E-2</v>
      </c>
      <c r="K837" s="137">
        <v>7.1999999999999998E-3</v>
      </c>
      <c r="L837" s="13">
        <f>Table2[[#This Row],[Actual %]]-Table2[[#This Row],[Plan %]]</f>
        <v>-5.3000000000000009E-3</v>
      </c>
      <c r="M837" s="232" t="s">
        <v>941</v>
      </c>
      <c r="N837" s="193">
        <v>46036</v>
      </c>
      <c r="O837" s="193"/>
      <c r="P837" s="193">
        <v>46036</v>
      </c>
      <c r="Q837" s="198">
        <v>45555</v>
      </c>
      <c r="R837" s="136" t="s">
        <v>932</v>
      </c>
      <c r="S837" s="136" t="s">
        <v>933</v>
      </c>
      <c r="T837" s="136" t="s">
        <v>943</v>
      </c>
      <c r="U837" s="150">
        <v>156595787.40000001</v>
      </c>
      <c r="V837" s="138">
        <v>0</v>
      </c>
      <c r="W837" s="36">
        <f>Table2[[#This Row],[Construction Contract Amount]]+Table2[[#This Row],[Cumulative Variations]]</f>
        <v>156595787.40000001</v>
      </c>
      <c r="X837" s="236">
        <f t="shared" si="60"/>
        <v>5091000</v>
      </c>
      <c r="Y837" s="36"/>
      <c r="Z837" s="36">
        <f>Table2[[#This Row],[Final Contract Value]]+Table2[[#This Row],[Supervision Contract amount]]+Table2[[#This Row],[Authority Cost]]</f>
        <v>161686787.40000001</v>
      </c>
      <c r="AA837" s="36"/>
      <c r="AB837" s="36"/>
      <c r="AC837" s="102" t="str">
        <f t="shared" si="57"/>
        <v>https://drive.google.com/thumbnail?id=1w6UPVTFIWsnJWkkyxF5dCN9sAVW3V2Q2&amp;sz=w1000</v>
      </c>
      <c r="AD837" s="234" t="s">
        <v>947</v>
      </c>
      <c r="AE837" s="103" t="str">
        <f t="shared" si="58"/>
        <v>https://drive.google.com/thumbnail?id=1oou1Xw9DcJtqi1GXuDypx-S_Vc2uTt_m&amp;sz=w1000</v>
      </c>
      <c r="AF837" s="234" t="s">
        <v>951</v>
      </c>
      <c r="AG837" s="90" t="str">
        <f t="shared" si="59"/>
        <v>https://drive.google.com/thumbnail?id=1ngIc8spFoqQC5sawSrHTxKP7CmN_SYxy&amp;sz=w1000</v>
      </c>
      <c r="AH837" s="235" t="s">
        <v>955</v>
      </c>
    </row>
    <row r="838" spans="1:34" ht="22.15" customHeight="1">
      <c r="A838" s="30">
        <v>45548</v>
      </c>
      <c r="B838" s="17" t="s">
        <v>164</v>
      </c>
      <c r="C838" s="17" t="s">
        <v>166</v>
      </c>
      <c r="D838" s="16" t="str" cm="1">
        <f t="array" ref="D838">_xlfn.XLOOKUP(1, (Table1[Project Name]=Table2[[#This Row],[Project ID]])*(Table1[Plot]=Table2[[#This Row],[Plot]]), Table1[Project ID])</f>
        <v>CP-06</v>
      </c>
      <c r="E838" s="174">
        <v>61</v>
      </c>
      <c r="F838" s="174">
        <v>488</v>
      </c>
      <c r="G838" s="69">
        <f>Table2[[#This Row],[Time Elapsed]]+Table2[[#This Row],[Time Remaining]]</f>
        <v>549</v>
      </c>
      <c r="H838" s="136" t="s">
        <v>929</v>
      </c>
      <c r="I838" s="136" t="s">
        <v>930</v>
      </c>
      <c r="J838" s="13">
        <v>9.1999999999999998E-3</v>
      </c>
      <c r="K838" s="137">
        <v>6.4999999999999997E-3</v>
      </c>
      <c r="L838" s="13">
        <f>Table2[[#This Row],[Actual %]]-Table2[[#This Row],[Plan %]]</f>
        <v>-2.7000000000000001E-3</v>
      </c>
      <c r="M838" s="232" t="s">
        <v>931</v>
      </c>
      <c r="N838" s="193">
        <v>45488</v>
      </c>
      <c r="O838" s="193">
        <v>45488</v>
      </c>
      <c r="P838" s="193"/>
      <c r="Q838" s="198">
        <v>45555</v>
      </c>
      <c r="R838" s="136" t="s">
        <v>932</v>
      </c>
      <c r="S838" s="136" t="s">
        <v>933</v>
      </c>
      <c r="T838" s="136" t="s">
        <v>944</v>
      </c>
      <c r="U838" s="150">
        <v>138529483.65000001</v>
      </c>
      <c r="V838" s="138">
        <v>0</v>
      </c>
      <c r="W838" s="36">
        <f>Table2[[#This Row],[Construction Contract Amount]]+Table2[[#This Row],[Cumulative Variations]]</f>
        <v>138529483.65000001</v>
      </c>
      <c r="X838" s="236">
        <f t="shared" si="60"/>
        <v>5091000</v>
      </c>
      <c r="Y838" s="36"/>
      <c r="Z838" s="36">
        <f>Table2[[#This Row],[Final Contract Value]]+Table2[[#This Row],[Supervision Contract amount]]+Table2[[#This Row],[Authority Cost]]</f>
        <v>143620483.65000001</v>
      </c>
      <c r="AA838" s="36"/>
      <c r="AB838" s="36"/>
      <c r="AC838" s="102" t="str">
        <f t="shared" si="57"/>
        <v>https://drive.google.com/thumbnail?id=1ql2wmKd_mPzsUzcZkX5yKkUVALauijhq&amp;sz=w1000</v>
      </c>
      <c r="AD838" s="234" t="s">
        <v>948</v>
      </c>
      <c r="AE838" s="103" t="str">
        <f t="shared" si="58"/>
        <v>https://drive.google.com/thumbnail?id=1WjDW2P48-BeEh7ExGxGXY9qQkIk4y4Uy&amp;sz=w1000</v>
      </c>
      <c r="AF838" s="234" t="s">
        <v>952</v>
      </c>
      <c r="AG838" s="90" t="str">
        <f t="shared" si="59"/>
        <v>https://drive.google.com/thumbnail?id=1LyxeudZcv-MJsdF41NW4BrCMx1QZxtcg&amp;sz=w1000</v>
      </c>
      <c r="AH838" s="235" t="s">
        <v>956</v>
      </c>
    </row>
    <row r="839" spans="1:34" ht="22.15" customHeight="1">
      <c r="A839" s="30">
        <v>45548</v>
      </c>
      <c r="B839" s="17" t="s">
        <v>164</v>
      </c>
      <c r="C839" s="17" t="s">
        <v>166</v>
      </c>
      <c r="D839" s="16" t="str" cm="1">
        <f t="array" ref="D839">_xlfn.XLOOKUP(1, (Table1[Project Name]=Table2[[#This Row],[Project ID]])*(Table1[Plot]=Table2[[#This Row],[Plot]]), Table1[Project ID])</f>
        <v>CP-06</v>
      </c>
      <c r="E839" s="174">
        <v>61</v>
      </c>
      <c r="F839" s="174">
        <v>488</v>
      </c>
      <c r="G839" s="69">
        <f>Table2[[#This Row],[Time Elapsed]]+Table2[[#This Row],[Time Remaining]]</f>
        <v>549</v>
      </c>
      <c r="H839" s="136" t="s">
        <v>929</v>
      </c>
      <c r="I839" s="136" t="s">
        <v>930</v>
      </c>
      <c r="J839" s="13">
        <v>9.1999999999999998E-3</v>
      </c>
      <c r="K839" s="137">
        <v>6.4999999999999997E-3</v>
      </c>
      <c r="L839" s="13">
        <f>Table2[[#This Row],[Actual %]]-Table2[[#This Row],[Plan %]]</f>
        <v>-2.7000000000000001E-3</v>
      </c>
      <c r="M839" s="232" t="s">
        <v>935</v>
      </c>
      <c r="N839" s="193">
        <v>45870</v>
      </c>
      <c r="O839" s="193"/>
      <c r="P839" s="193">
        <v>45593</v>
      </c>
      <c r="Q839" s="198">
        <v>45555</v>
      </c>
      <c r="R839" s="136" t="s">
        <v>932</v>
      </c>
      <c r="S839" s="136" t="s">
        <v>933</v>
      </c>
      <c r="T839" s="136" t="s">
        <v>944</v>
      </c>
      <c r="U839" s="150">
        <v>138529483.65000001</v>
      </c>
      <c r="V839" s="138">
        <v>0</v>
      </c>
      <c r="W839" s="36">
        <f>Table2[[#This Row],[Construction Contract Amount]]+Table2[[#This Row],[Cumulative Variations]]</f>
        <v>138529483.65000001</v>
      </c>
      <c r="X839" s="236">
        <f t="shared" si="60"/>
        <v>5091000</v>
      </c>
      <c r="Y839" s="36"/>
      <c r="Z839" s="36">
        <f>Table2[[#This Row],[Final Contract Value]]+Table2[[#This Row],[Supervision Contract amount]]+Table2[[#This Row],[Authority Cost]]</f>
        <v>143620483.65000001</v>
      </c>
      <c r="AA839" s="36"/>
      <c r="AB839" s="36"/>
      <c r="AC839" s="102" t="str">
        <f t="shared" si="57"/>
        <v>https://drive.google.com/thumbnail?id=1ql2wmKd_mPzsUzcZkX5yKkUVALauijhq&amp;sz=w1000</v>
      </c>
      <c r="AD839" s="234" t="s">
        <v>948</v>
      </c>
      <c r="AE839" s="103" t="str">
        <f t="shared" si="58"/>
        <v>https://drive.google.com/thumbnail?id=1WjDW2P48-BeEh7ExGxGXY9qQkIk4y4Uy&amp;sz=w1000</v>
      </c>
      <c r="AF839" s="234" t="s">
        <v>952</v>
      </c>
      <c r="AG839" s="90" t="str">
        <f t="shared" si="59"/>
        <v>https://drive.google.com/thumbnail?id=1LyxeudZcv-MJsdF41NW4BrCMx1QZxtcg&amp;sz=w1000</v>
      </c>
      <c r="AH839" s="235" t="s">
        <v>956</v>
      </c>
    </row>
    <row r="840" spans="1:34" ht="22.15" customHeight="1">
      <c r="A840" s="30">
        <v>45548</v>
      </c>
      <c r="B840" s="17" t="s">
        <v>164</v>
      </c>
      <c r="C840" s="17" t="s">
        <v>166</v>
      </c>
      <c r="D840" s="16" t="str" cm="1">
        <f t="array" ref="D840">_xlfn.XLOOKUP(1, (Table1[Project Name]=Table2[[#This Row],[Project ID]])*(Table1[Plot]=Table2[[#This Row],[Plot]]), Table1[Project ID])</f>
        <v>CP-06</v>
      </c>
      <c r="E840" s="174">
        <v>61</v>
      </c>
      <c r="F840" s="174">
        <v>488</v>
      </c>
      <c r="G840" s="69">
        <f>Table2[[#This Row],[Time Elapsed]]+Table2[[#This Row],[Time Remaining]]</f>
        <v>549</v>
      </c>
      <c r="H840" s="136" t="s">
        <v>929</v>
      </c>
      <c r="I840" s="136" t="s">
        <v>930</v>
      </c>
      <c r="J840" s="13">
        <v>9.1999999999999998E-3</v>
      </c>
      <c r="K840" s="137">
        <v>6.4999999999999997E-3</v>
      </c>
      <c r="L840" s="13">
        <f>Table2[[#This Row],[Actual %]]-Table2[[#This Row],[Plan %]]</f>
        <v>-2.7000000000000001E-3</v>
      </c>
      <c r="M840" s="232" t="s">
        <v>936</v>
      </c>
      <c r="N840" s="193">
        <v>45808</v>
      </c>
      <c r="O840" s="193"/>
      <c r="P840" s="193">
        <v>45808</v>
      </c>
      <c r="Q840" s="198">
        <v>45555</v>
      </c>
      <c r="R840" s="136" t="s">
        <v>932</v>
      </c>
      <c r="S840" s="136" t="s">
        <v>933</v>
      </c>
      <c r="T840" s="136" t="s">
        <v>944</v>
      </c>
      <c r="U840" s="150">
        <v>138529483.65000001</v>
      </c>
      <c r="V840" s="138">
        <v>0</v>
      </c>
      <c r="W840" s="36">
        <f>Table2[[#This Row],[Construction Contract Amount]]+Table2[[#This Row],[Cumulative Variations]]</f>
        <v>138529483.65000001</v>
      </c>
      <c r="X840" s="236">
        <f t="shared" si="60"/>
        <v>5091000</v>
      </c>
      <c r="Y840" s="36"/>
      <c r="Z840" s="36">
        <f>Table2[[#This Row],[Final Contract Value]]+Table2[[#This Row],[Supervision Contract amount]]+Table2[[#This Row],[Authority Cost]]</f>
        <v>143620483.65000001</v>
      </c>
      <c r="AA840" s="36"/>
      <c r="AB840" s="36"/>
      <c r="AC840" s="102" t="str">
        <f t="shared" si="57"/>
        <v>https://drive.google.com/thumbnail?id=1ql2wmKd_mPzsUzcZkX5yKkUVALauijhq&amp;sz=w1000</v>
      </c>
      <c r="AD840" s="234" t="s">
        <v>948</v>
      </c>
      <c r="AE840" s="103" t="str">
        <f t="shared" si="58"/>
        <v>https://drive.google.com/thumbnail?id=1WjDW2P48-BeEh7ExGxGXY9qQkIk4y4Uy&amp;sz=w1000</v>
      </c>
      <c r="AF840" s="234" t="s">
        <v>952</v>
      </c>
      <c r="AG840" s="90" t="str">
        <f t="shared" si="59"/>
        <v>https://drive.google.com/thumbnail?id=1LyxeudZcv-MJsdF41NW4BrCMx1QZxtcg&amp;sz=w1000</v>
      </c>
      <c r="AH840" s="235" t="s">
        <v>956</v>
      </c>
    </row>
    <row r="841" spans="1:34" ht="22.15" customHeight="1">
      <c r="A841" s="30">
        <v>45548</v>
      </c>
      <c r="B841" s="17" t="s">
        <v>164</v>
      </c>
      <c r="C841" s="17" t="s">
        <v>166</v>
      </c>
      <c r="D841" s="16" t="str" cm="1">
        <f t="array" ref="D841">_xlfn.XLOOKUP(1, (Table1[Project Name]=Table2[[#This Row],[Project ID]])*(Table1[Plot]=Table2[[#This Row],[Plot]]), Table1[Project ID])</f>
        <v>CP-06</v>
      </c>
      <c r="E841" s="174">
        <v>61</v>
      </c>
      <c r="F841" s="174">
        <v>488</v>
      </c>
      <c r="G841" s="69">
        <f>Table2[[#This Row],[Time Elapsed]]+Table2[[#This Row],[Time Remaining]]</f>
        <v>549</v>
      </c>
      <c r="H841" s="136" t="s">
        <v>929</v>
      </c>
      <c r="I841" s="136" t="s">
        <v>930</v>
      </c>
      <c r="J841" s="13">
        <v>9.1999999999999998E-3</v>
      </c>
      <c r="K841" s="137">
        <v>6.4999999999999997E-3</v>
      </c>
      <c r="L841" s="13">
        <f>Table2[[#This Row],[Actual %]]-Table2[[#This Row],[Plan %]]</f>
        <v>-2.7000000000000001E-3</v>
      </c>
      <c r="M841" s="232" t="s">
        <v>937</v>
      </c>
      <c r="N841" s="193">
        <v>46006</v>
      </c>
      <c r="O841" s="193"/>
      <c r="P841" s="193">
        <v>45930</v>
      </c>
      <c r="Q841" s="198">
        <v>45555</v>
      </c>
      <c r="R841" s="136" t="s">
        <v>932</v>
      </c>
      <c r="S841" s="136" t="s">
        <v>933</v>
      </c>
      <c r="T841" s="136" t="s">
        <v>944</v>
      </c>
      <c r="U841" s="150">
        <v>138529483.65000001</v>
      </c>
      <c r="V841" s="138">
        <v>0</v>
      </c>
      <c r="W841" s="36">
        <f>Table2[[#This Row],[Construction Contract Amount]]+Table2[[#This Row],[Cumulative Variations]]</f>
        <v>138529483.65000001</v>
      </c>
      <c r="X841" s="236">
        <f t="shared" si="60"/>
        <v>5091000</v>
      </c>
      <c r="Y841" s="36"/>
      <c r="Z841" s="36">
        <f>Table2[[#This Row],[Final Contract Value]]+Table2[[#This Row],[Supervision Contract amount]]+Table2[[#This Row],[Authority Cost]]</f>
        <v>143620483.65000001</v>
      </c>
      <c r="AA841" s="36"/>
      <c r="AB841" s="36"/>
      <c r="AC841" s="102" t="str">
        <f t="shared" si="57"/>
        <v>https://drive.google.com/thumbnail?id=1ql2wmKd_mPzsUzcZkX5yKkUVALauijhq&amp;sz=w1000</v>
      </c>
      <c r="AD841" s="234" t="s">
        <v>948</v>
      </c>
      <c r="AE841" s="103" t="str">
        <f t="shared" si="58"/>
        <v>https://drive.google.com/thumbnail?id=1WjDW2P48-BeEh7ExGxGXY9qQkIk4y4Uy&amp;sz=w1000</v>
      </c>
      <c r="AF841" s="234" t="s">
        <v>952</v>
      </c>
      <c r="AG841" s="90" t="str">
        <f t="shared" si="59"/>
        <v>https://drive.google.com/thumbnail?id=1LyxeudZcv-MJsdF41NW4BrCMx1QZxtcg&amp;sz=w1000</v>
      </c>
      <c r="AH841" s="235" t="s">
        <v>956</v>
      </c>
    </row>
    <row r="842" spans="1:34" ht="22.15" customHeight="1">
      <c r="A842" s="30">
        <v>45548</v>
      </c>
      <c r="B842" s="17" t="s">
        <v>164</v>
      </c>
      <c r="C842" s="17" t="s">
        <v>166</v>
      </c>
      <c r="D842" s="16" t="str" cm="1">
        <f t="array" ref="D842">_xlfn.XLOOKUP(1, (Table1[Project Name]=Table2[[#This Row],[Project ID]])*(Table1[Plot]=Table2[[#This Row],[Plot]]), Table1[Project ID])</f>
        <v>CP-06</v>
      </c>
      <c r="E842" s="174">
        <v>61</v>
      </c>
      <c r="F842" s="174">
        <v>488</v>
      </c>
      <c r="G842" s="69">
        <f>Table2[[#This Row],[Time Elapsed]]+Table2[[#This Row],[Time Remaining]]</f>
        <v>549</v>
      </c>
      <c r="H842" s="136" t="s">
        <v>929</v>
      </c>
      <c r="I842" s="136" t="s">
        <v>930</v>
      </c>
      <c r="J842" s="13">
        <v>9.1999999999999998E-3</v>
      </c>
      <c r="K842" s="137">
        <v>6.4999999999999997E-3</v>
      </c>
      <c r="L842" s="13">
        <f>Table2[[#This Row],[Actual %]]-Table2[[#This Row],[Plan %]]</f>
        <v>-2.7000000000000001E-3</v>
      </c>
      <c r="M842" s="232" t="s">
        <v>938</v>
      </c>
      <c r="N842" s="193">
        <v>46006</v>
      </c>
      <c r="O842" s="193"/>
      <c r="P842" s="193">
        <v>45991</v>
      </c>
      <c r="Q842" s="198">
        <v>45555</v>
      </c>
      <c r="R842" s="136" t="s">
        <v>932</v>
      </c>
      <c r="S842" s="136" t="s">
        <v>933</v>
      </c>
      <c r="T842" s="136" t="s">
        <v>944</v>
      </c>
      <c r="U842" s="150">
        <v>138529483.65000001</v>
      </c>
      <c r="V842" s="138">
        <v>0</v>
      </c>
      <c r="W842" s="36">
        <f>Table2[[#This Row],[Construction Contract Amount]]+Table2[[#This Row],[Cumulative Variations]]</f>
        <v>138529483.65000001</v>
      </c>
      <c r="X842" s="236">
        <f t="shared" si="60"/>
        <v>5091000</v>
      </c>
      <c r="Y842" s="36"/>
      <c r="Z842" s="36">
        <f>Table2[[#This Row],[Final Contract Value]]+Table2[[#This Row],[Supervision Contract amount]]+Table2[[#This Row],[Authority Cost]]</f>
        <v>143620483.65000001</v>
      </c>
      <c r="AA842" s="36"/>
      <c r="AB842" s="36"/>
      <c r="AC842" s="102" t="str">
        <f t="shared" si="57"/>
        <v>https://drive.google.com/thumbnail?id=1ql2wmKd_mPzsUzcZkX5yKkUVALauijhq&amp;sz=w1000</v>
      </c>
      <c r="AD842" s="234" t="s">
        <v>948</v>
      </c>
      <c r="AE842" s="103" t="str">
        <f t="shared" si="58"/>
        <v>https://drive.google.com/thumbnail?id=1WjDW2P48-BeEh7ExGxGXY9qQkIk4y4Uy&amp;sz=w1000</v>
      </c>
      <c r="AF842" s="234" t="s">
        <v>952</v>
      </c>
      <c r="AG842" s="90" t="str">
        <f t="shared" si="59"/>
        <v>https://drive.google.com/thumbnail?id=1LyxeudZcv-MJsdF41NW4BrCMx1QZxtcg&amp;sz=w1000</v>
      </c>
      <c r="AH842" s="235" t="s">
        <v>956</v>
      </c>
    </row>
    <row r="843" spans="1:34" ht="22.15" customHeight="1">
      <c r="A843" s="30">
        <v>45548</v>
      </c>
      <c r="B843" s="17" t="s">
        <v>164</v>
      </c>
      <c r="C843" s="17" t="s">
        <v>166</v>
      </c>
      <c r="D843" s="16" t="str" cm="1">
        <f t="array" ref="D843">_xlfn.XLOOKUP(1, (Table1[Project Name]=Table2[[#This Row],[Project ID]])*(Table1[Plot]=Table2[[#This Row],[Plot]]), Table1[Project ID])</f>
        <v>CP-06</v>
      </c>
      <c r="E843" s="174">
        <v>61</v>
      </c>
      <c r="F843" s="174">
        <v>488</v>
      </c>
      <c r="G843" s="69">
        <f>Table2[[#This Row],[Time Elapsed]]+Table2[[#This Row],[Time Remaining]]</f>
        <v>549</v>
      </c>
      <c r="H843" s="136" t="s">
        <v>929</v>
      </c>
      <c r="I843" s="136" t="s">
        <v>930</v>
      </c>
      <c r="J843" s="13">
        <v>9.1999999999999998E-3</v>
      </c>
      <c r="K843" s="137">
        <v>6.4999999999999997E-3</v>
      </c>
      <c r="L843" s="13">
        <f>Table2[[#This Row],[Actual %]]-Table2[[#This Row],[Plan %]]</f>
        <v>-2.7000000000000001E-3</v>
      </c>
      <c r="M843" s="232" t="s">
        <v>939</v>
      </c>
      <c r="N843" s="193">
        <v>46014</v>
      </c>
      <c r="O843" s="193"/>
      <c r="P843" s="193">
        <v>46001</v>
      </c>
      <c r="Q843" s="198">
        <v>45555</v>
      </c>
      <c r="R843" s="136" t="s">
        <v>932</v>
      </c>
      <c r="S843" s="136" t="s">
        <v>933</v>
      </c>
      <c r="T843" s="136" t="s">
        <v>944</v>
      </c>
      <c r="U843" s="150">
        <v>138529483.65000001</v>
      </c>
      <c r="V843" s="138">
        <v>0</v>
      </c>
      <c r="W843" s="36">
        <f>Table2[[#This Row],[Construction Contract Amount]]+Table2[[#This Row],[Cumulative Variations]]</f>
        <v>138529483.65000001</v>
      </c>
      <c r="X843" s="236">
        <f t="shared" si="60"/>
        <v>5091000</v>
      </c>
      <c r="Y843" s="36"/>
      <c r="Z843" s="36">
        <f>Table2[[#This Row],[Final Contract Value]]+Table2[[#This Row],[Supervision Contract amount]]+Table2[[#This Row],[Authority Cost]]</f>
        <v>143620483.65000001</v>
      </c>
      <c r="AA843" s="36"/>
      <c r="AB843" s="36"/>
      <c r="AC843" s="102" t="str">
        <f t="shared" si="57"/>
        <v>https://drive.google.com/thumbnail?id=1ql2wmKd_mPzsUzcZkX5yKkUVALauijhq&amp;sz=w1000</v>
      </c>
      <c r="AD843" s="234" t="s">
        <v>948</v>
      </c>
      <c r="AE843" s="103" t="str">
        <f t="shared" si="58"/>
        <v>https://drive.google.com/thumbnail?id=1WjDW2P48-BeEh7ExGxGXY9qQkIk4y4Uy&amp;sz=w1000</v>
      </c>
      <c r="AF843" s="234" t="s">
        <v>952</v>
      </c>
      <c r="AG843" s="90" t="str">
        <f t="shared" si="59"/>
        <v>https://drive.google.com/thumbnail?id=1LyxeudZcv-MJsdF41NW4BrCMx1QZxtcg&amp;sz=w1000</v>
      </c>
      <c r="AH843" s="235" t="s">
        <v>956</v>
      </c>
    </row>
    <row r="844" spans="1:34" ht="22.15" customHeight="1">
      <c r="A844" s="30">
        <v>45548</v>
      </c>
      <c r="B844" s="17" t="s">
        <v>164</v>
      </c>
      <c r="C844" s="17" t="s">
        <v>166</v>
      </c>
      <c r="D844" s="16" t="str" cm="1">
        <f t="array" ref="D844">_xlfn.XLOOKUP(1, (Table1[Project Name]=Table2[[#This Row],[Project ID]])*(Table1[Plot]=Table2[[#This Row],[Plot]]), Table1[Project ID])</f>
        <v>CP-06</v>
      </c>
      <c r="E844" s="174">
        <v>61</v>
      </c>
      <c r="F844" s="174">
        <v>488</v>
      </c>
      <c r="G844" s="69">
        <f>Table2[[#This Row],[Time Elapsed]]+Table2[[#This Row],[Time Remaining]]</f>
        <v>549</v>
      </c>
      <c r="H844" s="136" t="s">
        <v>929</v>
      </c>
      <c r="I844" s="136" t="s">
        <v>930</v>
      </c>
      <c r="J844" s="13">
        <v>9.1999999999999998E-3</v>
      </c>
      <c r="K844" s="137">
        <v>6.4999999999999997E-3</v>
      </c>
      <c r="L844" s="13">
        <f>Table2[[#This Row],[Actual %]]-Table2[[#This Row],[Plan %]]</f>
        <v>-2.7000000000000001E-3</v>
      </c>
      <c r="M844" s="232" t="s">
        <v>940</v>
      </c>
      <c r="N844" s="193">
        <v>46009</v>
      </c>
      <c r="O844" s="193"/>
      <c r="P844" s="193">
        <v>46009</v>
      </c>
      <c r="Q844" s="198">
        <v>45555</v>
      </c>
      <c r="R844" s="136" t="s">
        <v>932</v>
      </c>
      <c r="S844" s="136" t="s">
        <v>933</v>
      </c>
      <c r="T844" s="136" t="s">
        <v>944</v>
      </c>
      <c r="U844" s="150">
        <v>138529483.65000001</v>
      </c>
      <c r="V844" s="138">
        <v>0</v>
      </c>
      <c r="W844" s="36">
        <f>Table2[[#This Row],[Construction Contract Amount]]+Table2[[#This Row],[Cumulative Variations]]</f>
        <v>138529483.65000001</v>
      </c>
      <c r="X844" s="236">
        <f t="shared" si="60"/>
        <v>5091000</v>
      </c>
      <c r="Y844" s="36"/>
      <c r="Z844" s="36">
        <f>Table2[[#This Row],[Final Contract Value]]+Table2[[#This Row],[Supervision Contract amount]]+Table2[[#This Row],[Authority Cost]]</f>
        <v>143620483.65000001</v>
      </c>
      <c r="AA844" s="36"/>
      <c r="AB844" s="36"/>
      <c r="AC844" s="102" t="str">
        <f t="shared" si="57"/>
        <v>https://drive.google.com/thumbnail?id=1ql2wmKd_mPzsUzcZkX5yKkUVALauijhq&amp;sz=w1000</v>
      </c>
      <c r="AD844" s="234" t="s">
        <v>948</v>
      </c>
      <c r="AE844" s="103" t="str">
        <f t="shared" si="58"/>
        <v>https://drive.google.com/thumbnail?id=1WjDW2P48-BeEh7ExGxGXY9qQkIk4y4Uy&amp;sz=w1000</v>
      </c>
      <c r="AF844" s="234" t="s">
        <v>952</v>
      </c>
      <c r="AG844" s="90" t="str">
        <f t="shared" si="59"/>
        <v>https://drive.google.com/thumbnail?id=1LyxeudZcv-MJsdF41NW4BrCMx1QZxtcg&amp;sz=w1000</v>
      </c>
      <c r="AH844" s="235" t="s">
        <v>956</v>
      </c>
    </row>
    <row r="845" spans="1:34" ht="22.15" customHeight="1">
      <c r="A845" s="30">
        <v>45548</v>
      </c>
      <c r="B845" s="17" t="s">
        <v>164</v>
      </c>
      <c r="C845" s="17" t="s">
        <v>166</v>
      </c>
      <c r="D845" s="16" t="str" cm="1">
        <f t="array" ref="D845">_xlfn.XLOOKUP(1, (Table1[Project Name]=Table2[[#This Row],[Project ID]])*(Table1[Plot]=Table2[[#This Row],[Plot]]), Table1[Project ID])</f>
        <v>CP-06</v>
      </c>
      <c r="E845" s="174">
        <v>61</v>
      </c>
      <c r="F845" s="174">
        <v>488</v>
      </c>
      <c r="G845" s="69">
        <f>Table2[[#This Row],[Time Elapsed]]+Table2[[#This Row],[Time Remaining]]</f>
        <v>549</v>
      </c>
      <c r="H845" s="136" t="s">
        <v>929</v>
      </c>
      <c r="I845" s="136" t="s">
        <v>930</v>
      </c>
      <c r="J845" s="13">
        <v>9.1999999999999998E-3</v>
      </c>
      <c r="K845" s="137">
        <v>6.4999999999999997E-3</v>
      </c>
      <c r="L845" s="13">
        <f>Table2[[#This Row],[Actual %]]-Table2[[#This Row],[Plan %]]</f>
        <v>-2.7000000000000001E-3</v>
      </c>
      <c r="M845" s="232" t="s">
        <v>283</v>
      </c>
      <c r="N845" s="193">
        <v>46021</v>
      </c>
      <c r="O845" s="193"/>
      <c r="P845" s="193">
        <v>46021</v>
      </c>
      <c r="Q845" s="198">
        <v>45555</v>
      </c>
      <c r="R845" s="136" t="s">
        <v>932</v>
      </c>
      <c r="S845" s="136" t="s">
        <v>933</v>
      </c>
      <c r="T845" s="136" t="s">
        <v>944</v>
      </c>
      <c r="U845" s="150">
        <v>138529483.65000001</v>
      </c>
      <c r="V845" s="138">
        <v>0</v>
      </c>
      <c r="W845" s="36">
        <f>Table2[[#This Row],[Construction Contract Amount]]+Table2[[#This Row],[Cumulative Variations]]</f>
        <v>138529483.65000001</v>
      </c>
      <c r="X845" s="236">
        <f t="shared" si="60"/>
        <v>5091000</v>
      </c>
      <c r="Y845" s="36"/>
      <c r="Z845" s="36">
        <f>Table2[[#This Row],[Final Contract Value]]+Table2[[#This Row],[Supervision Contract amount]]+Table2[[#This Row],[Authority Cost]]</f>
        <v>143620483.65000001</v>
      </c>
      <c r="AA845" s="36"/>
      <c r="AB845" s="36"/>
      <c r="AC845" s="102" t="str">
        <f t="shared" si="57"/>
        <v>https://drive.google.com/thumbnail?id=1ql2wmKd_mPzsUzcZkX5yKkUVALauijhq&amp;sz=w1000</v>
      </c>
      <c r="AD845" s="234" t="s">
        <v>948</v>
      </c>
      <c r="AE845" s="103" t="str">
        <f t="shared" si="58"/>
        <v>https://drive.google.com/thumbnail?id=1WjDW2P48-BeEh7ExGxGXY9qQkIk4y4Uy&amp;sz=w1000</v>
      </c>
      <c r="AF845" s="234" t="s">
        <v>952</v>
      </c>
      <c r="AG845" s="90" t="str">
        <f t="shared" si="59"/>
        <v>https://drive.google.com/thumbnail?id=1LyxeudZcv-MJsdF41NW4BrCMx1QZxtcg&amp;sz=w1000</v>
      </c>
      <c r="AH845" s="235" t="s">
        <v>956</v>
      </c>
    </row>
    <row r="846" spans="1:34" ht="22.15" customHeight="1">
      <c r="A846" s="30">
        <v>45548</v>
      </c>
      <c r="B846" s="17" t="s">
        <v>164</v>
      </c>
      <c r="C846" s="17" t="s">
        <v>166</v>
      </c>
      <c r="D846" s="16" t="str" cm="1">
        <f t="array" ref="D846">_xlfn.XLOOKUP(1, (Table1[Project Name]=Table2[[#This Row],[Project ID]])*(Table1[Plot]=Table2[[#This Row],[Plot]]), Table1[Project ID])</f>
        <v>CP-06</v>
      </c>
      <c r="E846" s="174">
        <v>61</v>
      </c>
      <c r="F846" s="174">
        <v>488</v>
      </c>
      <c r="G846" s="69">
        <f>Table2[[#This Row],[Time Elapsed]]+Table2[[#This Row],[Time Remaining]]</f>
        <v>549</v>
      </c>
      <c r="H846" s="136" t="s">
        <v>929</v>
      </c>
      <c r="I846" s="136" t="s">
        <v>930</v>
      </c>
      <c r="J846" s="13">
        <v>9.1999999999999998E-3</v>
      </c>
      <c r="K846" s="137">
        <v>6.4999999999999997E-3</v>
      </c>
      <c r="L846" s="13">
        <f>Table2[[#This Row],[Actual %]]-Table2[[#This Row],[Plan %]]</f>
        <v>-2.7000000000000001E-3</v>
      </c>
      <c r="M846" s="232" t="s">
        <v>941</v>
      </c>
      <c r="N846" s="193">
        <v>46036</v>
      </c>
      <c r="O846" s="193"/>
      <c r="P846" s="193">
        <v>46036</v>
      </c>
      <c r="Q846" s="198">
        <v>45555</v>
      </c>
      <c r="R846" s="136" t="s">
        <v>932</v>
      </c>
      <c r="S846" s="136" t="s">
        <v>933</v>
      </c>
      <c r="T846" s="136" t="s">
        <v>944</v>
      </c>
      <c r="U846" s="150">
        <v>138529483.65000001</v>
      </c>
      <c r="V846" s="138">
        <v>0</v>
      </c>
      <c r="W846" s="36">
        <f>Table2[[#This Row],[Construction Contract Amount]]+Table2[[#This Row],[Cumulative Variations]]</f>
        <v>138529483.65000001</v>
      </c>
      <c r="X846" s="236">
        <f t="shared" si="60"/>
        <v>5091000</v>
      </c>
      <c r="Y846" s="36"/>
      <c r="Z846" s="36">
        <f>Table2[[#This Row],[Final Contract Value]]+Table2[[#This Row],[Supervision Contract amount]]+Table2[[#This Row],[Authority Cost]]</f>
        <v>143620483.65000001</v>
      </c>
      <c r="AA846" s="36"/>
      <c r="AB846" s="36"/>
      <c r="AC846" s="102" t="str">
        <f t="shared" si="57"/>
        <v>https://drive.google.com/thumbnail?id=1ql2wmKd_mPzsUzcZkX5yKkUVALauijhq&amp;sz=w1000</v>
      </c>
      <c r="AD846" s="234" t="s">
        <v>948</v>
      </c>
      <c r="AE846" s="103" t="str">
        <f t="shared" si="58"/>
        <v>https://drive.google.com/thumbnail?id=1WjDW2P48-BeEh7ExGxGXY9qQkIk4y4Uy&amp;sz=w1000</v>
      </c>
      <c r="AF846" s="234" t="s">
        <v>952</v>
      </c>
      <c r="AG846" s="90" t="str">
        <f t="shared" si="59"/>
        <v>https://drive.google.com/thumbnail?id=1LyxeudZcv-MJsdF41NW4BrCMx1QZxtcg&amp;sz=w1000</v>
      </c>
      <c r="AH846" s="235" t="s">
        <v>956</v>
      </c>
    </row>
    <row r="847" spans="1:34" ht="22.15" customHeight="1">
      <c r="A847" s="30">
        <v>45548</v>
      </c>
      <c r="B847" s="17" t="s">
        <v>135</v>
      </c>
      <c r="C847" s="2">
        <v>10</v>
      </c>
      <c r="D847" s="16" t="str" cm="1">
        <f t="array" ref="D847">_xlfn.XLOOKUP(1, (Table1[Project Name]=Table2[[#This Row],[Project ID]])*(Table1[Plot]=Table2[[#This Row],[Plot]]), Table1[Project ID])</f>
        <v>MJ-10</v>
      </c>
      <c r="E847" s="69">
        <v>61</v>
      </c>
      <c r="F847" s="70">
        <v>547</v>
      </c>
      <c r="G847" s="69">
        <f>Table2[[#This Row],[Time Elapsed]]+Table2[[#This Row],[Time Remaining]]</f>
        <v>608</v>
      </c>
      <c r="H847" s="136" t="s">
        <v>957</v>
      </c>
      <c r="I847" s="136" t="s">
        <v>958</v>
      </c>
      <c r="J847" s="13">
        <v>5.2999999999999999E-2</v>
      </c>
      <c r="K847" s="148">
        <v>1.6400000000000001E-2</v>
      </c>
      <c r="L847" s="13">
        <f>Table2[[#This Row],[Actual %]]-Table2[[#This Row],[Plan %]]</f>
        <v>-3.6599999999999994E-2</v>
      </c>
      <c r="M847" s="142" t="s">
        <v>571</v>
      </c>
      <c r="N847" s="237">
        <v>45495</v>
      </c>
      <c r="O847" s="237">
        <v>45495</v>
      </c>
      <c r="P847" s="237"/>
      <c r="Q847" s="238">
        <v>45555</v>
      </c>
      <c r="R847" s="136" t="s">
        <v>961</v>
      </c>
      <c r="S847" s="136" t="s">
        <v>962</v>
      </c>
      <c r="T847" s="143" t="s">
        <v>963</v>
      </c>
      <c r="U847" s="151">
        <f>255000000/2</f>
        <v>127500000</v>
      </c>
      <c r="V847" s="152">
        <v>0</v>
      </c>
      <c r="W847" s="36">
        <f>Table2[[#This Row],[Construction Contract Amount]]+Table2[[#This Row],[Cumulative Variations]]</f>
        <v>127500000</v>
      </c>
      <c r="X847" s="152">
        <f>11914920/2</f>
        <v>5957460</v>
      </c>
      <c r="Y847" s="152">
        <v>0</v>
      </c>
      <c r="Z847" s="36">
        <f>Table2[[#This Row],[Final Contract Value]]+Table2[[#This Row],[Supervision Contract amount]]+Table2[[#This Row],[Authority Cost]]</f>
        <v>133457460</v>
      </c>
      <c r="AA847" s="152">
        <f>25000000/2</f>
        <v>12500000</v>
      </c>
      <c r="AB847" s="36"/>
      <c r="AC847" s="102" t="str">
        <f t="shared" ref="AC847:AC858" si="61">CONCATENATE("https://drive.google.com/thumbnail?id=", MID(AD847, FIND("/d/", AD847) + 3, FIND("/view", AD847) - FIND("/d/", AD847) - 3), "&amp;sz=w1000")</f>
        <v>https://drive.google.com/thumbnail?id=1mRE_86OJyxRYZgYUPJM_u7Ak456wW--d&amp;sz=w1000</v>
      </c>
      <c r="AD847" s="172" t="s">
        <v>970</v>
      </c>
      <c r="AE847" s="103" t="str">
        <f t="shared" ref="AE847:AE858" si="62">CONCATENATE("https://drive.google.com/thumbnail?id=", MID(AF847, FIND("/d/", AF847) + 3, FIND("/view", AF847) - FIND("/d/", AF847) - 3), "&amp;sz=w1000")</f>
        <v>https://drive.google.com/thumbnail?id=1PENkN1gZNt6kuWDXStzbi8Z0DiwcY8HX&amp;sz=w1000</v>
      </c>
      <c r="AF847" s="239" t="s">
        <v>972</v>
      </c>
      <c r="AG847" s="90" t="str">
        <f t="shared" ref="AG847:AG858" si="63">CONCATENATE("https://drive.google.com/thumbnail?id=", MID(AH847, FIND("/d/", AH847) + 3, FIND("/view", AH847) - FIND("/d/", AH847) - 3), "&amp;sz=w1000")</f>
        <v>https://drive.google.com/thumbnail?id=1W509JmdVlzeICueDgcivjNXJagqJa2qz&amp;sz=w1000</v>
      </c>
      <c r="AH847" s="126" t="s">
        <v>974</v>
      </c>
    </row>
    <row r="848" spans="1:34" ht="22.15" customHeight="1">
      <c r="A848" s="30">
        <v>45548</v>
      </c>
      <c r="B848" s="17" t="s">
        <v>135</v>
      </c>
      <c r="C848" s="2">
        <v>10</v>
      </c>
      <c r="D848" s="16" t="str" cm="1">
        <f t="array" ref="D848">_xlfn.XLOOKUP(1, (Table1[Project Name]=Table2[[#This Row],[Project ID]])*(Table1[Plot]=Table2[[#This Row],[Plot]]), Table1[Project ID])</f>
        <v>MJ-10</v>
      </c>
      <c r="E848" s="69">
        <v>61</v>
      </c>
      <c r="F848" s="70">
        <v>547</v>
      </c>
      <c r="G848" s="69">
        <f>Table2[[#This Row],[Time Elapsed]]+Table2[[#This Row],[Time Remaining]]</f>
        <v>608</v>
      </c>
      <c r="H848" s="136" t="s">
        <v>957</v>
      </c>
      <c r="I848" s="136" t="s">
        <v>958</v>
      </c>
      <c r="J848" s="13">
        <v>5.2999999999999999E-2</v>
      </c>
      <c r="K848" s="148">
        <v>1.6400000000000001E-2</v>
      </c>
      <c r="L848" s="13">
        <f>Table2[[#This Row],[Actual %]]-Table2[[#This Row],[Plan %]]</f>
        <v>-3.6599999999999994E-2</v>
      </c>
      <c r="M848" s="142" t="s">
        <v>964</v>
      </c>
      <c r="N848" s="237">
        <v>45524</v>
      </c>
      <c r="O848" s="237">
        <v>45524</v>
      </c>
      <c r="P848" s="237"/>
      <c r="Q848" s="238">
        <v>45555</v>
      </c>
      <c r="R848" s="136" t="s">
        <v>961</v>
      </c>
      <c r="S848" s="136" t="s">
        <v>962</v>
      </c>
      <c r="T848" s="143" t="s">
        <v>963</v>
      </c>
      <c r="U848" s="151">
        <f t="shared" ref="U848:U858" si="64">255000000/2</f>
        <v>127500000</v>
      </c>
      <c r="V848" s="152">
        <v>0</v>
      </c>
      <c r="W848" s="36">
        <f>Table2[[#This Row],[Construction Contract Amount]]+Table2[[#This Row],[Cumulative Variations]]</f>
        <v>127500000</v>
      </c>
      <c r="X848" s="152">
        <f t="shared" ref="X848:X858" si="65">11914920/2</f>
        <v>5957460</v>
      </c>
      <c r="Y848" s="152">
        <v>0</v>
      </c>
      <c r="Z848" s="36">
        <f>Table2[[#This Row],[Final Contract Value]]+Table2[[#This Row],[Supervision Contract amount]]+Table2[[#This Row],[Authority Cost]]</f>
        <v>133457460</v>
      </c>
      <c r="AA848" s="152">
        <f t="shared" ref="AA848:AA858" si="66">25000000/2</f>
        <v>12500000</v>
      </c>
      <c r="AB848" s="36"/>
      <c r="AC848" s="102" t="str">
        <f t="shared" si="61"/>
        <v>https://drive.google.com/thumbnail?id=1mRE_86OJyxRYZgYUPJM_u7Ak456wW--d&amp;sz=w1000</v>
      </c>
      <c r="AD848" s="172" t="s">
        <v>970</v>
      </c>
      <c r="AE848" s="103" t="str">
        <f t="shared" si="62"/>
        <v>https://drive.google.com/thumbnail?id=1PENkN1gZNt6kuWDXStzbi8Z0DiwcY8HX&amp;sz=w1000</v>
      </c>
      <c r="AF848" s="239" t="s">
        <v>972</v>
      </c>
      <c r="AG848" s="90" t="str">
        <f t="shared" si="63"/>
        <v>https://drive.google.com/thumbnail?id=1W509JmdVlzeICueDgcivjNXJagqJa2qz&amp;sz=w1000</v>
      </c>
      <c r="AH848" s="126" t="s">
        <v>974</v>
      </c>
    </row>
    <row r="849" spans="1:34" ht="22.15" customHeight="1">
      <c r="A849" s="30">
        <v>45548</v>
      </c>
      <c r="B849" s="17" t="s">
        <v>135</v>
      </c>
      <c r="C849" s="2">
        <v>10</v>
      </c>
      <c r="D849" s="16" t="str" cm="1">
        <f t="array" ref="D849">_xlfn.XLOOKUP(1, (Table1[Project Name]=Table2[[#This Row],[Project ID]])*(Table1[Plot]=Table2[[#This Row],[Plot]]), Table1[Project ID])</f>
        <v>MJ-10</v>
      </c>
      <c r="E849" s="69">
        <v>61</v>
      </c>
      <c r="F849" s="70">
        <v>547</v>
      </c>
      <c r="G849" s="69">
        <f>Table2[[#This Row],[Time Elapsed]]+Table2[[#This Row],[Time Remaining]]</f>
        <v>608</v>
      </c>
      <c r="H849" s="136" t="s">
        <v>957</v>
      </c>
      <c r="I849" s="136" t="s">
        <v>958</v>
      </c>
      <c r="J849" s="13">
        <v>5.2999999999999999E-2</v>
      </c>
      <c r="K849" s="148">
        <v>1.6400000000000001E-2</v>
      </c>
      <c r="L849" s="13">
        <f>Table2[[#This Row],[Actual %]]-Table2[[#This Row],[Plan %]]</f>
        <v>-3.6599999999999994E-2</v>
      </c>
      <c r="M849" s="142" t="s">
        <v>965</v>
      </c>
      <c r="N849" s="237">
        <v>45697</v>
      </c>
      <c r="O849" s="237"/>
      <c r="P849" s="237">
        <v>45751</v>
      </c>
      <c r="Q849" s="238">
        <v>45555</v>
      </c>
      <c r="R849" s="136" t="s">
        <v>961</v>
      </c>
      <c r="S849" s="136" t="s">
        <v>962</v>
      </c>
      <c r="T849" s="143" t="s">
        <v>963</v>
      </c>
      <c r="U849" s="151">
        <f t="shared" si="64"/>
        <v>127500000</v>
      </c>
      <c r="V849" s="152">
        <v>0</v>
      </c>
      <c r="W849" s="36">
        <f>Table2[[#This Row],[Construction Contract Amount]]+Table2[[#This Row],[Cumulative Variations]]</f>
        <v>127500000</v>
      </c>
      <c r="X849" s="152">
        <f t="shared" si="65"/>
        <v>5957460</v>
      </c>
      <c r="Y849" s="152">
        <v>0</v>
      </c>
      <c r="Z849" s="36">
        <f>Table2[[#This Row],[Final Contract Value]]+Table2[[#This Row],[Supervision Contract amount]]+Table2[[#This Row],[Authority Cost]]</f>
        <v>133457460</v>
      </c>
      <c r="AA849" s="152">
        <f t="shared" si="66"/>
        <v>12500000</v>
      </c>
      <c r="AB849" s="36"/>
      <c r="AC849" s="102" t="str">
        <f t="shared" si="61"/>
        <v>https://drive.google.com/thumbnail?id=1mRE_86OJyxRYZgYUPJM_u7Ak456wW--d&amp;sz=w1000</v>
      </c>
      <c r="AD849" s="172" t="s">
        <v>970</v>
      </c>
      <c r="AE849" s="103" t="str">
        <f t="shared" si="62"/>
        <v>https://drive.google.com/thumbnail?id=1PENkN1gZNt6kuWDXStzbi8Z0DiwcY8HX&amp;sz=w1000</v>
      </c>
      <c r="AF849" s="239" t="s">
        <v>972</v>
      </c>
      <c r="AG849" s="90" t="str">
        <f t="shared" si="63"/>
        <v>https://drive.google.com/thumbnail?id=1W509JmdVlzeICueDgcivjNXJagqJa2qz&amp;sz=w1000</v>
      </c>
      <c r="AH849" s="126" t="s">
        <v>974</v>
      </c>
    </row>
    <row r="850" spans="1:34" ht="22.15" customHeight="1">
      <c r="A850" s="30">
        <v>45548</v>
      </c>
      <c r="B850" s="17" t="s">
        <v>135</v>
      </c>
      <c r="C850" s="2">
        <v>10</v>
      </c>
      <c r="D850" s="16" t="str" cm="1">
        <f t="array" ref="D850">_xlfn.XLOOKUP(1, (Table1[Project Name]=Table2[[#This Row],[Project ID]])*(Table1[Plot]=Table2[[#This Row],[Plot]]), Table1[Project ID])</f>
        <v>MJ-10</v>
      </c>
      <c r="E850" s="69">
        <v>61</v>
      </c>
      <c r="F850" s="70">
        <v>547</v>
      </c>
      <c r="G850" s="69">
        <f>Table2[[#This Row],[Time Elapsed]]+Table2[[#This Row],[Time Remaining]]</f>
        <v>608</v>
      </c>
      <c r="H850" s="136" t="s">
        <v>957</v>
      </c>
      <c r="I850" s="136" t="s">
        <v>958</v>
      </c>
      <c r="J850" s="13">
        <v>5.2999999999999999E-2</v>
      </c>
      <c r="K850" s="148">
        <v>1.6400000000000001E-2</v>
      </c>
      <c r="L850" s="13">
        <f>Table2[[#This Row],[Actual %]]-Table2[[#This Row],[Plan %]]</f>
        <v>-3.6599999999999994E-2</v>
      </c>
      <c r="M850" s="142" t="s">
        <v>966</v>
      </c>
      <c r="N850" s="237">
        <v>45886</v>
      </c>
      <c r="O850" s="237"/>
      <c r="P850" s="237">
        <v>45940</v>
      </c>
      <c r="Q850" s="238">
        <v>45555</v>
      </c>
      <c r="R850" s="136" t="s">
        <v>961</v>
      </c>
      <c r="S850" s="136" t="s">
        <v>962</v>
      </c>
      <c r="T850" s="143" t="s">
        <v>963</v>
      </c>
      <c r="U850" s="151">
        <f t="shared" si="64"/>
        <v>127500000</v>
      </c>
      <c r="V850" s="152">
        <v>0</v>
      </c>
      <c r="W850" s="36">
        <f>Table2[[#This Row],[Construction Contract Amount]]+Table2[[#This Row],[Cumulative Variations]]</f>
        <v>127500000</v>
      </c>
      <c r="X850" s="152">
        <f t="shared" si="65"/>
        <v>5957460</v>
      </c>
      <c r="Y850" s="152">
        <v>0</v>
      </c>
      <c r="Z850" s="36">
        <f>Table2[[#This Row],[Final Contract Value]]+Table2[[#This Row],[Supervision Contract amount]]+Table2[[#This Row],[Authority Cost]]</f>
        <v>133457460</v>
      </c>
      <c r="AA850" s="152">
        <f t="shared" si="66"/>
        <v>12500000</v>
      </c>
      <c r="AB850" s="36"/>
      <c r="AC850" s="102" t="str">
        <f t="shared" si="61"/>
        <v>https://drive.google.com/thumbnail?id=1mRE_86OJyxRYZgYUPJM_u7Ak456wW--d&amp;sz=w1000</v>
      </c>
      <c r="AD850" s="172" t="s">
        <v>970</v>
      </c>
      <c r="AE850" s="103" t="str">
        <f t="shared" si="62"/>
        <v>https://drive.google.com/thumbnail?id=1PENkN1gZNt6kuWDXStzbi8Z0DiwcY8HX&amp;sz=w1000</v>
      </c>
      <c r="AF850" s="239" t="s">
        <v>972</v>
      </c>
      <c r="AG850" s="90" t="str">
        <f t="shared" si="63"/>
        <v>https://drive.google.com/thumbnail?id=1W509JmdVlzeICueDgcivjNXJagqJa2qz&amp;sz=w1000</v>
      </c>
      <c r="AH850" s="126" t="s">
        <v>974</v>
      </c>
    </row>
    <row r="851" spans="1:34" ht="22.15" customHeight="1">
      <c r="A851" s="30">
        <v>45548</v>
      </c>
      <c r="B851" s="17" t="s">
        <v>135</v>
      </c>
      <c r="C851" s="2">
        <v>10</v>
      </c>
      <c r="D851" s="16" t="str" cm="1">
        <f t="array" ref="D851">_xlfn.XLOOKUP(1, (Table1[Project Name]=Table2[[#This Row],[Project ID]])*(Table1[Plot]=Table2[[#This Row],[Plot]]), Table1[Project ID])</f>
        <v>MJ-10</v>
      </c>
      <c r="E851" s="69">
        <v>61</v>
      </c>
      <c r="F851" s="70">
        <v>547</v>
      </c>
      <c r="G851" s="69">
        <f>Table2[[#This Row],[Time Elapsed]]+Table2[[#This Row],[Time Remaining]]</f>
        <v>608</v>
      </c>
      <c r="H851" s="136" t="s">
        <v>957</v>
      </c>
      <c r="I851" s="136" t="s">
        <v>958</v>
      </c>
      <c r="J851" s="13">
        <v>5.2999999999999999E-2</v>
      </c>
      <c r="K851" s="148">
        <v>1.6400000000000001E-2</v>
      </c>
      <c r="L851" s="13">
        <f>Table2[[#This Row],[Actual %]]-Table2[[#This Row],[Plan %]]</f>
        <v>-3.6599999999999994E-2</v>
      </c>
      <c r="M851" s="142" t="s">
        <v>967</v>
      </c>
      <c r="N851" s="237">
        <v>46101</v>
      </c>
      <c r="O851" s="237"/>
      <c r="P851" s="237">
        <v>46135</v>
      </c>
      <c r="Q851" s="238">
        <v>45555</v>
      </c>
      <c r="R851" s="136" t="s">
        <v>961</v>
      </c>
      <c r="S851" s="136" t="s">
        <v>962</v>
      </c>
      <c r="T851" s="143" t="s">
        <v>963</v>
      </c>
      <c r="U851" s="151">
        <f t="shared" si="64"/>
        <v>127500000</v>
      </c>
      <c r="V851" s="152">
        <v>0</v>
      </c>
      <c r="W851" s="36">
        <f>Table2[[#This Row],[Construction Contract Amount]]+Table2[[#This Row],[Cumulative Variations]]</f>
        <v>127500000</v>
      </c>
      <c r="X851" s="152">
        <f t="shared" si="65"/>
        <v>5957460</v>
      </c>
      <c r="Y851" s="152">
        <v>0</v>
      </c>
      <c r="Z851" s="36">
        <f>Table2[[#This Row],[Final Contract Value]]+Table2[[#This Row],[Supervision Contract amount]]+Table2[[#This Row],[Authority Cost]]</f>
        <v>133457460</v>
      </c>
      <c r="AA851" s="152">
        <f t="shared" si="66"/>
        <v>12500000</v>
      </c>
      <c r="AB851" s="36"/>
      <c r="AC851" s="102" t="str">
        <f t="shared" si="61"/>
        <v>https://drive.google.com/thumbnail?id=1mRE_86OJyxRYZgYUPJM_u7Ak456wW--d&amp;sz=w1000</v>
      </c>
      <c r="AD851" s="172" t="s">
        <v>970</v>
      </c>
      <c r="AE851" s="103" t="str">
        <f t="shared" si="62"/>
        <v>https://drive.google.com/thumbnail?id=1PENkN1gZNt6kuWDXStzbi8Z0DiwcY8HX&amp;sz=w1000</v>
      </c>
      <c r="AF851" s="239" t="s">
        <v>972</v>
      </c>
      <c r="AG851" s="90" t="str">
        <f t="shared" si="63"/>
        <v>https://drive.google.com/thumbnail?id=1W509JmdVlzeICueDgcivjNXJagqJa2qz&amp;sz=w1000</v>
      </c>
      <c r="AH851" s="126" t="s">
        <v>974</v>
      </c>
    </row>
    <row r="852" spans="1:34" ht="22.15" customHeight="1">
      <c r="A852" s="30">
        <v>45548</v>
      </c>
      <c r="B852" s="17" t="s">
        <v>135</v>
      </c>
      <c r="C852" s="2">
        <v>10</v>
      </c>
      <c r="D852" s="16" t="str" cm="1">
        <f t="array" ref="D852">_xlfn.XLOOKUP(1, (Table1[Project Name]=Table2[[#This Row],[Project ID]])*(Table1[Plot]=Table2[[#This Row],[Plot]]), Table1[Project ID])</f>
        <v>MJ-10</v>
      </c>
      <c r="E852" s="69">
        <v>61</v>
      </c>
      <c r="F852" s="70">
        <v>547</v>
      </c>
      <c r="G852" s="69">
        <f>Table2[[#This Row],[Time Elapsed]]+Table2[[#This Row],[Time Remaining]]</f>
        <v>608</v>
      </c>
      <c r="H852" s="136" t="s">
        <v>957</v>
      </c>
      <c r="I852" s="136" t="s">
        <v>958</v>
      </c>
      <c r="J852" s="13">
        <v>5.2999999999999999E-2</v>
      </c>
      <c r="K852" s="148">
        <v>1.6400000000000001E-2</v>
      </c>
      <c r="L852" s="13">
        <f>Table2[[#This Row],[Actual %]]-Table2[[#This Row],[Plan %]]</f>
        <v>-3.6599999999999994E-2</v>
      </c>
      <c r="M852" s="142" t="s">
        <v>283</v>
      </c>
      <c r="N852" s="237">
        <v>46101</v>
      </c>
      <c r="O852" s="237"/>
      <c r="P852" s="237">
        <v>46135</v>
      </c>
      <c r="Q852" s="238">
        <v>45555</v>
      </c>
      <c r="R852" s="136" t="s">
        <v>961</v>
      </c>
      <c r="S852" s="136" t="s">
        <v>962</v>
      </c>
      <c r="T852" s="143" t="s">
        <v>963</v>
      </c>
      <c r="U852" s="151">
        <f t="shared" si="64"/>
        <v>127500000</v>
      </c>
      <c r="V852" s="152">
        <v>0</v>
      </c>
      <c r="W852" s="36">
        <f>Table2[[#This Row],[Construction Contract Amount]]+Table2[[#This Row],[Cumulative Variations]]</f>
        <v>127500000</v>
      </c>
      <c r="X852" s="152">
        <f t="shared" si="65"/>
        <v>5957460</v>
      </c>
      <c r="Y852" s="152">
        <v>0</v>
      </c>
      <c r="Z852" s="36">
        <f>Table2[[#This Row],[Final Contract Value]]+Table2[[#This Row],[Supervision Contract amount]]+Table2[[#This Row],[Authority Cost]]</f>
        <v>133457460</v>
      </c>
      <c r="AA852" s="152">
        <f t="shared" si="66"/>
        <v>12500000</v>
      </c>
      <c r="AB852" s="36"/>
      <c r="AC852" s="102" t="str">
        <f t="shared" si="61"/>
        <v>https://drive.google.com/thumbnail?id=1mRE_86OJyxRYZgYUPJM_u7Ak456wW--d&amp;sz=w1000</v>
      </c>
      <c r="AD852" s="172" t="s">
        <v>970</v>
      </c>
      <c r="AE852" s="103" t="str">
        <f t="shared" si="62"/>
        <v>https://drive.google.com/thumbnail?id=1PENkN1gZNt6kuWDXStzbi8Z0DiwcY8HX&amp;sz=w1000</v>
      </c>
      <c r="AF852" s="239" t="s">
        <v>972</v>
      </c>
      <c r="AG852" s="90" t="str">
        <f t="shared" si="63"/>
        <v>https://drive.google.com/thumbnail?id=1W509JmdVlzeICueDgcivjNXJagqJa2qz&amp;sz=w1000</v>
      </c>
      <c r="AH852" s="126" t="s">
        <v>974</v>
      </c>
    </row>
    <row r="853" spans="1:34" ht="22.15" customHeight="1">
      <c r="A853" s="30">
        <v>45548</v>
      </c>
      <c r="B853" s="17" t="s">
        <v>128</v>
      </c>
      <c r="C853" s="2">
        <v>13</v>
      </c>
      <c r="D853" s="16" t="str" cm="1">
        <f t="array" ref="D853">_xlfn.XLOOKUP(1, (Table1[Project Name]=Table2[[#This Row],[Project ID]])*(Table1[Plot]=Table2[[#This Row],[Plot]]), Table1[Project ID])</f>
        <v>MJ-11</v>
      </c>
      <c r="E853" s="69">
        <v>61</v>
      </c>
      <c r="F853" s="70">
        <v>547</v>
      </c>
      <c r="G853" s="69">
        <f>Table2[[#This Row],[Time Elapsed]]+Table2[[#This Row],[Time Remaining]]</f>
        <v>608</v>
      </c>
      <c r="H853" s="136" t="s">
        <v>959</v>
      </c>
      <c r="I853" s="136" t="s">
        <v>960</v>
      </c>
      <c r="J853" s="13">
        <v>5.2999999999999999E-2</v>
      </c>
      <c r="K853" s="148">
        <v>1.6400000000000001E-2</v>
      </c>
      <c r="L853" s="13">
        <f>Table2[[#This Row],[Actual %]]-Table2[[#This Row],[Plan %]]</f>
        <v>-3.6599999999999994E-2</v>
      </c>
      <c r="M853" s="142" t="s">
        <v>571</v>
      </c>
      <c r="N853" s="237">
        <v>45495</v>
      </c>
      <c r="O853" s="237">
        <v>45495</v>
      </c>
      <c r="P853" s="237"/>
      <c r="Q853" s="238">
        <v>45555</v>
      </c>
      <c r="R853" s="136" t="s">
        <v>968</v>
      </c>
      <c r="S853" s="136" t="s">
        <v>969</v>
      </c>
      <c r="T853" s="143" t="s">
        <v>963</v>
      </c>
      <c r="U853" s="151">
        <f t="shared" si="64"/>
        <v>127500000</v>
      </c>
      <c r="V853" s="152"/>
      <c r="W853" s="36">
        <f>Table2[[#This Row],[Construction Contract Amount]]+Table2[[#This Row],[Cumulative Variations]]</f>
        <v>127500000</v>
      </c>
      <c r="X853" s="152">
        <f t="shared" si="65"/>
        <v>5957460</v>
      </c>
      <c r="Y853" s="152"/>
      <c r="Z853" s="36">
        <f>Table2[[#This Row],[Final Contract Value]]+Table2[[#This Row],[Supervision Contract amount]]+Table2[[#This Row],[Authority Cost]]</f>
        <v>133457460</v>
      </c>
      <c r="AA853" s="152">
        <f t="shared" si="66"/>
        <v>12500000</v>
      </c>
      <c r="AB853" s="36"/>
      <c r="AC853" s="102" t="str">
        <f t="shared" si="61"/>
        <v>https://drive.google.com/thumbnail?id=1TDJpApdYNq3AlENLBb73U5oWwKK28DF1&amp;sz=w1000</v>
      </c>
      <c r="AD853" s="172" t="s">
        <v>971</v>
      </c>
      <c r="AE853" s="103" t="str">
        <f t="shared" si="62"/>
        <v>https://drive.google.com/thumbnail?id=1XO6KFN11Xr9Vu-p4z4gv56Vfr7TRSm9W&amp;sz=w1000</v>
      </c>
      <c r="AF853" s="172" t="s">
        <v>973</v>
      </c>
      <c r="AG853" s="90" t="str">
        <f t="shared" si="63"/>
        <v>https://drive.google.com/thumbnail?id=1l3XQXS4Q2FCMyGl__1oip2yGbK6ML46S&amp;sz=w1000</v>
      </c>
      <c r="AH853" s="126" t="s">
        <v>975</v>
      </c>
    </row>
    <row r="854" spans="1:34" ht="22.15" customHeight="1">
      <c r="A854" s="30">
        <v>45548</v>
      </c>
      <c r="B854" s="17" t="s">
        <v>128</v>
      </c>
      <c r="C854" s="2">
        <v>13</v>
      </c>
      <c r="D854" s="16" t="str" cm="1">
        <f t="array" ref="D854">_xlfn.XLOOKUP(1, (Table1[Project Name]=Table2[[#This Row],[Project ID]])*(Table1[Plot]=Table2[[#This Row],[Plot]]), Table1[Project ID])</f>
        <v>MJ-11</v>
      </c>
      <c r="E854" s="69">
        <v>61</v>
      </c>
      <c r="F854" s="70">
        <v>547</v>
      </c>
      <c r="G854" s="69">
        <f>Table2[[#This Row],[Time Elapsed]]+Table2[[#This Row],[Time Remaining]]</f>
        <v>608</v>
      </c>
      <c r="H854" s="136" t="s">
        <v>959</v>
      </c>
      <c r="I854" s="136" t="s">
        <v>960</v>
      </c>
      <c r="J854" s="13">
        <v>5.2999999999999999E-2</v>
      </c>
      <c r="K854" s="148">
        <v>1.6400000000000001E-2</v>
      </c>
      <c r="L854" s="13">
        <f>Table2[[#This Row],[Actual %]]-Table2[[#This Row],[Plan %]]</f>
        <v>-3.6599999999999994E-2</v>
      </c>
      <c r="M854" s="142" t="s">
        <v>964</v>
      </c>
      <c r="N854" s="237">
        <v>45524</v>
      </c>
      <c r="O854" s="237">
        <v>45524</v>
      </c>
      <c r="P854" s="237"/>
      <c r="Q854" s="238">
        <v>45555</v>
      </c>
      <c r="R854" s="136" t="s">
        <v>968</v>
      </c>
      <c r="S854" s="136" t="s">
        <v>969</v>
      </c>
      <c r="T854" s="143" t="s">
        <v>963</v>
      </c>
      <c r="U854" s="151">
        <f t="shared" si="64"/>
        <v>127500000</v>
      </c>
      <c r="V854" s="152"/>
      <c r="W854" s="36">
        <f>Table2[[#This Row],[Construction Contract Amount]]+Table2[[#This Row],[Cumulative Variations]]</f>
        <v>127500000</v>
      </c>
      <c r="X854" s="152">
        <f t="shared" si="65"/>
        <v>5957460</v>
      </c>
      <c r="Y854" s="152"/>
      <c r="Z854" s="36">
        <f>Table2[[#This Row],[Final Contract Value]]+Table2[[#This Row],[Supervision Contract amount]]+Table2[[#This Row],[Authority Cost]]</f>
        <v>133457460</v>
      </c>
      <c r="AA854" s="152">
        <f t="shared" si="66"/>
        <v>12500000</v>
      </c>
      <c r="AB854" s="36"/>
      <c r="AC854" s="102" t="str">
        <f t="shared" si="61"/>
        <v>https://drive.google.com/thumbnail?id=1TDJpApdYNq3AlENLBb73U5oWwKK28DF1&amp;sz=w1000</v>
      </c>
      <c r="AD854" s="172" t="s">
        <v>971</v>
      </c>
      <c r="AE854" s="103" t="str">
        <f t="shared" si="62"/>
        <v>https://drive.google.com/thumbnail?id=1XO6KFN11Xr9Vu-p4z4gv56Vfr7TRSm9W&amp;sz=w1000</v>
      </c>
      <c r="AF854" s="172" t="s">
        <v>973</v>
      </c>
      <c r="AG854" s="90" t="str">
        <f t="shared" si="63"/>
        <v>https://drive.google.com/thumbnail?id=1l3XQXS4Q2FCMyGl__1oip2yGbK6ML46S&amp;sz=w1000</v>
      </c>
      <c r="AH854" s="126" t="s">
        <v>975</v>
      </c>
    </row>
    <row r="855" spans="1:34" ht="22.15" customHeight="1">
      <c r="A855" s="30">
        <v>45548</v>
      </c>
      <c r="B855" s="17" t="s">
        <v>128</v>
      </c>
      <c r="C855" s="2">
        <v>13</v>
      </c>
      <c r="D855" s="16" t="str" cm="1">
        <f t="array" ref="D855">_xlfn.XLOOKUP(1, (Table1[Project Name]=Table2[[#This Row],[Project ID]])*(Table1[Plot]=Table2[[#This Row],[Plot]]), Table1[Project ID])</f>
        <v>MJ-11</v>
      </c>
      <c r="E855" s="69">
        <v>61</v>
      </c>
      <c r="F855" s="70">
        <v>547</v>
      </c>
      <c r="G855" s="69">
        <f>Table2[[#This Row],[Time Elapsed]]+Table2[[#This Row],[Time Remaining]]</f>
        <v>608</v>
      </c>
      <c r="H855" s="136" t="s">
        <v>959</v>
      </c>
      <c r="I855" s="136" t="s">
        <v>960</v>
      </c>
      <c r="J855" s="13">
        <v>5.2999999999999999E-2</v>
      </c>
      <c r="K855" s="148">
        <v>1.6400000000000001E-2</v>
      </c>
      <c r="L855" s="13">
        <f>Table2[[#This Row],[Actual %]]-Table2[[#This Row],[Plan %]]</f>
        <v>-3.6599999999999994E-2</v>
      </c>
      <c r="M855" s="142" t="s">
        <v>965</v>
      </c>
      <c r="N855" s="237">
        <v>45697</v>
      </c>
      <c r="O855" s="237"/>
      <c r="P855" s="237">
        <v>45751</v>
      </c>
      <c r="Q855" s="238">
        <v>45555</v>
      </c>
      <c r="R855" s="136" t="s">
        <v>968</v>
      </c>
      <c r="S855" s="136" t="s">
        <v>969</v>
      </c>
      <c r="T855" s="143" t="s">
        <v>963</v>
      </c>
      <c r="U855" s="151">
        <f t="shared" si="64"/>
        <v>127500000</v>
      </c>
      <c r="V855" s="152"/>
      <c r="W855" s="36">
        <f>Table2[[#This Row],[Construction Contract Amount]]+Table2[[#This Row],[Cumulative Variations]]</f>
        <v>127500000</v>
      </c>
      <c r="X855" s="152">
        <f t="shared" si="65"/>
        <v>5957460</v>
      </c>
      <c r="Y855" s="152"/>
      <c r="Z855" s="36">
        <f>Table2[[#This Row],[Final Contract Value]]+Table2[[#This Row],[Supervision Contract amount]]+Table2[[#This Row],[Authority Cost]]</f>
        <v>133457460</v>
      </c>
      <c r="AA855" s="152">
        <f t="shared" si="66"/>
        <v>12500000</v>
      </c>
      <c r="AB855" s="36"/>
      <c r="AC855" s="102" t="str">
        <f t="shared" si="61"/>
        <v>https://drive.google.com/thumbnail?id=1TDJpApdYNq3AlENLBb73U5oWwKK28DF1&amp;sz=w1000</v>
      </c>
      <c r="AD855" s="172" t="s">
        <v>971</v>
      </c>
      <c r="AE855" s="103" t="str">
        <f t="shared" si="62"/>
        <v>https://drive.google.com/thumbnail?id=1XO6KFN11Xr9Vu-p4z4gv56Vfr7TRSm9W&amp;sz=w1000</v>
      </c>
      <c r="AF855" s="172" t="s">
        <v>973</v>
      </c>
      <c r="AG855" s="90" t="str">
        <f t="shared" si="63"/>
        <v>https://drive.google.com/thumbnail?id=1l3XQXS4Q2FCMyGl__1oip2yGbK6ML46S&amp;sz=w1000</v>
      </c>
      <c r="AH855" s="126" t="s">
        <v>975</v>
      </c>
    </row>
    <row r="856" spans="1:34" ht="22.15" customHeight="1">
      <c r="A856" s="30">
        <v>45548</v>
      </c>
      <c r="B856" s="17" t="s">
        <v>128</v>
      </c>
      <c r="C856" s="2">
        <v>13</v>
      </c>
      <c r="D856" s="16" t="str" cm="1">
        <f t="array" ref="D856">_xlfn.XLOOKUP(1, (Table1[Project Name]=Table2[[#This Row],[Project ID]])*(Table1[Plot]=Table2[[#This Row],[Plot]]), Table1[Project ID])</f>
        <v>MJ-11</v>
      </c>
      <c r="E856" s="69">
        <v>61</v>
      </c>
      <c r="F856" s="70">
        <v>547</v>
      </c>
      <c r="G856" s="69">
        <f>Table2[[#This Row],[Time Elapsed]]+Table2[[#This Row],[Time Remaining]]</f>
        <v>608</v>
      </c>
      <c r="H856" s="136" t="s">
        <v>959</v>
      </c>
      <c r="I856" s="136" t="s">
        <v>960</v>
      </c>
      <c r="J856" s="13">
        <v>5.2999999999999999E-2</v>
      </c>
      <c r="K856" s="148">
        <v>1.6400000000000001E-2</v>
      </c>
      <c r="L856" s="13">
        <f>Table2[[#This Row],[Actual %]]-Table2[[#This Row],[Plan %]]</f>
        <v>-3.6599999999999994E-2</v>
      </c>
      <c r="M856" s="142" t="s">
        <v>966</v>
      </c>
      <c r="N856" s="237">
        <v>45886</v>
      </c>
      <c r="O856" s="237"/>
      <c r="P856" s="237">
        <v>45940</v>
      </c>
      <c r="Q856" s="238">
        <v>45555</v>
      </c>
      <c r="R856" s="136" t="s">
        <v>968</v>
      </c>
      <c r="S856" s="136" t="s">
        <v>969</v>
      </c>
      <c r="T856" s="143" t="s">
        <v>963</v>
      </c>
      <c r="U856" s="151">
        <f t="shared" si="64"/>
        <v>127500000</v>
      </c>
      <c r="V856" s="152"/>
      <c r="W856" s="36">
        <f>Table2[[#This Row],[Construction Contract Amount]]+Table2[[#This Row],[Cumulative Variations]]</f>
        <v>127500000</v>
      </c>
      <c r="X856" s="152">
        <f t="shared" si="65"/>
        <v>5957460</v>
      </c>
      <c r="Y856" s="152"/>
      <c r="Z856" s="36">
        <f>Table2[[#This Row],[Final Contract Value]]+Table2[[#This Row],[Supervision Contract amount]]+Table2[[#This Row],[Authority Cost]]</f>
        <v>133457460</v>
      </c>
      <c r="AA856" s="152">
        <f t="shared" si="66"/>
        <v>12500000</v>
      </c>
      <c r="AB856" s="36"/>
      <c r="AC856" s="102" t="str">
        <f t="shared" si="61"/>
        <v>https://drive.google.com/thumbnail?id=1TDJpApdYNq3AlENLBb73U5oWwKK28DF1&amp;sz=w1000</v>
      </c>
      <c r="AD856" s="172" t="s">
        <v>971</v>
      </c>
      <c r="AE856" s="103" t="str">
        <f t="shared" si="62"/>
        <v>https://drive.google.com/thumbnail?id=1XO6KFN11Xr9Vu-p4z4gv56Vfr7TRSm9W&amp;sz=w1000</v>
      </c>
      <c r="AF856" s="172" t="s">
        <v>973</v>
      </c>
      <c r="AG856" s="90" t="str">
        <f t="shared" si="63"/>
        <v>https://drive.google.com/thumbnail?id=1l3XQXS4Q2FCMyGl__1oip2yGbK6ML46S&amp;sz=w1000</v>
      </c>
      <c r="AH856" s="126" t="s">
        <v>975</v>
      </c>
    </row>
    <row r="857" spans="1:34" ht="22.15" customHeight="1">
      <c r="A857" s="30">
        <v>45548</v>
      </c>
      <c r="B857" s="17" t="s">
        <v>128</v>
      </c>
      <c r="C857" s="2">
        <v>13</v>
      </c>
      <c r="D857" s="16" t="str" cm="1">
        <f t="array" ref="D857">_xlfn.XLOOKUP(1, (Table1[Project Name]=Table2[[#This Row],[Project ID]])*(Table1[Plot]=Table2[[#This Row],[Plot]]), Table1[Project ID])</f>
        <v>MJ-11</v>
      </c>
      <c r="E857" s="69">
        <v>61</v>
      </c>
      <c r="F857" s="70">
        <v>547</v>
      </c>
      <c r="G857" s="69">
        <f>Table2[[#This Row],[Time Elapsed]]+Table2[[#This Row],[Time Remaining]]</f>
        <v>608</v>
      </c>
      <c r="H857" s="136" t="s">
        <v>959</v>
      </c>
      <c r="I857" s="136" t="s">
        <v>960</v>
      </c>
      <c r="J857" s="13">
        <v>5.2999999999999999E-2</v>
      </c>
      <c r="K857" s="148">
        <v>1.6400000000000001E-2</v>
      </c>
      <c r="L857" s="13">
        <f>Table2[[#This Row],[Actual %]]-Table2[[#This Row],[Plan %]]</f>
        <v>-3.6599999999999994E-2</v>
      </c>
      <c r="M857" s="142" t="s">
        <v>967</v>
      </c>
      <c r="N857" s="237">
        <v>46101</v>
      </c>
      <c r="O857" s="237"/>
      <c r="P857" s="237">
        <v>46135</v>
      </c>
      <c r="Q857" s="238">
        <v>45555</v>
      </c>
      <c r="R857" s="136" t="s">
        <v>968</v>
      </c>
      <c r="S857" s="136" t="s">
        <v>969</v>
      </c>
      <c r="T857" s="143" t="s">
        <v>963</v>
      </c>
      <c r="U857" s="151">
        <f t="shared" si="64"/>
        <v>127500000</v>
      </c>
      <c r="V857" s="152"/>
      <c r="W857" s="36">
        <f>Table2[[#This Row],[Construction Contract Amount]]+Table2[[#This Row],[Cumulative Variations]]</f>
        <v>127500000</v>
      </c>
      <c r="X857" s="152">
        <f t="shared" si="65"/>
        <v>5957460</v>
      </c>
      <c r="Y857" s="152"/>
      <c r="Z857" s="36">
        <f>Table2[[#This Row],[Final Contract Value]]+Table2[[#This Row],[Supervision Contract amount]]+Table2[[#This Row],[Authority Cost]]</f>
        <v>133457460</v>
      </c>
      <c r="AA857" s="152">
        <f t="shared" si="66"/>
        <v>12500000</v>
      </c>
      <c r="AB857" s="36"/>
      <c r="AC857" s="102" t="str">
        <f t="shared" si="61"/>
        <v>https://drive.google.com/thumbnail?id=1TDJpApdYNq3AlENLBb73U5oWwKK28DF1&amp;sz=w1000</v>
      </c>
      <c r="AD857" s="172" t="s">
        <v>971</v>
      </c>
      <c r="AE857" s="103" t="str">
        <f t="shared" si="62"/>
        <v>https://drive.google.com/thumbnail?id=1XO6KFN11Xr9Vu-p4z4gv56Vfr7TRSm9W&amp;sz=w1000</v>
      </c>
      <c r="AF857" s="172" t="s">
        <v>973</v>
      </c>
      <c r="AG857" s="90" t="str">
        <f t="shared" si="63"/>
        <v>https://drive.google.com/thumbnail?id=1l3XQXS4Q2FCMyGl__1oip2yGbK6ML46S&amp;sz=w1000</v>
      </c>
      <c r="AH857" s="126" t="s">
        <v>975</v>
      </c>
    </row>
    <row r="858" spans="1:34" ht="22.15" customHeight="1">
      <c r="A858" s="30">
        <v>45548</v>
      </c>
      <c r="B858" s="17" t="s">
        <v>128</v>
      </c>
      <c r="C858" s="2">
        <v>13</v>
      </c>
      <c r="D858" s="16" t="str" cm="1">
        <f t="array" ref="D858">_xlfn.XLOOKUP(1, (Table1[Project Name]=Table2[[#This Row],[Project ID]])*(Table1[Plot]=Table2[[#This Row],[Plot]]), Table1[Project ID])</f>
        <v>MJ-11</v>
      </c>
      <c r="E858" s="69">
        <v>61</v>
      </c>
      <c r="F858" s="70">
        <v>547</v>
      </c>
      <c r="G858" s="69">
        <f>Table2[[#This Row],[Time Elapsed]]+Table2[[#This Row],[Time Remaining]]</f>
        <v>608</v>
      </c>
      <c r="H858" s="136" t="s">
        <v>959</v>
      </c>
      <c r="I858" s="136" t="s">
        <v>960</v>
      </c>
      <c r="J858" s="13">
        <v>5.2999999999999999E-2</v>
      </c>
      <c r="K858" s="148">
        <v>1.6400000000000001E-2</v>
      </c>
      <c r="L858" s="13">
        <f>Table2[[#This Row],[Actual %]]-Table2[[#This Row],[Plan %]]</f>
        <v>-3.6599999999999994E-2</v>
      </c>
      <c r="M858" s="142" t="s">
        <v>283</v>
      </c>
      <c r="N858" s="237">
        <v>46101</v>
      </c>
      <c r="O858" s="237"/>
      <c r="P858" s="237">
        <v>46135</v>
      </c>
      <c r="Q858" s="238">
        <v>45555</v>
      </c>
      <c r="R858" s="136" t="s">
        <v>968</v>
      </c>
      <c r="S858" s="136" t="s">
        <v>969</v>
      </c>
      <c r="T858" s="143" t="s">
        <v>963</v>
      </c>
      <c r="U858" s="151">
        <f t="shared" si="64"/>
        <v>127500000</v>
      </c>
      <c r="V858" s="152"/>
      <c r="W858" s="36">
        <f>Table2[[#This Row],[Construction Contract Amount]]+Table2[[#This Row],[Cumulative Variations]]</f>
        <v>127500000</v>
      </c>
      <c r="X858" s="152">
        <f t="shared" si="65"/>
        <v>5957460</v>
      </c>
      <c r="Y858" s="152"/>
      <c r="Z858" s="36">
        <f>Table2[[#This Row],[Final Contract Value]]+Table2[[#This Row],[Supervision Contract amount]]+Table2[[#This Row],[Authority Cost]]</f>
        <v>133457460</v>
      </c>
      <c r="AA858" s="152">
        <f t="shared" si="66"/>
        <v>12500000</v>
      </c>
      <c r="AB858" s="36"/>
      <c r="AC858" s="102" t="str">
        <f t="shared" si="61"/>
        <v>https://drive.google.com/thumbnail?id=1TDJpApdYNq3AlENLBb73U5oWwKK28DF1&amp;sz=w1000</v>
      </c>
      <c r="AD858" s="172" t="s">
        <v>971</v>
      </c>
      <c r="AE858" s="103" t="str">
        <f t="shared" si="62"/>
        <v>https://drive.google.com/thumbnail?id=1XO6KFN11Xr9Vu-p4z4gv56Vfr7TRSm9W&amp;sz=w1000</v>
      </c>
      <c r="AF858" s="172" t="s">
        <v>973</v>
      </c>
      <c r="AG858" s="90" t="str">
        <f t="shared" si="63"/>
        <v>https://drive.google.com/thumbnail?id=1l3XQXS4Q2FCMyGl__1oip2yGbK6ML46S&amp;sz=w1000</v>
      </c>
      <c r="AH858" s="126" t="s">
        <v>975</v>
      </c>
    </row>
    <row r="859" spans="1:34" ht="30.75" customHeight="1">
      <c r="A859" s="30">
        <v>45548</v>
      </c>
      <c r="B859" s="17" t="s">
        <v>139</v>
      </c>
      <c r="C859" s="240">
        <v>2</v>
      </c>
      <c r="D859" s="241" t="str" cm="1">
        <f t="array" ref="D859">_xlfn.XLOOKUP(1, (Table1[Project Name]=Table2[[#This Row],[Project ID]])*(Table1[Plot]=Table2[[#This Row],[Plot]]), Table1[Project ID])</f>
        <v>MJ-16</v>
      </c>
      <c r="E859" s="69">
        <v>0</v>
      </c>
      <c r="F859" s="242">
        <v>0</v>
      </c>
      <c r="G859" s="69">
        <f>Table2[[#This Row],[Time Elapsed]]+Table2[[#This Row],[Time Remaining]]</f>
        <v>0</v>
      </c>
      <c r="H859" s="70" t="s">
        <v>976</v>
      </c>
      <c r="I859" s="244" t="s">
        <v>977</v>
      </c>
      <c r="J859" s="188">
        <v>0</v>
      </c>
      <c r="K859" s="189">
        <v>0</v>
      </c>
      <c r="L859" s="13">
        <f>Table2[[#This Row],[Actual %]]-Table2[[#This Row],[Plan %]]</f>
        <v>0</v>
      </c>
      <c r="M859" s="190" t="s">
        <v>592</v>
      </c>
      <c r="N859" s="32">
        <v>45626</v>
      </c>
      <c r="O859" s="32"/>
      <c r="P859" s="32">
        <v>45626</v>
      </c>
      <c r="Q859" s="238">
        <v>45555</v>
      </c>
      <c r="R859" s="70" t="s">
        <v>980</v>
      </c>
      <c r="S859" s="70" t="s">
        <v>981</v>
      </c>
      <c r="T859" s="245" t="s">
        <v>982</v>
      </c>
      <c r="U859" s="35"/>
      <c r="V859" s="36"/>
      <c r="W859" s="243">
        <f>Table2[[#This Row],[Construction Contract Amount]]+Table2[[#This Row],[Cumulative Variations]]</f>
        <v>0</v>
      </c>
      <c r="X859" s="36"/>
      <c r="Y859" s="36"/>
      <c r="Z859" s="243">
        <f>Table2[[#This Row],[Final Contract Value]]+Table2[[#This Row],[Supervision Contract amount]]+Table2[[#This Row],[Authority Cost]]</f>
        <v>0</v>
      </c>
      <c r="AA859" s="36"/>
      <c r="AB859" s="36"/>
      <c r="AC859" s="102" t="str">
        <f t="shared" ref="AC859:AC862" si="67">CONCATENATE("https://drive.google.com/thumbnail?id=", MID(AD859, FIND("/d/", AD859) + 3, FIND("/view", AD859) - FIND("/d/", AD859) - 3), "&amp;sz=w1000")</f>
        <v>https://drive.google.com/thumbnail?id=1qEmiD3wIIWaBK_n4jB1tWa-07pOtwaxm&amp;sz=w1000</v>
      </c>
      <c r="AD859" s="90" t="s">
        <v>983</v>
      </c>
      <c r="AE859" s="103" t="str">
        <f t="shared" ref="AE859:AE862" si="68">CONCATENATE("https://drive.google.com/thumbnail?id=", MID(AF859, FIND("/d/", AF859) + 3, FIND("/view", AF859) - FIND("/d/", AF859) - 3), "&amp;sz=w1000")</f>
        <v>https://drive.google.com/thumbnail?id=17mVlRlsRou-0EIrdkg4pHVFZuAsTDECi&amp;sz=w1000</v>
      </c>
      <c r="AF859" s="90" t="s">
        <v>984</v>
      </c>
      <c r="AG859" s="90" t="str">
        <f t="shared" ref="AG859:AG862" si="69">CONCATENATE("https://drive.google.com/thumbnail?id=", MID(AH859, FIND("/d/", AH859) + 3, FIND("/view", AH859) - FIND("/d/", AH859) - 3), "&amp;sz=w1000")</f>
        <v>https://drive.google.com/thumbnail?id=1PVqAblXmqsrUQNQz_eIs2ZoILINdprdI&amp;sz=w1000</v>
      </c>
      <c r="AH859" s="90" t="s">
        <v>985</v>
      </c>
    </row>
    <row r="860" spans="1:34" ht="22.15" customHeight="1">
      <c r="A860" s="30">
        <v>45548</v>
      </c>
      <c r="B860" s="17" t="s">
        <v>139</v>
      </c>
      <c r="C860" s="240">
        <v>2</v>
      </c>
      <c r="D860" s="241" t="str" cm="1">
        <f t="array" ref="D860">_xlfn.XLOOKUP(1, (Table1[Project Name]=Table2[[#This Row],[Project ID]])*(Table1[Plot]=Table2[[#This Row],[Plot]]), Table1[Project ID])</f>
        <v>MJ-16</v>
      </c>
      <c r="E860" s="69">
        <v>0</v>
      </c>
      <c r="F860" s="242">
        <v>0</v>
      </c>
      <c r="G860" s="69">
        <f>Table2[[#This Row],[Time Elapsed]]+Table2[[#This Row],[Time Remaining]]</f>
        <v>0</v>
      </c>
      <c r="H860" s="70" t="s">
        <v>976</v>
      </c>
      <c r="I860" s="244" t="s">
        <v>977</v>
      </c>
      <c r="J860" s="188">
        <v>0</v>
      </c>
      <c r="K860" s="189">
        <v>0</v>
      </c>
      <c r="L860" s="13">
        <f>Table2[[#This Row],[Actual %]]-Table2[[#This Row],[Plan %]]</f>
        <v>0</v>
      </c>
      <c r="M860" s="190" t="s">
        <v>978</v>
      </c>
      <c r="N860" s="32">
        <v>45716</v>
      </c>
      <c r="O860" s="32"/>
      <c r="P860" s="32">
        <v>45716</v>
      </c>
      <c r="Q860" s="238">
        <v>45555</v>
      </c>
      <c r="R860" s="70" t="s">
        <v>980</v>
      </c>
      <c r="S860" s="70" t="s">
        <v>981</v>
      </c>
      <c r="T860" s="245" t="s">
        <v>982</v>
      </c>
      <c r="U860" s="35"/>
      <c r="V860" s="36"/>
      <c r="W860" s="243">
        <f>Table2[[#This Row],[Construction Contract Amount]]+Table2[[#This Row],[Cumulative Variations]]</f>
        <v>0</v>
      </c>
      <c r="X860" s="36"/>
      <c r="Y860" s="36"/>
      <c r="Z860" s="243">
        <f>Table2[[#This Row],[Final Contract Value]]+Table2[[#This Row],[Supervision Contract amount]]+Table2[[#This Row],[Authority Cost]]</f>
        <v>0</v>
      </c>
      <c r="AA860" s="36"/>
      <c r="AB860" s="36"/>
      <c r="AC860" s="102" t="str">
        <f t="shared" si="67"/>
        <v>https://drive.google.com/thumbnail?id=1qEmiD3wIIWaBK_n4jB1tWa-07pOtwaxm&amp;sz=w1000</v>
      </c>
      <c r="AD860" s="90" t="s">
        <v>983</v>
      </c>
      <c r="AE860" s="103" t="str">
        <f t="shared" si="68"/>
        <v>https://drive.google.com/thumbnail?id=17mVlRlsRou-0EIrdkg4pHVFZuAsTDECi&amp;sz=w1000</v>
      </c>
      <c r="AF860" s="90" t="s">
        <v>984</v>
      </c>
      <c r="AG860" s="90" t="str">
        <f t="shared" si="69"/>
        <v>https://drive.google.com/thumbnail?id=1PVqAblXmqsrUQNQz_eIs2ZoILINdprdI&amp;sz=w1000</v>
      </c>
      <c r="AH860" s="90" t="s">
        <v>985</v>
      </c>
    </row>
    <row r="861" spans="1:34" ht="22.15" customHeight="1">
      <c r="A861" s="30">
        <v>45548</v>
      </c>
      <c r="B861" s="17" t="s">
        <v>139</v>
      </c>
      <c r="C861" s="240">
        <v>2</v>
      </c>
      <c r="D861" s="241" t="str" cm="1">
        <f t="array" ref="D861">_xlfn.XLOOKUP(1, (Table1[Project Name]=Table2[[#This Row],[Project ID]])*(Table1[Plot]=Table2[[#This Row],[Plot]]), Table1[Project ID])</f>
        <v>MJ-16</v>
      </c>
      <c r="E861" s="69">
        <v>0</v>
      </c>
      <c r="F861" s="242">
        <v>0</v>
      </c>
      <c r="G861" s="69">
        <f>Table2[[#This Row],[Time Elapsed]]+Table2[[#This Row],[Time Remaining]]</f>
        <v>0</v>
      </c>
      <c r="H861" s="70" t="s">
        <v>976</v>
      </c>
      <c r="I861" s="244" t="s">
        <v>977</v>
      </c>
      <c r="J861" s="188">
        <v>0</v>
      </c>
      <c r="K861" s="189">
        <v>0</v>
      </c>
      <c r="L861" s="13">
        <f>Table2[[#This Row],[Actual %]]-Table2[[#This Row],[Plan %]]</f>
        <v>0</v>
      </c>
      <c r="M861" s="190" t="s">
        <v>979</v>
      </c>
      <c r="N861" s="32">
        <v>45717</v>
      </c>
      <c r="O861" s="32"/>
      <c r="P861" s="32">
        <v>45717</v>
      </c>
      <c r="Q861" s="238">
        <v>45555</v>
      </c>
      <c r="R861" s="70" t="s">
        <v>980</v>
      </c>
      <c r="S861" s="70" t="s">
        <v>981</v>
      </c>
      <c r="T861" s="245" t="s">
        <v>982</v>
      </c>
      <c r="U861" s="35"/>
      <c r="V861" s="36"/>
      <c r="W861" s="243">
        <f>Table2[[#This Row],[Construction Contract Amount]]+Table2[[#This Row],[Cumulative Variations]]</f>
        <v>0</v>
      </c>
      <c r="X861" s="36"/>
      <c r="Y861" s="36"/>
      <c r="Z861" s="243">
        <f>Table2[[#This Row],[Final Contract Value]]+Table2[[#This Row],[Supervision Contract amount]]+Table2[[#This Row],[Authority Cost]]</f>
        <v>0</v>
      </c>
      <c r="AA861" s="36"/>
      <c r="AB861" s="36"/>
      <c r="AC861" s="102" t="str">
        <f t="shared" si="67"/>
        <v>https://drive.google.com/thumbnail?id=1qEmiD3wIIWaBK_n4jB1tWa-07pOtwaxm&amp;sz=w1000</v>
      </c>
      <c r="AD861" s="90" t="s">
        <v>983</v>
      </c>
      <c r="AE861" s="103" t="str">
        <f t="shared" si="68"/>
        <v>https://drive.google.com/thumbnail?id=17mVlRlsRou-0EIrdkg4pHVFZuAsTDECi&amp;sz=w1000</v>
      </c>
      <c r="AF861" s="90" t="s">
        <v>984</v>
      </c>
      <c r="AG861" s="90" t="str">
        <f t="shared" si="69"/>
        <v>https://drive.google.com/thumbnail?id=1PVqAblXmqsrUQNQz_eIs2ZoILINdprdI&amp;sz=w1000</v>
      </c>
      <c r="AH861" s="90" t="s">
        <v>985</v>
      </c>
    </row>
    <row r="862" spans="1:34" ht="22.15" customHeight="1">
      <c r="A862" s="30">
        <v>45548</v>
      </c>
      <c r="B862" s="17" t="s">
        <v>139</v>
      </c>
      <c r="C862" s="240">
        <v>2</v>
      </c>
      <c r="D862" s="241" t="str" cm="1">
        <f t="array" ref="D862">_xlfn.XLOOKUP(1, (Table1[Project Name]=Table2[[#This Row],[Project ID]])*(Table1[Plot]=Table2[[#This Row],[Plot]]), Table1[Project ID])</f>
        <v>MJ-16</v>
      </c>
      <c r="E862" s="69">
        <v>0</v>
      </c>
      <c r="F862" s="242">
        <v>0</v>
      </c>
      <c r="G862" s="69">
        <f>Table2[[#This Row],[Time Elapsed]]+Table2[[#This Row],[Time Remaining]]</f>
        <v>0</v>
      </c>
      <c r="H862" s="70" t="s">
        <v>976</v>
      </c>
      <c r="I862" s="244" t="s">
        <v>977</v>
      </c>
      <c r="J862" s="188">
        <v>0</v>
      </c>
      <c r="K862" s="189">
        <v>0</v>
      </c>
      <c r="L862" s="13">
        <f>Table2[[#This Row],[Actual %]]-Table2[[#This Row],[Plan %]]</f>
        <v>0</v>
      </c>
      <c r="M862" s="190" t="s">
        <v>591</v>
      </c>
      <c r="N862" s="32">
        <f>N861+30*20+9</f>
        <v>46326</v>
      </c>
      <c r="O862" s="32"/>
      <c r="P862" s="32">
        <f>P861+30*20+9</f>
        <v>46326</v>
      </c>
      <c r="Q862" s="238">
        <v>45555</v>
      </c>
      <c r="R862" s="70" t="s">
        <v>980</v>
      </c>
      <c r="S862" s="70" t="s">
        <v>981</v>
      </c>
      <c r="T862" s="245" t="s">
        <v>982</v>
      </c>
      <c r="U862" s="35"/>
      <c r="V862" s="36"/>
      <c r="W862" s="243">
        <f>Table2[[#This Row],[Construction Contract Amount]]+Table2[[#This Row],[Cumulative Variations]]</f>
        <v>0</v>
      </c>
      <c r="X862" s="36"/>
      <c r="Y862" s="36"/>
      <c r="Z862" s="243">
        <f>Table2[[#This Row],[Final Contract Value]]+Table2[[#This Row],[Supervision Contract amount]]+Table2[[#This Row],[Authority Cost]]</f>
        <v>0</v>
      </c>
      <c r="AA862" s="36"/>
      <c r="AB862" s="36"/>
      <c r="AC862" s="102" t="str">
        <f t="shared" si="67"/>
        <v>https://drive.google.com/thumbnail?id=1qEmiD3wIIWaBK_n4jB1tWa-07pOtwaxm&amp;sz=w1000</v>
      </c>
      <c r="AD862" s="90" t="s">
        <v>983</v>
      </c>
      <c r="AE862" s="103" t="str">
        <f t="shared" si="68"/>
        <v>https://drive.google.com/thumbnail?id=17mVlRlsRou-0EIrdkg4pHVFZuAsTDECi&amp;sz=w1000</v>
      </c>
      <c r="AF862" s="90" t="s">
        <v>984</v>
      </c>
      <c r="AG862" s="90" t="str">
        <f t="shared" si="69"/>
        <v>https://drive.google.com/thumbnail?id=1PVqAblXmqsrUQNQz_eIs2ZoILINdprdI&amp;sz=w1000</v>
      </c>
      <c r="AH862" s="90" t="s">
        <v>985</v>
      </c>
    </row>
  </sheetData>
  <phoneticPr fontId="3" type="noConversion"/>
  <conditionalFormatting sqref="O1:O409 O849:O853 O855:O1048576">
    <cfRule type="cellIs" dxfId="5" priority="6" operator="greaterThan">
      <formula>45544</formula>
    </cfRule>
  </conditionalFormatting>
  <conditionalFormatting sqref="O440:O459 O461:O612">
    <cfRule type="cellIs" dxfId="4" priority="5" operator="greaterThan">
      <formula>45544</formula>
    </cfRule>
  </conditionalFormatting>
  <conditionalFormatting sqref="O626">
    <cfRule type="cellIs" dxfId="3" priority="1" operator="lessThan">
      <formula>45565</formula>
    </cfRule>
  </conditionalFormatting>
  <conditionalFormatting sqref="O638">
    <cfRule type="cellIs" dxfId="2" priority="2" operator="lessThan">
      <formula>45565</formula>
    </cfRule>
  </conditionalFormatting>
  <conditionalFormatting sqref="O639:O651 O663:O847">
    <cfRule type="cellIs" dxfId="1" priority="4" operator="greaterThan">
      <formula>45544</formula>
    </cfRule>
  </conditionalFormatting>
  <conditionalFormatting sqref="P217:P810">
    <cfRule type="cellIs" dxfId="0" priority="3" operator="lessThan">
      <formula>45565</formula>
    </cfRule>
  </conditionalFormatting>
  <hyperlinks>
    <hyperlink ref="AD10" r:id="rId1" xr:uid="{CB9E61FA-2266-4B46-8E49-468F6F03FA52}"/>
    <hyperlink ref="AE10:AH10" r:id="rId2" display="https://drive.google.com/file/d/1N4Zo1nyoTRwV-8yeADEdYoewjbxnID-Z/view?usp=drive_link" xr:uid="{D350BC5D-A327-44CA-91E4-C3BC56705F7A}"/>
    <hyperlink ref="AD18" r:id="rId3" xr:uid="{A327C0E1-BCAE-4356-93BA-E72749B7DB69}"/>
    <hyperlink ref="AD71" r:id="rId4" xr:uid="{3C2C821F-1E1B-4FC9-ACD8-9DB8CE867728}"/>
    <hyperlink ref="AD60" r:id="rId5" xr:uid="{20E77A56-3FAD-4988-93B8-139115BEE541}"/>
    <hyperlink ref="AF60" r:id="rId6" xr:uid="{CAC85071-1AF3-487A-9A93-370C4A3CCFCD}"/>
    <hyperlink ref="AH60" r:id="rId7" xr:uid="{E42B6514-0A15-4440-8C0F-CD1ED1B2E08F}"/>
    <hyperlink ref="AF44" r:id="rId8" xr:uid="{7C44FABE-16EE-4A62-A2AE-94029D3A92CA}"/>
    <hyperlink ref="AH44" r:id="rId9" xr:uid="{A6FAC84C-23F2-4F76-BC60-51E72325F65C}"/>
    <hyperlink ref="AD31:AD43" r:id="rId10" display="https://drive.google.com/file/d/1fD7AWmASsFIlXlxUeMDyf0RwmeJ-UJ8T/view?usp=drive_link" xr:uid="{76D3CDD4-4234-470E-8EB5-677A5A9E1031}"/>
    <hyperlink ref="AD44" r:id="rId11" xr:uid="{0C8AD4B4-DC24-424F-8273-20C6073D34AB}"/>
    <hyperlink ref="AD50" r:id="rId12" xr:uid="{5F9610EB-5DCB-4CA9-8685-51814B2D01E8}"/>
    <hyperlink ref="AF50" r:id="rId13" xr:uid="{38C454C9-6D37-4A55-9BB3-369D01918723}"/>
    <hyperlink ref="AH50" r:id="rId14" xr:uid="{9205DB76-019D-4794-B70C-88F9B04D9E3B}"/>
    <hyperlink ref="AF31:AF43" r:id="rId15" display="https://drive.google.com/file/d/1Ri-YAEWJjvz1PE2D5W_tY9aB0o-kD3Cx/view?usp=drive_link" xr:uid="{629F75EF-4161-4763-A0EE-99F9FB7AA4D7}"/>
    <hyperlink ref="AH31:AH43" r:id="rId16" display="https://drive.google.com/file/d/17kFHEbF-AEDFcJjjgAoxnDoBUieKKDg3/view?usp=drive_link" xr:uid="{F730D639-26ED-434E-BAD6-074FF436A83E}"/>
    <hyperlink ref="AF18" r:id="rId17" xr:uid="{37D72801-17FC-45B4-8355-66AA84FDA1C1}"/>
    <hyperlink ref="AH18" r:id="rId18" xr:uid="{A6A3F1C8-EF51-4162-9697-68019C44C181}"/>
    <hyperlink ref="AF10" r:id="rId19" xr:uid="{DAF1037D-DD17-483C-B64D-401B946DEAFB}"/>
    <hyperlink ref="AH10" r:id="rId20" xr:uid="{25635853-A6F9-4F02-9014-4DDBA99E245B}"/>
    <hyperlink ref="AD82" r:id="rId21" xr:uid="{85838472-3FC7-407F-A546-D82AD525B311}"/>
    <hyperlink ref="AF82" r:id="rId22" xr:uid="{D59964F0-70B2-4DAD-A0D5-59AC29988E6E}"/>
    <hyperlink ref="AH82" r:id="rId23" xr:uid="{9F4AAE7E-A5FA-4F82-B709-8DDEBCA8DB46}"/>
    <hyperlink ref="AD85" r:id="rId24" xr:uid="{11ACDF30-C4E9-48FC-86CE-84F8B4E1FF4A}"/>
    <hyperlink ref="AF85" r:id="rId25" xr:uid="{72470B16-0F4C-4D36-BD13-22B0BD9EEFF6}"/>
    <hyperlink ref="AH85" r:id="rId26" xr:uid="{547FA617-38EC-4F03-9466-14A95C6E95C9}"/>
    <hyperlink ref="AD94" r:id="rId27" xr:uid="{394520AC-817A-4D5E-B512-72FE65771591}"/>
    <hyperlink ref="AF94" r:id="rId28" xr:uid="{DE22E9C6-4ED6-4CA2-BCCF-AED32B5D2F0D}"/>
    <hyperlink ref="AH94" r:id="rId29" xr:uid="{D97068C5-15B6-4C3C-9714-17CE84171293}"/>
    <hyperlink ref="AD103" r:id="rId30" xr:uid="{091FDA7B-B4EB-4B40-BB84-85C2EA54C873}"/>
    <hyperlink ref="AF103" r:id="rId31" xr:uid="{22CAE538-AB79-4320-8797-0BB867C1C10A}"/>
    <hyperlink ref="AH103" r:id="rId32" xr:uid="{C4C3A1E8-FAA9-4695-AC9D-1D13391F97EB}"/>
    <hyperlink ref="AD104" r:id="rId33" xr:uid="{4DA2CFCB-41FD-4006-B72B-54E2C2E28CB3}"/>
    <hyperlink ref="AD105" r:id="rId34" xr:uid="{8E8937F9-6B56-48B1-9631-2C8DC84DC494}"/>
    <hyperlink ref="AD106" r:id="rId35" xr:uid="{9EC8AEA6-6B43-48C9-9B09-C68FCBF8B343}"/>
    <hyperlink ref="AD107" r:id="rId36" xr:uid="{4D34CA89-DF3C-476E-81AB-4A7CB5506ACD}"/>
    <hyperlink ref="AD108" r:id="rId37" xr:uid="{4C2D95DC-7832-44A8-B87E-25A4AF4F98AF}"/>
    <hyperlink ref="AD109" r:id="rId38" xr:uid="{7ECE1A3A-B0C7-4207-8FD4-FCB035794459}"/>
    <hyperlink ref="AD110" r:id="rId39" xr:uid="{58F0D35F-FBD0-4B9B-8B41-4AF20E76D3E5}"/>
    <hyperlink ref="AD111" r:id="rId40" xr:uid="{30374C65-3021-4053-80DA-E1BC2085D515}"/>
    <hyperlink ref="AF104" r:id="rId41" xr:uid="{489F5951-5EE1-44F0-9C15-C12B84D753EB}"/>
    <hyperlink ref="AF105" r:id="rId42" xr:uid="{F50F6C66-252C-48CB-A5C2-F16229E7D80A}"/>
    <hyperlink ref="AF106" r:id="rId43" xr:uid="{EBAF2E21-9EF5-44E9-AC1C-89AE508AA39E}"/>
    <hyperlink ref="AF107" r:id="rId44" xr:uid="{66E9B671-D53E-4617-BBFC-BEE67002B2C1}"/>
    <hyperlink ref="AF108" r:id="rId45" xr:uid="{EA11C03F-1717-453E-8822-A25A477A516B}"/>
    <hyperlink ref="AF109" r:id="rId46" xr:uid="{6476ACD7-B26D-4EB3-A56E-EC9112BAE3EE}"/>
    <hyperlink ref="AF110" r:id="rId47" xr:uid="{D8B3A727-04F2-4012-B88E-A75456C7CA70}"/>
    <hyperlink ref="AF111" r:id="rId48" xr:uid="{1EBF3646-A255-45F5-8DBC-09D5E91792F2}"/>
    <hyperlink ref="AH104" r:id="rId49" xr:uid="{ACE41666-9EB9-4648-BDB3-5CC83B6D9464}"/>
    <hyperlink ref="AH105" r:id="rId50" xr:uid="{AC47A958-1808-493A-9565-E27225F71481}"/>
    <hyperlink ref="AH106" r:id="rId51" xr:uid="{7DDA6B37-889D-4D7C-9A3B-B9B37D058C33}"/>
    <hyperlink ref="AH107" r:id="rId52" xr:uid="{E010EC8C-DF84-43BB-82CA-010DD55E3FF8}"/>
    <hyperlink ref="AH108" r:id="rId53" xr:uid="{2074DFD2-AB3D-46A1-91D0-CCBF3E540F5B}"/>
    <hyperlink ref="AH109" r:id="rId54" xr:uid="{AD99E587-9A19-47FF-B23D-2DEC605E8FA4}"/>
    <hyperlink ref="AH110" r:id="rId55" xr:uid="{5D0499CF-9F3C-4286-984A-0B9975970043}"/>
    <hyperlink ref="AH111" r:id="rId56" xr:uid="{EC83D2CB-FEEA-4A22-880D-F1A5FE8E2CD7}"/>
    <hyperlink ref="AD95" r:id="rId57" xr:uid="{B58482E1-97E0-4354-A6C3-718F7645150E}"/>
    <hyperlink ref="AD96" r:id="rId58" xr:uid="{786B4E1E-1DB7-4B50-B5A0-19A58848F037}"/>
    <hyperlink ref="AD97" r:id="rId59" xr:uid="{BF75E880-2918-4376-92B0-E10128D044A4}"/>
    <hyperlink ref="AD98" r:id="rId60" xr:uid="{C9D51FC2-FA6F-46A4-A03D-72E4B2FFB468}"/>
    <hyperlink ref="AD99" r:id="rId61" xr:uid="{6F71356B-9F8D-407B-8332-8A669E23B76F}"/>
    <hyperlink ref="AD100" r:id="rId62" xr:uid="{EB94CCDE-C672-4353-9631-653E5616E99E}"/>
    <hyperlink ref="AD101" r:id="rId63" xr:uid="{C856177A-A761-4256-A7A8-2061524E8118}"/>
    <hyperlink ref="AD102" r:id="rId64" xr:uid="{72D9A8FE-0EBC-45B1-BEBB-EF6F066D81B7}"/>
    <hyperlink ref="AF95" r:id="rId65" xr:uid="{4FA4D333-EC89-42BB-ABD8-8AFF2F0D37BF}"/>
    <hyperlink ref="AF96" r:id="rId66" xr:uid="{9B6354A1-6E74-49DF-8DCD-6CEED07CF796}"/>
    <hyperlink ref="AF97" r:id="rId67" xr:uid="{A28156A7-9713-4EDA-9DEB-8424C305A3BA}"/>
    <hyperlink ref="AF98" r:id="rId68" xr:uid="{EF805996-3705-47BA-98A8-A2F98110E2B0}"/>
    <hyperlink ref="AF99" r:id="rId69" xr:uid="{DEEB2B3D-A29A-47C7-B9F2-AEB5B2398D61}"/>
    <hyperlink ref="AF100" r:id="rId70" xr:uid="{56AEB5DD-FCAF-4C80-9445-09A3E958707B}"/>
    <hyperlink ref="AF101" r:id="rId71" xr:uid="{E367915F-6EB9-4BE1-A34F-726F4A604393}"/>
    <hyperlink ref="AF102" r:id="rId72" xr:uid="{FA1F83F3-698E-4769-BACC-FDE1F1688ED6}"/>
    <hyperlink ref="AH95" r:id="rId73" xr:uid="{B33E6552-4118-49B4-A1C5-DFF4E67E5FC6}"/>
    <hyperlink ref="AH96" r:id="rId74" xr:uid="{E3C8E9D3-7C21-4AA2-B443-142AE43F153A}"/>
    <hyperlink ref="AH97" r:id="rId75" xr:uid="{DBB2B23D-E237-402B-8CB7-42FE044975E9}"/>
    <hyperlink ref="AH98" r:id="rId76" xr:uid="{619785F0-65CA-45D8-90D5-27A74DCE221A}"/>
    <hyperlink ref="AH99" r:id="rId77" xr:uid="{151B0AFF-62E0-461D-9E6C-467AFF62B76C}"/>
    <hyperlink ref="AH100" r:id="rId78" xr:uid="{879611F8-0B6B-42BE-85B5-1A2482254681}"/>
    <hyperlink ref="AH101" r:id="rId79" xr:uid="{8950B4E2-B312-4C2B-B1C2-2B3BB96FD2D2}"/>
    <hyperlink ref="AH102" r:id="rId80" xr:uid="{77C2BFFB-A5FF-42C5-A38A-E2195DD4F9EB}"/>
    <hyperlink ref="AD86" r:id="rId81" xr:uid="{DEEE44EA-80E6-44FE-8D31-A209DBF5AEA3}"/>
    <hyperlink ref="AD87" r:id="rId82" xr:uid="{94036D45-C090-493D-BE6E-576D84E9287A}"/>
    <hyperlink ref="AD88" r:id="rId83" xr:uid="{B29AC1A9-94A9-4945-B3FF-5A50E7408E08}"/>
    <hyperlink ref="AD89" r:id="rId84" xr:uid="{88E2ABFF-ABCD-454F-8028-766FAC53161F}"/>
    <hyperlink ref="AD90" r:id="rId85" xr:uid="{BE1BB37E-D581-404F-BACB-671B2F7ACD23}"/>
    <hyperlink ref="AD91" r:id="rId86" xr:uid="{236723EB-CF28-458F-B6CD-916A1E24955D}"/>
    <hyperlink ref="AD92" r:id="rId87" xr:uid="{A759B675-FA32-4917-9EDD-7FEDF1F5FFA4}"/>
    <hyperlink ref="AD93" r:id="rId88" xr:uid="{22666F54-122B-4B90-94B0-D378D232FCC8}"/>
    <hyperlink ref="AF86" r:id="rId89" xr:uid="{6F4DAE4D-D744-43F8-A9F6-9EA610C517D4}"/>
    <hyperlink ref="AF87" r:id="rId90" xr:uid="{2CCC29BE-4246-4FEE-8AB0-4AF375BF18BE}"/>
    <hyperlink ref="AF88" r:id="rId91" xr:uid="{464D1473-B601-4D44-932E-484BB5E2E18A}"/>
    <hyperlink ref="AF89" r:id="rId92" xr:uid="{5400A15A-18EE-44EA-B07A-5BFBA96455F2}"/>
    <hyperlink ref="AF90" r:id="rId93" xr:uid="{7E490BCC-DCEF-40D5-8900-2541F85C241E}"/>
    <hyperlink ref="AF91" r:id="rId94" xr:uid="{34BCC0B8-1E72-4583-A34A-C2EC2BAF1B5B}"/>
    <hyperlink ref="AF92" r:id="rId95" xr:uid="{B0816C2C-0DBE-4950-95C7-3F98F24A344D}"/>
    <hyperlink ref="AF93" r:id="rId96" xr:uid="{781AE1BE-3AD9-4684-8EDB-780C83124DFC}"/>
    <hyperlink ref="AH86" r:id="rId97" xr:uid="{1A923757-0764-4229-B77D-43A6E55BE9F3}"/>
    <hyperlink ref="AH87" r:id="rId98" xr:uid="{4A35F204-0653-4DF3-BFB5-74C19AD3AC9B}"/>
    <hyperlink ref="AH88" r:id="rId99" xr:uid="{6B81BCE3-2544-4699-BC30-A758F00ED489}"/>
    <hyperlink ref="AH89" r:id="rId100" xr:uid="{1F80674D-C665-4953-B4F8-D31551B664D5}"/>
    <hyperlink ref="AH90" r:id="rId101" xr:uid="{1DE1B315-EC1C-4899-90A6-2A639D9F7A52}"/>
    <hyperlink ref="AH91" r:id="rId102" xr:uid="{DD12DEFD-B7CA-4E41-B170-A4310791AC4E}"/>
    <hyperlink ref="AH92" r:id="rId103" xr:uid="{FDC71089-3B72-4308-A39F-EED30C22F63C}"/>
    <hyperlink ref="AH93" r:id="rId104" xr:uid="{105D15C2-DBE1-4C03-A18D-DF33E396BA87}"/>
    <hyperlink ref="AD83" r:id="rId105" xr:uid="{B0834EEB-4621-47B8-943A-B4D3F6681AB7}"/>
    <hyperlink ref="AD84" r:id="rId106" xr:uid="{D4498C77-531A-4ECC-9C6C-D99F60D5468B}"/>
    <hyperlink ref="AF83" r:id="rId107" xr:uid="{461EAC0A-7042-4E4A-A55B-980814679ADF}"/>
    <hyperlink ref="AF84" r:id="rId108" xr:uid="{27F52C31-205A-48FB-B57F-ED91CC56C8EC}"/>
    <hyperlink ref="AH83" r:id="rId109" xr:uid="{6CE71899-89FD-431D-9424-700CA9390B3E}"/>
    <hyperlink ref="AH84" r:id="rId110" xr:uid="{FCC21207-6F8F-4A3F-A329-CE7E0EACE00D}"/>
    <hyperlink ref="AD72:AD81" r:id="rId111" display="https://drive.google.com/file/d/1XRwotDLG4Wn7ltT3YhUdshMCpqVktKT8/view" xr:uid="{A678ABB0-CF58-4B74-80D0-A42163C19FCA}"/>
    <hyperlink ref="AF71" r:id="rId112" xr:uid="{1055452C-32B6-4681-8883-8268DD4DE996}"/>
    <hyperlink ref="AF72:AF81" r:id="rId113" display="https://drive.google.com/file/d/1m0sCGqTc1t6OyfiPeptI64GQWmQuBkv8/view?usp=drive_link" xr:uid="{D8C04EBC-CC5E-4562-9E21-2D348D86DCDF}"/>
    <hyperlink ref="AH71" r:id="rId114" xr:uid="{5E4C4B0A-46C2-4FBB-93E3-3E7EB1C7450D}"/>
    <hyperlink ref="AH72:AH81" r:id="rId115" display="https://drive.google.com/file/d/1davhSxDuZNhi5xMvx1qc6yUbp9a-alvk/view?usp=drive_link" xr:uid="{0A25CB17-A50F-4F1D-A75C-C338C1C6AC99}"/>
    <hyperlink ref="AD61" r:id="rId116" xr:uid="{EB2A41B4-516B-40BB-92B4-CCDF418F073F}"/>
    <hyperlink ref="AD62" r:id="rId117" xr:uid="{A64585E0-3CDB-4365-B92D-B2AB781983AB}"/>
    <hyperlink ref="AD63" r:id="rId118" xr:uid="{9847CC3E-95AA-4893-BB89-429674C6418D}"/>
    <hyperlink ref="AD64" r:id="rId119" xr:uid="{DC56C8AC-5552-4DA1-A83F-9292BFDE91C1}"/>
    <hyperlink ref="AD65" r:id="rId120" xr:uid="{C5EFEBE7-DD97-4AEF-AD01-7ACFB8CF028D}"/>
    <hyperlink ref="AD66" r:id="rId121" xr:uid="{9E6E6B54-08D6-4D16-AE27-677D9417B6BD}"/>
    <hyperlink ref="AD67" r:id="rId122" xr:uid="{1D2E62F3-B4D9-432C-8CF0-7F5E900D5601}"/>
    <hyperlink ref="AD68" r:id="rId123" xr:uid="{4B8F2B6A-3311-448E-85CF-E35E34DA5C87}"/>
    <hyperlink ref="AD69" r:id="rId124" xr:uid="{9AB3F029-07B4-4817-B71B-E9DA21A191A9}"/>
    <hyperlink ref="AD70" r:id="rId125" xr:uid="{C4F76604-33F3-4C5C-8243-7B89C0708EB7}"/>
    <hyperlink ref="AF61" r:id="rId126" xr:uid="{3EA9E1BF-A8AE-4C07-9A38-A2B65CDF19C2}"/>
    <hyperlink ref="AF62" r:id="rId127" xr:uid="{AEA8834B-7234-4F79-8265-EEF7AE17D737}"/>
    <hyperlink ref="AF63" r:id="rId128" xr:uid="{11328C90-8D65-41A9-889E-81274132AE20}"/>
    <hyperlink ref="AF64" r:id="rId129" xr:uid="{EB0E4A9C-9DE6-4369-8C24-A134BD102D46}"/>
    <hyperlink ref="AF65" r:id="rId130" xr:uid="{9C37EA49-42E9-445A-89B4-A495EE10D062}"/>
    <hyperlink ref="AF66" r:id="rId131" xr:uid="{9B47D6BF-B09B-4485-AF5D-4FBE45DA957B}"/>
    <hyperlink ref="AF67" r:id="rId132" xr:uid="{3EE67D2F-4346-42D5-BD9E-10330AC383BB}"/>
    <hyperlink ref="AF68" r:id="rId133" xr:uid="{6B440052-39D3-4B09-99CC-9FEF83C52D47}"/>
    <hyperlink ref="AF69" r:id="rId134" xr:uid="{7CF99B1E-711F-4ACA-A1B6-FCCFB5AC3069}"/>
    <hyperlink ref="AF70" r:id="rId135" xr:uid="{D7BCA684-02DE-466A-A7E4-B5D5CB5E8023}"/>
    <hyperlink ref="AH61" r:id="rId136" xr:uid="{6A8E1FD3-CFE5-44E0-A6F9-263969866C67}"/>
    <hyperlink ref="AH62" r:id="rId137" xr:uid="{E0804F9A-DE1E-4938-BAF7-623F8FB4936D}"/>
    <hyperlink ref="AH63" r:id="rId138" xr:uid="{8E14D844-E594-4773-BC10-5C100AE9ACB9}"/>
    <hyperlink ref="AH64" r:id="rId139" xr:uid="{3E67E8FB-6807-4A6C-B5FD-3062FD607CC5}"/>
    <hyperlink ref="AH65" r:id="rId140" xr:uid="{6CC5593A-1625-41B2-AC18-6CF65C32EF3C}"/>
    <hyperlink ref="AH66" r:id="rId141" xr:uid="{23D6795C-DC59-4BEE-B666-DCE0864892EA}"/>
    <hyperlink ref="AH67" r:id="rId142" xr:uid="{7108FF74-30D7-4C4B-A7DE-8D2BA5826EF8}"/>
    <hyperlink ref="AH68" r:id="rId143" xr:uid="{BC68F646-657B-4395-844A-F2479DE38E5F}"/>
    <hyperlink ref="AH69" r:id="rId144" xr:uid="{E7C9B224-A011-49E9-B394-2B77A33658E3}"/>
    <hyperlink ref="AH70" r:id="rId145" xr:uid="{B0F50896-10DF-437A-9BC0-E31305F38E19}"/>
    <hyperlink ref="AD51" r:id="rId146" xr:uid="{785515DB-90C5-4D45-97F6-874AD255C310}"/>
    <hyperlink ref="AD52" r:id="rId147" xr:uid="{74D0414E-6823-4E83-BEDC-9AAF5E03859B}"/>
    <hyperlink ref="AD53" r:id="rId148" xr:uid="{5C9B7548-5678-469B-AADE-6F2F66F276CF}"/>
    <hyperlink ref="AD54" r:id="rId149" xr:uid="{CB02F517-856B-44D8-90B2-CAE43EAB3574}"/>
    <hyperlink ref="AD55" r:id="rId150" xr:uid="{0781889C-3888-44E6-9616-A76DA058D562}"/>
    <hyperlink ref="AD56" r:id="rId151" xr:uid="{07194532-DD4A-4F70-9BDA-BDC07759595A}"/>
    <hyperlink ref="AD57" r:id="rId152" xr:uid="{8628AF9D-1689-427B-849F-084DC1DBD385}"/>
    <hyperlink ref="AD58" r:id="rId153" xr:uid="{6BF50782-AA35-4241-B8D7-592D136973B2}"/>
    <hyperlink ref="AD59" r:id="rId154" xr:uid="{0F43420A-8901-40C0-BE28-20596D11B5A3}"/>
    <hyperlink ref="AF51" r:id="rId155" xr:uid="{4B35C4C2-49A6-4D7D-8D7C-5FF716A06991}"/>
    <hyperlink ref="AF52" r:id="rId156" xr:uid="{A9CDD601-97F3-42C1-91DC-DF7516355299}"/>
    <hyperlink ref="AF53" r:id="rId157" xr:uid="{CACC50F6-90C1-442C-841A-7027646A94EC}"/>
    <hyperlink ref="AF54" r:id="rId158" xr:uid="{899C3166-C5E9-4BA7-9592-19A2BE5871F4}"/>
    <hyperlink ref="AF55" r:id="rId159" xr:uid="{1DE4E729-BD9B-4535-8DEE-761A3B71C660}"/>
    <hyperlink ref="AF56" r:id="rId160" xr:uid="{33C127D5-F6EA-4629-AA23-840FB9152CD5}"/>
    <hyperlink ref="AF57" r:id="rId161" xr:uid="{8E49165A-61E3-45F5-9FD9-E0320B590E2F}"/>
    <hyperlink ref="AF58" r:id="rId162" xr:uid="{6A023DA8-81A9-49D6-BAED-9DFAE7133F3F}"/>
    <hyperlink ref="AF59" r:id="rId163" xr:uid="{63621884-1238-4505-81B1-2976EDC776C5}"/>
    <hyperlink ref="AH51" r:id="rId164" xr:uid="{6010FAB4-8DCD-485F-A5E6-9DBA5D269BE5}"/>
    <hyperlink ref="AH52" r:id="rId165" xr:uid="{54590025-1100-4AAD-872A-CB5A85A188E5}"/>
    <hyperlink ref="AH53" r:id="rId166" xr:uid="{764E64A9-97F1-46B7-96EE-BEF309B5B6B0}"/>
    <hyperlink ref="AH54" r:id="rId167" xr:uid="{BC4A66F5-36B3-46FD-AF7F-0D7C89F8DDE0}"/>
    <hyperlink ref="AH55" r:id="rId168" xr:uid="{9A7F0F42-FFBE-4A9B-AF39-E24F6EC4D1CE}"/>
    <hyperlink ref="AH56" r:id="rId169" xr:uid="{3A7401B9-044D-45F6-847B-D46D1D2E29E7}"/>
    <hyperlink ref="AH57" r:id="rId170" xr:uid="{E21E54A8-7296-4217-B769-891DC73915D6}"/>
    <hyperlink ref="AH58" r:id="rId171" xr:uid="{BC24C2A6-88BC-4A3B-BB56-EF218AA4EAF6}"/>
    <hyperlink ref="AH59" r:id="rId172" xr:uid="{9C8FEA62-7719-43A3-85AA-141EE6BF3885}"/>
    <hyperlink ref="AF45" r:id="rId173" xr:uid="{4F3B0FA0-2A2A-4A2C-8173-D14773A15731}"/>
    <hyperlink ref="AF46" r:id="rId174" xr:uid="{5A6E3FA0-0000-4584-BA62-E7E472C242A7}"/>
    <hyperlink ref="AF47" r:id="rId175" xr:uid="{45C61DAD-F66A-44D4-9980-4B2FF59D16FB}"/>
    <hyperlink ref="AF48" r:id="rId176" xr:uid="{AAD30AF3-39DF-442E-90B3-15BFC8864274}"/>
    <hyperlink ref="AF49" r:id="rId177" xr:uid="{C734D195-6FAA-4FC0-8B50-149600EC0B94}"/>
    <hyperlink ref="AH45" r:id="rId178" xr:uid="{9CBE9561-1A7C-430C-8C6A-8A4BD4E4A426}"/>
    <hyperlink ref="AH46" r:id="rId179" xr:uid="{C69782DE-8B21-49E9-91B5-EA6A394638E6}"/>
    <hyperlink ref="AH47" r:id="rId180" xr:uid="{F7153287-EA2B-4F37-8536-78F43EBB96CD}"/>
    <hyperlink ref="AH48" r:id="rId181" xr:uid="{3E3ACD38-CB6A-4F35-862F-2166D146A705}"/>
    <hyperlink ref="AH49" r:id="rId182" xr:uid="{67526094-B58B-4B42-ADB1-B6B412DBA321}"/>
    <hyperlink ref="AD45" r:id="rId183" xr:uid="{55C02840-C7FC-4CB3-8C0B-DA196CADC73A}"/>
    <hyperlink ref="AD46" r:id="rId184" xr:uid="{E87A4F51-ADB6-48A0-9B52-7EB4BCD1E36A}"/>
    <hyperlink ref="AD47" r:id="rId185" xr:uid="{43C89D0D-FFA8-4046-9696-48554594C811}"/>
    <hyperlink ref="AD48" r:id="rId186" xr:uid="{181CC895-5C8D-478C-AFF5-9A7AE69D8715}"/>
    <hyperlink ref="AD49" r:id="rId187" xr:uid="{EEFF6CF3-033E-4CBE-8A24-7740ED0B578F}"/>
    <hyperlink ref="AD31" r:id="rId188" xr:uid="{3ECB8E2A-1C51-4E11-9BED-C28C75558930}"/>
    <hyperlink ref="AF31" r:id="rId189" xr:uid="{FD83A7B0-A994-4AE7-BC6A-9BA48FD73CBD}"/>
    <hyperlink ref="AH31" r:id="rId190" xr:uid="{6F237395-D44A-4812-B4A0-B28558DEDF95}"/>
    <hyperlink ref="AD32" r:id="rId191" xr:uid="{00AF81B8-679C-4B03-812A-2F9F1E879F4D}"/>
    <hyperlink ref="AD33" r:id="rId192" xr:uid="{FC299C9F-6C51-4745-B1D5-54B416307DCA}"/>
    <hyperlink ref="AD34" r:id="rId193" xr:uid="{E0F167EE-48E4-4395-9B51-FA44577E3CD4}"/>
    <hyperlink ref="AD35" r:id="rId194" xr:uid="{507BEEB9-DA50-414A-8A7E-4131D765B744}"/>
    <hyperlink ref="AD36" r:id="rId195" xr:uid="{9A8A6CE9-3B9E-4351-A66D-D2F08BD91504}"/>
    <hyperlink ref="AD37" r:id="rId196" xr:uid="{19BDD761-DF30-4081-86A4-F01FC8A6F35F}"/>
    <hyperlink ref="AD38" r:id="rId197" xr:uid="{4EFF2753-B4A0-4BC2-8263-33E36D860722}"/>
    <hyperlink ref="AD39" r:id="rId198" xr:uid="{1A2B2929-ADE2-419A-9842-6FF720353864}"/>
    <hyperlink ref="AD40" r:id="rId199" xr:uid="{99B77D72-E175-48F9-AF0A-FC30CA471C20}"/>
    <hyperlink ref="AD41" r:id="rId200" xr:uid="{DBA7A87E-DF5C-48B3-8954-E1D97CAF7E84}"/>
    <hyperlink ref="AD42" r:id="rId201" xr:uid="{31D483DE-DDAE-4AAE-B332-DEEED53C0128}"/>
    <hyperlink ref="AD43" r:id="rId202" xr:uid="{DBEDA461-44EE-4457-A9DA-8A9D13296260}"/>
    <hyperlink ref="AF32" r:id="rId203" xr:uid="{C27B6127-F379-4CD9-B15D-E731895BF5FB}"/>
    <hyperlink ref="AF33" r:id="rId204" xr:uid="{DE5CC962-6228-4152-B884-37142B40EBA6}"/>
    <hyperlink ref="AF34" r:id="rId205" xr:uid="{936EEA18-FFB7-4C21-A669-C9A694D39058}"/>
    <hyperlink ref="AF35" r:id="rId206" xr:uid="{7AF7AA30-E6A0-40D9-BE40-C03168935F78}"/>
    <hyperlink ref="AF36" r:id="rId207" xr:uid="{1CADA712-4CE4-4F52-9682-6571EEEA190D}"/>
    <hyperlink ref="AF37" r:id="rId208" xr:uid="{53C89610-BC81-44A6-9506-9DA1A274A6B8}"/>
    <hyperlink ref="AF38" r:id="rId209" xr:uid="{57F76F36-95E9-4DBC-83EE-11288476EADE}"/>
    <hyperlink ref="AF39" r:id="rId210" xr:uid="{4B06D6C9-C390-42C7-AC94-55E1B6E67A73}"/>
    <hyperlink ref="AF40" r:id="rId211" xr:uid="{D83E9D5E-8373-4C32-B781-6F753CE0F340}"/>
    <hyperlink ref="AF41" r:id="rId212" xr:uid="{54D83E68-D5EC-4957-80A6-CF5CBB4BB37D}"/>
    <hyperlink ref="AF42" r:id="rId213" xr:uid="{612A8C30-6672-4F13-B718-84384EF9E0A3}"/>
    <hyperlink ref="AF43" r:id="rId214" xr:uid="{7F34CF74-783B-4DC2-A7D5-8E959AE68CD0}"/>
    <hyperlink ref="AH32" r:id="rId215" xr:uid="{B7114BFA-DCF3-4E02-8B6F-19DE46DFDF41}"/>
    <hyperlink ref="AH33" r:id="rId216" xr:uid="{833AB5CA-4BA0-4F91-A05A-1BDD5A97BC2A}"/>
    <hyperlink ref="AH34" r:id="rId217" xr:uid="{3350ACF0-AE25-4F1B-895E-F7223889391C}"/>
    <hyperlink ref="AH35" r:id="rId218" xr:uid="{9D8740DA-8339-443C-BAB2-7C92F5B48D8F}"/>
    <hyperlink ref="AH36" r:id="rId219" xr:uid="{C1C18B61-23EC-4EF4-BE3B-38800DE09B2F}"/>
    <hyperlink ref="AH37" r:id="rId220" xr:uid="{0F50BEA0-5B7C-4F8C-B3C1-0C0795ED075B}"/>
    <hyperlink ref="AH38" r:id="rId221" xr:uid="{DC37F767-C2E5-41C4-819B-68F1816F0213}"/>
    <hyperlink ref="AH39" r:id="rId222" xr:uid="{5E30EC7E-1B43-472F-865A-DC710C01CAA9}"/>
    <hyperlink ref="AH40" r:id="rId223" xr:uid="{5C0FCFB0-6E1E-470E-9FB1-A105E5878C58}"/>
    <hyperlink ref="AH41" r:id="rId224" xr:uid="{7EA32239-E5DB-4942-9DA8-BE9174A52D2A}"/>
    <hyperlink ref="AH42" r:id="rId225" xr:uid="{9708EC40-15DF-41DA-8401-A2FD1D01C42D}"/>
    <hyperlink ref="AH43" r:id="rId226" xr:uid="{9595BF88-8833-4CF3-A7B8-A20DFAA84A2D}"/>
    <hyperlink ref="AD19" r:id="rId227" xr:uid="{27B81091-EE77-4D28-90E7-45ADC8D7B46A}"/>
    <hyperlink ref="AD20" r:id="rId228" xr:uid="{B75FE562-8FDD-4723-BF2C-50F8C4A75FDF}"/>
    <hyperlink ref="AD21" r:id="rId229" xr:uid="{9A6D66E5-143B-43F1-8CBA-49425CF45B53}"/>
    <hyperlink ref="AD22" r:id="rId230" xr:uid="{FCE13D64-6A1A-4774-955C-4F7111D4342C}"/>
    <hyperlink ref="AD23" r:id="rId231" xr:uid="{6E578A00-00FD-4E27-98ED-627322837135}"/>
    <hyperlink ref="AD24" r:id="rId232" xr:uid="{D50E45E3-B30B-40FC-8885-8450E7DC1BD8}"/>
    <hyperlink ref="AD25" r:id="rId233" xr:uid="{872A2DAA-2C7A-44C0-995A-A16A2DEAE5B3}"/>
    <hyperlink ref="AD26" r:id="rId234" xr:uid="{7CF39BBB-E180-4424-B62C-3B99E1D02B26}"/>
    <hyperlink ref="AD27" r:id="rId235" xr:uid="{96E4F691-5960-4AD0-B7F0-BC2391A7ED61}"/>
    <hyperlink ref="AD28" r:id="rId236" xr:uid="{9CE7525C-2650-4EA5-AA8D-455DED19C84D}"/>
    <hyperlink ref="AD29" r:id="rId237" xr:uid="{2EA2DE6F-4DB5-47F0-AE0C-644A41D2C228}"/>
    <hyperlink ref="AD30" r:id="rId238" xr:uid="{EEF7E016-6BB8-45EA-82DA-4A64AD2BBD25}"/>
    <hyperlink ref="AF19" r:id="rId239" xr:uid="{A626B188-03B4-4D3E-B8F8-AEF7E1D40B7A}"/>
    <hyperlink ref="AF20" r:id="rId240" xr:uid="{0BDAEDE1-32B3-49A6-BBEE-1E7138E5D9CB}"/>
    <hyperlink ref="AF21" r:id="rId241" xr:uid="{245FF672-3421-4EBA-A0E3-F4F0000E547D}"/>
    <hyperlink ref="AF22" r:id="rId242" xr:uid="{EECB4DB4-8E25-4F0E-B13B-A358DEBA3EDE}"/>
    <hyperlink ref="AF23" r:id="rId243" xr:uid="{F09717B8-6549-4D13-94D2-B8A50A9825A4}"/>
    <hyperlink ref="AF24" r:id="rId244" xr:uid="{C2270F58-6199-4119-8C4A-F4C7C2F41418}"/>
    <hyperlink ref="AF25" r:id="rId245" xr:uid="{B344261C-A75B-416D-B3CB-E9E391AB8524}"/>
    <hyperlink ref="AF26" r:id="rId246" xr:uid="{C4C18BD7-6108-4076-A68C-0F8629AB3A1D}"/>
    <hyperlink ref="AF27" r:id="rId247" xr:uid="{7BB4C5C8-55E0-436E-9A64-0BC35927C799}"/>
    <hyperlink ref="AF28" r:id="rId248" xr:uid="{F8896BE2-28A8-4F5F-9516-37360D5A824F}"/>
    <hyperlink ref="AF29" r:id="rId249" xr:uid="{C2E2A215-84A4-4F40-AE32-1BC1B28FA672}"/>
    <hyperlink ref="AF30" r:id="rId250" xr:uid="{EFC818E9-1022-4BAB-9EF0-19D0903F6A2A}"/>
    <hyperlink ref="AH19" r:id="rId251" xr:uid="{255BF306-A828-47F1-830E-60FB964ADDEE}"/>
    <hyperlink ref="AH20" r:id="rId252" xr:uid="{3BFBF86E-DF7F-4167-AE3E-1623B2405201}"/>
    <hyperlink ref="AH21" r:id="rId253" xr:uid="{EA4C1B9F-2444-429C-A1E3-17BDAE61007F}"/>
    <hyperlink ref="AH22" r:id="rId254" xr:uid="{F462B083-BA32-45DB-91CB-56307AB8DEB8}"/>
    <hyperlink ref="AH23" r:id="rId255" xr:uid="{39765431-B1B2-48FB-815D-15533631B6F3}"/>
    <hyperlink ref="AH24" r:id="rId256" xr:uid="{A10F0361-32B1-45C1-BA75-D611D9357C4F}"/>
    <hyperlink ref="AH25" r:id="rId257" xr:uid="{FE97637D-72A7-446B-ABDF-9E467EB9AD1A}"/>
    <hyperlink ref="AH26" r:id="rId258" xr:uid="{C788E589-B1AE-4EA7-B02D-A568574A1BB7}"/>
    <hyperlink ref="AH27" r:id="rId259" xr:uid="{11359AA3-9EFE-438B-B4D4-2ADA97657671}"/>
    <hyperlink ref="AH28" r:id="rId260" xr:uid="{438C5791-8CC3-4DDB-BE30-6152333E57F4}"/>
    <hyperlink ref="AH29" r:id="rId261" xr:uid="{9DF67578-7AD7-46FF-9F76-633A27FABF42}"/>
    <hyperlink ref="AH30" r:id="rId262" xr:uid="{7C74D585-839D-4646-8DD9-059FAEAC5908}"/>
    <hyperlink ref="AD11" r:id="rId263" xr:uid="{1C9B74C6-511B-48B3-8525-B83942DDC017}"/>
    <hyperlink ref="AD12" r:id="rId264" xr:uid="{2A3322A6-F789-4F9C-B9AB-A6AEDB5526E7}"/>
    <hyperlink ref="AD13" r:id="rId265" xr:uid="{84F104FB-300F-4F59-AAB6-7B85238AC18F}"/>
    <hyperlink ref="AD14" r:id="rId266" xr:uid="{735D7CF4-2831-423F-86FC-59D61B850497}"/>
    <hyperlink ref="AD15" r:id="rId267" xr:uid="{9E85492B-8A71-408D-B0CD-3B2E557680B1}"/>
    <hyperlink ref="AD16" r:id="rId268" xr:uid="{8B1694B7-10CB-4C0E-970B-658E3D29E317}"/>
    <hyperlink ref="AD17" r:id="rId269" xr:uid="{DA81E461-862D-4E64-BF16-7867C2A17AEB}"/>
    <hyperlink ref="AE11:AH11" r:id="rId270" display="https://drive.google.com/file/d/1N4Zo1nyoTRwV-8yeADEdYoewjbxnID-Z/view?usp=drive_link" xr:uid="{DD7505F7-542D-4F63-9AD6-5D88CF7C8503}"/>
    <hyperlink ref="AE12:AH12" r:id="rId271" display="https://drive.google.com/file/d/1N4Zo1nyoTRwV-8yeADEdYoewjbxnID-Z/view?usp=drive_link" xr:uid="{0FA488B6-AEA8-4E1B-9B05-906673A46139}"/>
    <hyperlink ref="AE13:AH13" r:id="rId272" display="https://drive.google.com/file/d/1N4Zo1nyoTRwV-8yeADEdYoewjbxnID-Z/view?usp=drive_link" xr:uid="{0572F1E9-66B6-465F-9B3B-276DC0BE090C}"/>
    <hyperlink ref="AE14:AH14" r:id="rId273" display="https://drive.google.com/file/d/1N4Zo1nyoTRwV-8yeADEdYoewjbxnID-Z/view?usp=drive_link" xr:uid="{DC683FD1-0992-47CD-B75B-6B94854B230E}"/>
    <hyperlink ref="AE15:AH15" r:id="rId274" display="https://drive.google.com/file/d/1N4Zo1nyoTRwV-8yeADEdYoewjbxnID-Z/view?usp=drive_link" xr:uid="{E102D30A-2CCF-4AF8-BFE8-9900B6A83B16}"/>
    <hyperlink ref="AE16:AH16" r:id="rId275" display="https://drive.google.com/file/d/1N4Zo1nyoTRwV-8yeADEdYoewjbxnID-Z/view?usp=drive_link" xr:uid="{206A9764-7EAA-4983-8390-1F9E8E696B23}"/>
    <hyperlink ref="AE17:AH17" r:id="rId276" display="https://drive.google.com/file/d/1N4Zo1nyoTRwV-8yeADEdYoewjbxnID-Z/view?usp=drive_link" xr:uid="{782271F0-5250-4BC4-BC47-6D41CB34E648}"/>
    <hyperlink ref="AF11" r:id="rId277" xr:uid="{4249B428-7EF7-406A-B138-644D5E26D432}"/>
    <hyperlink ref="AF12" r:id="rId278" xr:uid="{C478922B-C483-4031-84B4-50121DFFF7C3}"/>
    <hyperlink ref="AF13" r:id="rId279" xr:uid="{D8A2A612-1F6C-41C6-B120-E8B274E16833}"/>
    <hyperlink ref="AF14" r:id="rId280" xr:uid="{B86D83DC-37B7-4529-A92D-BB80E62DDBCA}"/>
    <hyperlink ref="AF15" r:id="rId281" xr:uid="{649EBAC7-52EB-4B1C-98A4-B17AE1BE50A8}"/>
    <hyperlink ref="AF16" r:id="rId282" xr:uid="{60EB1838-1893-499F-A40A-55030E12C770}"/>
    <hyperlink ref="AF17" r:id="rId283" xr:uid="{385708BD-024F-4926-8D5A-80BA081D904B}"/>
    <hyperlink ref="AH11" r:id="rId284" xr:uid="{3B9E038D-AEFE-40D5-987B-189041CE1333}"/>
    <hyperlink ref="AH12" r:id="rId285" xr:uid="{9DD0AFED-834D-4A32-9C0C-10D6CB5F1BCC}"/>
    <hyperlink ref="AH13" r:id="rId286" xr:uid="{E8435B42-19CB-453B-959F-E7CB680B4A69}"/>
    <hyperlink ref="AH14" r:id="rId287" xr:uid="{83E55AC4-C261-42A4-9C27-8C7B9ED008EB}"/>
    <hyperlink ref="AH15" r:id="rId288" xr:uid="{3BB64209-95CC-441E-82F3-53B29A67FCAA}"/>
    <hyperlink ref="AH16" r:id="rId289" xr:uid="{69294CCF-F1A3-4385-9E1A-63EC585BB239}"/>
    <hyperlink ref="AH17" r:id="rId290" xr:uid="{E41058EC-D594-46D5-A6D6-A280831A4B68}"/>
    <hyperlink ref="AD2" r:id="rId291" xr:uid="{2F6D98EB-D54D-431A-9605-D2C875171FCC}"/>
    <hyperlink ref="AF2" r:id="rId292" xr:uid="{06E80DD9-BED0-407B-AEC4-19824CF88006}"/>
    <hyperlink ref="AH2" r:id="rId293" xr:uid="{8F4A00F9-5F74-478F-AE61-32F3B4ACA433}"/>
    <hyperlink ref="AD3" r:id="rId294" xr:uid="{E06C9E08-AC3C-4768-982A-E4180C1F9C1F}"/>
    <hyperlink ref="AD4" r:id="rId295" xr:uid="{E45BF5AA-549E-4D0E-B673-E93EE041CF72}"/>
    <hyperlink ref="AD5" r:id="rId296" xr:uid="{2313A5E0-6F95-4D5F-BA1E-BAB9E7C899B4}"/>
    <hyperlink ref="AD6" r:id="rId297" xr:uid="{060FF446-F002-40F9-838F-724BC8B2B4AC}"/>
    <hyperlink ref="AD7" r:id="rId298" xr:uid="{75000CBE-24BA-45AD-A101-420156B020C4}"/>
    <hyperlink ref="AD8" r:id="rId299" xr:uid="{FF54B8A1-DEC3-4F36-A33A-1B6E760845F4}"/>
    <hyperlink ref="AD9" r:id="rId300" xr:uid="{D3E6D01A-4C32-406E-B8E4-73C7D1D4E692}"/>
    <hyperlink ref="AE3:AH3" r:id="rId301" display="https://drive.google.com/file/d/1N4Zo1nyoTRwV-8yeADEdYoewjbxnID-Z/view?usp=drive_link" xr:uid="{F82528D0-A665-43ED-A8CB-29D9299FBC9F}"/>
    <hyperlink ref="AE4:AH4" r:id="rId302" display="https://drive.google.com/file/d/1N4Zo1nyoTRwV-8yeADEdYoewjbxnID-Z/view?usp=drive_link" xr:uid="{979A2F5C-395B-4EAD-A98C-8C8002819E87}"/>
    <hyperlink ref="AE5:AH5" r:id="rId303" display="https://drive.google.com/file/d/1N4Zo1nyoTRwV-8yeADEdYoewjbxnID-Z/view?usp=drive_link" xr:uid="{6EB8F332-0E55-4837-B645-416D822C480F}"/>
    <hyperlink ref="AE6:AH6" r:id="rId304" display="https://drive.google.com/file/d/1N4Zo1nyoTRwV-8yeADEdYoewjbxnID-Z/view?usp=drive_link" xr:uid="{0D9CA04B-3291-4B0A-A418-0092EB05B435}"/>
    <hyperlink ref="AE7:AH7" r:id="rId305" display="https://drive.google.com/file/d/1N4Zo1nyoTRwV-8yeADEdYoewjbxnID-Z/view?usp=drive_link" xr:uid="{DA87D82D-9EE7-4B8B-B504-5C534D5D176B}"/>
    <hyperlink ref="AE8:AH8" r:id="rId306" display="https://drive.google.com/file/d/1N4Zo1nyoTRwV-8yeADEdYoewjbxnID-Z/view?usp=drive_link" xr:uid="{EE32995B-9092-4ED7-9C5C-2543EF97C2D9}"/>
    <hyperlink ref="AE9:AH9" r:id="rId307" display="https://drive.google.com/file/d/1N4Zo1nyoTRwV-8yeADEdYoewjbxnID-Z/view?usp=drive_link" xr:uid="{4E389890-920E-4DA2-8C5F-70C266A0ADC4}"/>
    <hyperlink ref="AF3" r:id="rId308" xr:uid="{8EC4EC2C-DC58-48D9-A125-EE2DDE0CA58C}"/>
    <hyperlink ref="AF4" r:id="rId309" xr:uid="{DDC5F4C6-01E2-481B-9FDD-D62D011DDA58}"/>
    <hyperlink ref="AF5" r:id="rId310" xr:uid="{E697AA48-28AD-4EBE-9D03-F20213A88920}"/>
    <hyperlink ref="AF6" r:id="rId311" xr:uid="{64ADF74D-D7F4-4D64-A1E2-0A82447F0449}"/>
    <hyperlink ref="AF7" r:id="rId312" xr:uid="{546FB4B4-88CD-4552-A168-93EB6B218158}"/>
    <hyperlink ref="AF8" r:id="rId313" xr:uid="{13438421-1D30-4C5D-8DC5-44A21CB32F46}"/>
    <hyperlink ref="AF9" r:id="rId314" xr:uid="{FFF07CD0-EA04-4EB2-821C-CCC8974927F7}"/>
    <hyperlink ref="AH3" r:id="rId315" xr:uid="{FCD27240-57AC-4D23-B890-534D8CCEF934}"/>
    <hyperlink ref="AH4" r:id="rId316" xr:uid="{74968111-3BEB-4C85-8B7C-AA5685C00EBF}"/>
    <hyperlink ref="AH5" r:id="rId317" xr:uid="{06C43077-E7B9-46AD-993E-1CE2402672FD}"/>
    <hyperlink ref="AH6" r:id="rId318" xr:uid="{498595AF-82FD-4B33-A564-F62A747A7074}"/>
    <hyperlink ref="AH7" r:id="rId319" xr:uid="{1D49A057-8F43-4A03-9E2B-87CD9ABCF652}"/>
    <hyperlink ref="AH8" r:id="rId320" xr:uid="{1D5B7E94-60D4-4742-8FC4-84D7B7682990}"/>
    <hyperlink ref="AH9" r:id="rId321" xr:uid="{94738C17-B9C2-40AA-8648-1B1979A996BF}"/>
    <hyperlink ref="AE2:AH2" r:id="rId322" display="https://drive.google.com/file/d/1N4Zo1nyoTRwV-8yeADEdYoewjbxnID-Z/view?usp=drive_link" xr:uid="{2A60E450-8E50-4B8A-B8BB-CEEEB9FC2490}"/>
    <hyperlink ref="AD122" r:id="rId323" xr:uid="{A2333228-36C6-4ED6-B2F7-10DE7B07295C}"/>
    <hyperlink ref="AF122" r:id="rId324" xr:uid="{3C9286D7-1DA4-496F-B95C-2539A46AFD4F}"/>
    <hyperlink ref="AD123" r:id="rId325" xr:uid="{7C1D4FE9-D70B-49CA-A1FC-5B4951511CD9}"/>
    <hyperlink ref="AD124" r:id="rId326" xr:uid="{B672B0D5-F7CA-4F6F-B575-EAB48A5313A4}"/>
    <hyperlink ref="AD125" r:id="rId327" xr:uid="{A451871C-C838-45E0-BD79-75A68DAB07B3}"/>
    <hyperlink ref="AD126" r:id="rId328" xr:uid="{3DD0AE0B-F5F2-48FB-B6E8-47F98B71527E}"/>
    <hyperlink ref="AD127" r:id="rId329" xr:uid="{CF82F11F-602D-4069-9BFB-6B137B8EEAEE}"/>
    <hyperlink ref="AD128" r:id="rId330" xr:uid="{CD7B8041-CC8E-4800-950E-E763BB35A533}"/>
    <hyperlink ref="AD129" r:id="rId331" xr:uid="{B5523EBA-74C0-4D27-9CC4-AA12FF4DC376}"/>
    <hyperlink ref="AF123" r:id="rId332" xr:uid="{2206E900-77C8-49D1-B15D-82C48540CE94}"/>
    <hyperlink ref="AF124" r:id="rId333" xr:uid="{51755426-8287-4928-92A8-D83B69C6EA5E}"/>
    <hyperlink ref="AF125" r:id="rId334" xr:uid="{0E659F19-628F-4E37-B725-C41EB253964D}"/>
    <hyperlink ref="AF126" r:id="rId335" xr:uid="{6A2779E6-61CE-46DA-8A4C-24A5CB18247B}"/>
    <hyperlink ref="AF127" r:id="rId336" xr:uid="{B6DCA8E1-169B-4DFC-9D47-1E4154744DA8}"/>
    <hyperlink ref="AF128" r:id="rId337" xr:uid="{9DB54C9B-B21C-40B9-82B6-038B6F6957AF}"/>
    <hyperlink ref="AF129" r:id="rId338" xr:uid="{1FDE034E-AE6C-4486-B717-01F899183202}"/>
    <hyperlink ref="AD121" r:id="rId339" xr:uid="{CF6202F9-20B7-4C25-831F-219A41B4517D}"/>
    <hyperlink ref="AF121" r:id="rId340" xr:uid="{3BA16128-7079-4949-BF56-C2C3215488CB}"/>
    <hyperlink ref="AD148" r:id="rId341" xr:uid="{AE37B4FA-EE8F-4267-A3F4-6E464EC10195}"/>
    <hyperlink ref="AD149" r:id="rId342" xr:uid="{96BF268B-65A5-4035-9C7A-7C1876046220}"/>
    <hyperlink ref="AD150" r:id="rId343" xr:uid="{3326B9ED-9A1F-4F6C-8303-BC0CE2AC4F2D}"/>
    <hyperlink ref="AD151" r:id="rId344" xr:uid="{E33A68FD-8ACA-4585-BBFF-559CEC0A7433}"/>
    <hyperlink ref="AD152" r:id="rId345" xr:uid="{918AB593-3566-4AC8-90F5-02F38F39C0A4}"/>
    <hyperlink ref="AD153" r:id="rId346" xr:uid="{C010B69E-9C4A-4001-B48E-AB1AF9141F7F}"/>
    <hyperlink ref="AD154" r:id="rId347" xr:uid="{697E9A12-BBC8-48AD-9C57-5EA6AE955B4D}"/>
    <hyperlink ref="AD155" r:id="rId348" xr:uid="{8FF8E717-9418-43C9-9DB6-7D6801330669}"/>
    <hyperlink ref="AD156" r:id="rId349" xr:uid="{97F3135D-907E-438A-8FDB-FE54055586AB}"/>
    <hyperlink ref="AD175" r:id="rId350" xr:uid="{E8338160-C1B2-47C9-875E-9FC71B576218}"/>
    <hyperlink ref="AD217" r:id="rId351" xr:uid="{9C4951DF-0097-4F5A-8BC3-381A2CDC26BD}"/>
    <hyperlink ref="AF217" r:id="rId352" xr:uid="{F0FBDCCD-8E75-433E-8C99-A500052E471B}"/>
    <hyperlink ref="AH217" r:id="rId353" xr:uid="{E035649A-A8B2-42E1-8B88-65C5A4C663B5}"/>
    <hyperlink ref="AD218" r:id="rId354" xr:uid="{5D7A036C-594B-416D-9C2B-226A53367AEE}"/>
    <hyperlink ref="AD219" r:id="rId355" xr:uid="{E48B9C58-6B24-408C-843B-11C7774BB965}"/>
    <hyperlink ref="AD220" r:id="rId356" xr:uid="{19869567-AAFA-474C-9662-03AA62474B50}"/>
    <hyperlink ref="AD221" r:id="rId357" xr:uid="{2862542C-477F-4D9B-8F5D-F5CC585F2D07}"/>
    <hyperlink ref="AD222" r:id="rId358" xr:uid="{4D73B3FC-D414-439B-AF9B-D96F161EAA74}"/>
    <hyperlink ref="AF218" r:id="rId359" xr:uid="{9AED23F8-322B-4EEB-8D46-4BBFFFB08E6D}"/>
    <hyperlink ref="AF219" r:id="rId360" xr:uid="{D3E9EFCF-5335-4B04-AC6E-E6A972343CA2}"/>
    <hyperlink ref="AF220" r:id="rId361" xr:uid="{43C3CC7E-76A4-403F-B937-F1F1FDCCC3CB}"/>
    <hyperlink ref="AF221" r:id="rId362" xr:uid="{EE835E00-A209-45DC-BFA6-C706B918E433}"/>
    <hyperlink ref="AF222" r:id="rId363" xr:uid="{8FDAE6A4-833F-4A35-A8A5-630BD7F51EC8}"/>
    <hyperlink ref="AH218" r:id="rId364" xr:uid="{84DC5707-4535-43E6-8D17-E79D646B6BF4}"/>
    <hyperlink ref="AH219" r:id="rId365" xr:uid="{6AB7927D-F5F5-4419-A49F-933CB651BB5E}"/>
    <hyperlink ref="AH220" r:id="rId366" xr:uid="{4F41FDFC-C54B-4FA4-9780-98B0A16DA92E}"/>
    <hyperlink ref="AH221" r:id="rId367" xr:uid="{95CF538E-FAB0-4B01-A604-4D843957948F}"/>
    <hyperlink ref="AH222" r:id="rId368" xr:uid="{68FFA0CB-DF08-4F48-9F4B-F03F7703A23B}"/>
    <hyperlink ref="AD223" r:id="rId369" xr:uid="{A5D67C49-B201-4563-A548-1EB41DAC8EB3}"/>
    <hyperlink ref="AF223" r:id="rId370" xr:uid="{3D47D9E6-5E84-4558-8F67-18D35CFB9287}"/>
    <hyperlink ref="AH223" r:id="rId371" xr:uid="{40CBF7D5-2D72-4788-AD3F-1983E72994F6}"/>
    <hyperlink ref="AD224" r:id="rId372" xr:uid="{5AE938A8-D75A-42F9-8F3F-A5EA4545C204}"/>
    <hyperlink ref="AD225" r:id="rId373" xr:uid="{7519C1B6-E790-4929-BDA9-E5EC6755CBCC}"/>
    <hyperlink ref="AD226" r:id="rId374" xr:uid="{8AEE9D6C-42BB-42E1-B55A-9D4335C39843}"/>
    <hyperlink ref="AD227" r:id="rId375" xr:uid="{7DA30F2D-4631-43CC-9962-3FF8542DD365}"/>
    <hyperlink ref="AD228" r:id="rId376" xr:uid="{47246FE1-F99E-4608-A6DE-AF7CB2E2C2E1}"/>
    <hyperlink ref="AF224" r:id="rId377" xr:uid="{D08246D5-04E9-4CCC-A301-49F014A5008F}"/>
    <hyperlink ref="AF225" r:id="rId378" xr:uid="{F5B2E07D-9210-4493-8817-D5A8EEE2DB4E}"/>
    <hyperlink ref="AF226" r:id="rId379" xr:uid="{D3C7CBBD-BAB8-4E8F-A2B8-A22EABD4999D}"/>
    <hyperlink ref="AF227" r:id="rId380" xr:uid="{566846DB-742E-4172-8AF1-080DC1F29FB4}"/>
    <hyperlink ref="AF228" r:id="rId381" xr:uid="{07119D4E-5C5D-4D22-97AD-6D8B8D9D1DBD}"/>
    <hyperlink ref="AH224" r:id="rId382" xr:uid="{88CB29C3-CFDD-49C3-AF63-3DD57D715BFE}"/>
    <hyperlink ref="AH225" r:id="rId383" xr:uid="{4992DFC0-2462-4FC8-B027-4578CE61AF60}"/>
    <hyperlink ref="AH226" r:id="rId384" xr:uid="{E8BD6D50-8D9C-48F8-908A-4A73017F57B9}"/>
    <hyperlink ref="AH227" r:id="rId385" xr:uid="{B671E638-C500-4EF1-9DEF-0E86D61AB7FB}"/>
    <hyperlink ref="AH228" r:id="rId386" xr:uid="{B43D86EC-7359-4218-9972-20163D3A2451}"/>
    <hyperlink ref="AD229" r:id="rId387" xr:uid="{FB24AC57-4C09-400F-9D6A-A16BC7DAA680}"/>
    <hyperlink ref="AF229" r:id="rId388" xr:uid="{BFE08A59-3E51-429C-B98B-732295F14ADE}"/>
    <hyperlink ref="AH229" r:id="rId389" xr:uid="{89DF8A2B-EA17-4EBE-951C-FE864A5ACA0A}"/>
    <hyperlink ref="AD230" r:id="rId390" xr:uid="{266CCEA1-4F50-4C9B-AC5E-D0C62B664947}"/>
    <hyperlink ref="AD231" r:id="rId391" xr:uid="{91F8913E-D703-47A6-84C1-34859180DBC4}"/>
    <hyperlink ref="AD232" r:id="rId392" xr:uid="{A28D915A-D22A-4660-8553-F8C5CB0DF58F}"/>
    <hyperlink ref="AD233" r:id="rId393" xr:uid="{F59B4194-2AE5-4D86-A816-E9DC4415C4BA}"/>
    <hyperlink ref="AD234" r:id="rId394" xr:uid="{0D3E4C62-B05A-4027-B080-6CC8CEF35FB0}"/>
    <hyperlink ref="AF230" r:id="rId395" xr:uid="{CE6D71FE-C23F-4253-8323-FA838BEC77AC}"/>
    <hyperlink ref="AF231" r:id="rId396" xr:uid="{5E8B4AAE-1D0E-41FB-A247-6B26C037C9CF}"/>
    <hyperlink ref="AF232" r:id="rId397" xr:uid="{54ADF4EB-6596-4C02-A212-9426C449596C}"/>
    <hyperlink ref="AF233" r:id="rId398" xr:uid="{1C7D0CE9-24B1-489F-BF80-CF0A986BC743}"/>
    <hyperlink ref="AF234" r:id="rId399" xr:uid="{D43DFA58-8525-4ED9-8865-2B5E6CC7FBC4}"/>
    <hyperlink ref="AH230" r:id="rId400" xr:uid="{D8F0DC80-09C0-44E2-8D80-E34C3B8AAD46}"/>
    <hyperlink ref="AH231" r:id="rId401" xr:uid="{26DDB701-8DF0-4B5E-BD56-25D95E5793BB}"/>
    <hyperlink ref="AH232" r:id="rId402" xr:uid="{6DAD3F60-2EC4-475D-9B9E-822788B16F97}"/>
    <hyperlink ref="AH233" r:id="rId403" xr:uid="{E1131298-7AC6-4286-986D-C837BC9A9254}"/>
    <hyperlink ref="AH234" r:id="rId404" xr:uid="{F2DCF05D-8B8F-4BA1-941D-4F5FC4BF8A8C}"/>
    <hyperlink ref="AD235" r:id="rId405" xr:uid="{CD92C5BD-3592-49DD-87C9-0B55FEFFD8B5}"/>
    <hyperlink ref="AF235" r:id="rId406" xr:uid="{D3CEFF1D-E460-4B9E-96AF-A747B737FF62}"/>
    <hyperlink ref="AH235" r:id="rId407" xr:uid="{ED36934E-9B6E-4EC6-A7BE-D3A48AC71E54}"/>
    <hyperlink ref="AD236" r:id="rId408" xr:uid="{DB4C898E-E8D2-4E36-A57B-594DB805EE5D}"/>
    <hyperlink ref="AD237" r:id="rId409" xr:uid="{4E3C919D-E73C-4E02-A933-554F295F9DF5}"/>
    <hyperlink ref="AD238" r:id="rId410" xr:uid="{ED1DBDF0-2B97-4C6F-B15C-03A54173ABB3}"/>
    <hyperlink ref="AD239" r:id="rId411" xr:uid="{B309D979-33C0-4498-831B-0C6A85837938}"/>
    <hyperlink ref="AD240" r:id="rId412" xr:uid="{BF815BA1-CFDB-4DBF-8E5E-266A93E03636}"/>
    <hyperlink ref="AF236" r:id="rId413" xr:uid="{ED9D9B56-58F3-43B3-8CFB-1B862DF66CD7}"/>
    <hyperlink ref="AF237" r:id="rId414" xr:uid="{97719054-7AD8-42EC-912C-591DA7E960EC}"/>
    <hyperlink ref="AF238" r:id="rId415" xr:uid="{A8D64C9F-8030-4ECD-8735-334BDD3BEB50}"/>
    <hyperlink ref="AF239" r:id="rId416" xr:uid="{C4ABC6CA-ED53-4B8B-B0C2-690E743454A2}"/>
    <hyperlink ref="AF240" r:id="rId417" xr:uid="{1D1B48A9-F1E9-4AEB-BB3A-7D34E1FA86F2}"/>
    <hyperlink ref="AH236" r:id="rId418" xr:uid="{CA5EDD06-DA90-4FFA-B2A6-8420E21E23B4}"/>
    <hyperlink ref="AH237" r:id="rId419" xr:uid="{74207B3B-04F6-4110-8FB2-84F830997777}"/>
    <hyperlink ref="AH238" r:id="rId420" xr:uid="{C21FD546-896F-46DA-BB95-AAFD1082C425}"/>
    <hyperlink ref="AH239" r:id="rId421" xr:uid="{332DAD4F-7C2D-4FE2-B892-4234559215B0}"/>
    <hyperlink ref="AH240" r:id="rId422" xr:uid="{E30E5EA6-F27E-41DF-9DD4-700C9B6D759D}"/>
    <hyperlink ref="AD241" r:id="rId423" xr:uid="{90E6367B-C35F-4B30-9F63-1A6447FD8F48}"/>
    <hyperlink ref="AF241" r:id="rId424" xr:uid="{BE747D40-ABB1-4ECD-8419-570A1C44A7BF}"/>
    <hyperlink ref="AH241" r:id="rId425" xr:uid="{7C550186-6972-4906-BCCC-A26972483AEB}"/>
    <hyperlink ref="AD242" r:id="rId426" xr:uid="{6B4E1522-8834-440D-B021-AB749B0DBAF7}"/>
    <hyperlink ref="AD243" r:id="rId427" xr:uid="{6254D902-95DE-41BD-B001-F1BB81AD4FF1}"/>
    <hyperlink ref="AD244" r:id="rId428" xr:uid="{6F378FEC-9942-4F49-8A40-49F5779792B2}"/>
    <hyperlink ref="AD245" r:id="rId429" xr:uid="{33C3A935-A5B3-4C7F-A945-89E1EA96C507}"/>
    <hyperlink ref="AD246" r:id="rId430" xr:uid="{DDBEC32F-587E-490B-A3F6-64EBB7368798}"/>
    <hyperlink ref="AD247" r:id="rId431" xr:uid="{401EFD0E-9BC7-458F-B932-3E9CC989A741}"/>
    <hyperlink ref="AD248" r:id="rId432" xr:uid="{2507101D-9BFA-4EF2-8DB3-7AADEDC4BB12}"/>
    <hyperlink ref="AD249" r:id="rId433" xr:uid="{4119B72C-A311-4E20-80DF-D28F1D48E767}"/>
    <hyperlink ref="AD250" r:id="rId434" xr:uid="{B413F714-8748-4BA1-9E1D-0ECA4CC430B7}"/>
    <hyperlink ref="AD251" r:id="rId435" xr:uid="{E26D723B-B60B-4549-9A1E-6D4010759D7B}"/>
    <hyperlink ref="AD252" r:id="rId436" xr:uid="{80118D64-D1A0-441C-A555-57C711086B4D}"/>
    <hyperlink ref="AF242" r:id="rId437" xr:uid="{362DBD7C-6E40-4773-A4ED-37A33E2E74E6}"/>
    <hyperlink ref="AF243" r:id="rId438" xr:uid="{BDBE3BC5-7638-41FB-B76A-76F8DDDC692B}"/>
    <hyperlink ref="AF244" r:id="rId439" xr:uid="{2EE28F52-7A6F-40F4-8345-AA4945982C7B}"/>
    <hyperlink ref="AF245" r:id="rId440" xr:uid="{8A05AEAD-C78F-4956-A2C7-365C3D0459D9}"/>
    <hyperlink ref="AF246" r:id="rId441" xr:uid="{8D6C50D9-9905-4688-A65B-023C2829D9FC}"/>
    <hyperlink ref="AF247" r:id="rId442" xr:uid="{BDEAA989-CF3C-4348-A56A-0D8056A7915C}"/>
    <hyperlink ref="AF248" r:id="rId443" xr:uid="{042D528B-E23E-42FF-B208-976DF85D0AAF}"/>
    <hyperlink ref="AF249" r:id="rId444" xr:uid="{EDF9685D-660A-4881-A496-2AD32C293351}"/>
    <hyperlink ref="AF250" r:id="rId445" xr:uid="{04E59C60-AAB1-4FD9-A14D-53E503AC7185}"/>
    <hyperlink ref="AF251" r:id="rId446" xr:uid="{7D307116-7A09-4826-81F9-B2FD22C59794}"/>
    <hyperlink ref="AF252" r:id="rId447" xr:uid="{F28C0958-B5FE-4C75-BC90-4A1E32B4A696}"/>
    <hyperlink ref="AH242" r:id="rId448" xr:uid="{917B1D4C-715C-4618-B566-4CDB4B64B597}"/>
    <hyperlink ref="AH243" r:id="rId449" xr:uid="{DFAEDB98-108D-4A07-A1BD-1DB3DCCEC27F}"/>
    <hyperlink ref="AH244" r:id="rId450" xr:uid="{C136273D-3FCA-4FA1-BC7A-5B7C90288FC3}"/>
    <hyperlink ref="AH245" r:id="rId451" xr:uid="{D0492553-D91F-4991-88D4-6C90FC748C0E}"/>
    <hyperlink ref="AH246" r:id="rId452" xr:uid="{77B38617-0316-40FC-9116-009114099C81}"/>
    <hyperlink ref="AH247" r:id="rId453" xr:uid="{C529B01E-0A1D-4444-A21C-472857260FEE}"/>
    <hyperlink ref="AH248" r:id="rId454" xr:uid="{9EB2E265-5C44-4F12-A0E4-DCAEF6FFD05D}"/>
    <hyperlink ref="AH249" r:id="rId455" xr:uid="{F8BCC1F5-249C-4AAF-9A20-41331BFBA354}"/>
    <hyperlink ref="AH250" r:id="rId456" xr:uid="{98247F2C-D372-43F2-BF11-B809B66BBEB6}"/>
    <hyperlink ref="AH251" r:id="rId457" xr:uid="{2399438C-FA96-4914-8F16-FF88B3D7FAF9}"/>
    <hyperlink ref="AH252" r:id="rId458" xr:uid="{211B34A7-D342-4549-9304-76558338512F}"/>
    <hyperlink ref="AD253" r:id="rId459" xr:uid="{E931CC0D-7B14-4002-B16F-B2ECD8FDD545}"/>
    <hyperlink ref="AF253" r:id="rId460" xr:uid="{1B755417-8FDA-4274-A138-D978FA4063AD}"/>
    <hyperlink ref="AH253" r:id="rId461" xr:uid="{0A1EB089-8EA1-4F3C-AC4C-E3F2C8E829C4}"/>
    <hyperlink ref="AD254" r:id="rId462" xr:uid="{1AA3ADFF-5B71-4038-B557-65D231848202}"/>
    <hyperlink ref="AD255" r:id="rId463" xr:uid="{C98FBD4B-4264-463B-8844-70C3BA5C399C}"/>
    <hyperlink ref="AD256" r:id="rId464" xr:uid="{BA3FD2B3-F9B1-43C9-A2CE-F847ED6AF222}"/>
    <hyperlink ref="AD257" r:id="rId465" xr:uid="{12234A59-EDAA-4838-A29A-F4D2B8E1C330}"/>
    <hyperlink ref="AD258" r:id="rId466" xr:uid="{6A6A6E9B-8845-4A24-ABA5-06BAE968BEFD}"/>
    <hyperlink ref="AD259" r:id="rId467" xr:uid="{EC3664F7-20C6-461E-A21F-933BF6FDA8AC}"/>
    <hyperlink ref="AD260" r:id="rId468" xr:uid="{E83F1BE8-49FF-4BD9-A36B-13E52C41659D}"/>
    <hyperlink ref="AD261" r:id="rId469" xr:uid="{81F1068C-5956-4236-97B8-2193BD9845DD}"/>
    <hyperlink ref="AD262" r:id="rId470" xr:uid="{17CB60EE-708E-45E3-B308-2458A3202C9C}"/>
    <hyperlink ref="AD263" r:id="rId471" xr:uid="{65CD9140-DAD3-4247-81C9-3EC5D672D8EA}"/>
    <hyperlink ref="AD264" r:id="rId472" xr:uid="{51DA0EC6-E34C-4B1E-AFED-720F43C54EA9}"/>
    <hyperlink ref="AD265" r:id="rId473" xr:uid="{3CC94281-C961-43A9-9294-085144F33E54}"/>
    <hyperlink ref="AD266" r:id="rId474" xr:uid="{0357B1A7-8289-4125-94F2-C104646C8E2D}"/>
    <hyperlink ref="AD267" r:id="rId475" xr:uid="{85CD0274-FA14-49B3-8989-89F22CD90DBD}"/>
    <hyperlink ref="AF254" r:id="rId476" xr:uid="{7453C5B9-3185-44A0-9FB2-AD419D034B72}"/>
    <hyperlink ref="AF255" r:id="rId477" xr:uid="{701A22B4-49EC-4224-A3E6-00CBB7630F33}"/>
    <hyperlink ref="AF256" r:id="rId478" xr:uid="{8AF6F8A2-2027-416C-ABF2-5AAC6B74A55E}"/>
    <hyperlink ref="AF257" r:id="rId479" xr:uid="{2448FA79-2BA3-4871-8DCB-A73F5A1F8383}"/>
    <hyperlink ref="AF258" r:id="rId480" xr:uid="{D5032C95-4338-4255-9EC9-483C8423D8C8}"/>
    <hyperlink ref="AF259" r:id="rId481" xr:uid="{CFB1CBAA-3C33-453E-9635-C6519218F0CF}"/>
    <hyperlink ref="AF260" r:id="rId482" xr:uid="{95D5C309-6BEC-4DA1-8BED-61EEDF5E2F60}"/>
    <hyperlink ref="AF261" r:id="rId483" xr:uid="{0E0D24DD-C56B-4B04-B97E-21B6978E41ED}"/>
    <hyperlink ref="AF262" r:id="rId484" xr:uid="{561B9073-26A8-4A0D-901D-2E3E4A6FC088}"/>
    <hyperlink ref="AF263" r:id="rId485" xr:uid="{C4305344-071E-41CE-B186-E59178840FBD}"/>
    <hyperlink ref="AF264" r:id="rId486" xr:uid="{7287E772-1C80-4CA5-BA4B-B0F1AE9655CE}"/>
    <hyperlink ref="AF265" r:id="rId487" xr:uid="{03CBF1A1-9575-4EA6-8413-D15CE0831002}"/>
    <hyperlink ref="AF266" r:id="rId488" xr:uid="{A5B1EAEB-439A-41A8-9D6B-2B59558EB48D}"/>
    <hyperlink ref="AF267" r:id="rId489" xr:uid="{C4D03948-F319-4B6E-8ADD-C8ED7B9340BC}"/>
    <hyperlink ref="AH254" r:id="rId490" xr:uid="{E3545033-D908-47D9-8E8F-9B0C38A5C0BB}"/>
    <hyperlink ref="AH255" r:id="rId491" xr:uid="{55587FA9-34BA-4FE4-BB45-C6511BABB084}"/>
    <hyperlink ref="AH256" r:id="rId492" xr:uid="{5483E5F8-8F08-4584-A761-77D11E4F80B5}"/>
    <hyperlink ref="AH257" r:id="rId493" xr:uid="{1D5D7FE5-16D2-4616-A1FD-8D715FF89C13}"/>
    <hyperlink ref="AH258" r:id="rId494" xr:uid="{773A7653-8CA9-4E0F-92CB-C6E7D5D3023F}"/>
    <hyperlink ref="AH259" r:id="rId495" xr:uid="{BA1F2EA4-588D-48A2-9FDF-DD6EA6BDDA51}"/>
    <hyperlink ref="AH260" r:id="rId496" xr:uid="{34FB429E-D674-450F-A874-C494A15B350A}"/>
    <hyperlink ref="AH261" r:id="rId497" xr:uid="{C3E82E2C-2C38-4E12-B57B-C02B27B19717}"/>
    <hyperlink ref="AH262" r:id="rId498" xr:uid="{B18F21D1-C0EB-45F1-A958-274B35B50AD9}"/>
    <hyperlink ref="AH263" r:id="rId499" xr:uid="{6AC31896-9D24-46F1-9169-B17202BA4DD5}"/>
    <hyperlink ref="AH264" r:id="rId500" xr:uid="{FAAAD723-7870-4C32-9E8B-FC3CD132F70F}"/>
    <hyperlink ref="AH265" r:id="rId501" xr:uid="{5FD90BEF-FA15-4654-AF49-C3F752366263}"/>
    <hyperlink ref="AH266" r:id="rId502" xr:uid="{EFDFC193-FC06-4261-8926-DBED249317B7}"/>
    <hyperlink ref="AH267" r:id="rId503" xr:uid="{4A8F445F-452B-4349-8F53-E2380E6E867F}"/>
    <hyperlink ref="AD268" r:id="rId504" xr:uid="{AFC090EA-41E6-4CC0-9767-F9955C9067E0}"/>
    <hyperlink ref="AF268" r:id="rId505" xr:uid="{430E98D7-888D-422E-B223-023D08F7F9DA}"/>
    <hyperlink ref="AH268" r:id="rId506" xr:uid="{EADC248D-6D01-4425-A89E-1CC9C3882DB1}"/>
    <hyperlink ref="AD269" r:id="rId507" xr:uid="{771145BD-9E69-488E-A74F-0F0FDEE65233}"/>
    <hyperlink ref="AD270" r:id="rId508" xr:uid="{B80D267A-2EC7-4814-9BED-8060D59B189C}"/>
    <hyperlink ref="AD271" r:id="rId509" xr:uid="{AE267064-75F1-4C8E-B304-CF755B575BDA}"/>
    <hyperlink ref="AD272" r:id="rId510" xr:uid="{61451B22-25C6-48C3-9BDD-F52F6CFB45FF}"/>
    <hyperlink ref="AD273" r:id="rId511" xr:uid="{414174CB-D00F-4863-A27B-0ECD41036D05}"/>
    <hyperlink ref="AD274" r:id="rId512" xr:uid="{A563CFBC-12B0-4245-9806-6AFAFF4111DE}"/>
    <hyperlink ref="AD275" r:id="rId513" xr:uid="{492960A4-E9BF-4F24-B17E-80561CC95B18}"/>
    <hyperlink ref="AD276" r:id="rId514" xr:uid="{3D6BA354-28B9-4090-A2DE-64252DA9AC2E}"/>
    <hyperlink ref="AD277" r:id="rId515" xr:uid="{4872A258-88A3-4722-9083-1ED733687240}"/>
    <hyperlink ref="AD278" r:id="rId516" xr:uid="{8822EA70-C19A-464B-B059-7B3227453021}"/>
    <hyperlink ref="AD279" r:id="rId517" xr:uid="{A9A6D228-6B0E-4021-999A-C78F94E7F99E}"/>
    <hyperlink ref="AF269" r:id="rId518" xr:uid="{E4C979AF-A7A7-4CDB-9119-2F0FE276B4A6}"/>
    <hyperlink ref="AF270" r:id="rId519" xr:uid="{695E41C9-4C10-4E92-8C65-868D202A41DC}"/>
    <hyperlink ref="AF271" r:id="rId520" xr:uid="{67538BF4-94EE-4ACC-B4C1-DD2CD85D84D6}"/>
    <hyperlink ref="AF272" r:id="rId521" xr:uid="{E0ABF70D-61D4-46BB-9B90-A0EF83A34A84}"/>
    <hyperlink ref="AF273" r:id="rId522" xr:uid="{E7FB4D36-A9B3-49E5-BDC2-F49097EA99DB}"/>
    <hyperlink ref="AF274" r:id="rId523" xr:uid="{2FD4F67B-B449-4273-99DF-167C19F92A8F}"/>
    <hyperlink ref="AF275" r:id="rId524" xr:uid="{B7FB72E5-F9ED-4D4D-A2DF-5759BA5B5EB8}"/>
    <hyperlink ref="AF276" r:id="rId525" xr:uid="{ED4EA1A0-46B4-46EA-AAAE-5AA0DD0D1B3B}"/>
    <hyperlink ref="AF277" r:id="rId526" xr:uid="{2E47804C-BB28-41A1-B982-DA62879C266C}"/>
    <hyperlink ref="AF278" r:id="rId527" xr:uid="{54AFE995-AD0C-4CD4-AF2A-30D9B145AD8B}"/>
    <hyperlink ref="AF279" r:id="rId528" xr:uid="{D60B77B7-4400-4E03-B75C-BA5CC027EBE4}"/>
    <hyperlink ref="AH269" r:id="rId529" xr:uid="{BBBAD86E-428C-4501-906C-70FBA32072DF}"/>
    <hyperlink ref="AH270" r:id="rId530" xr:uid="{17C7C16B-87FB-4C98-827F-36B00FCF035B}"/>
    <hyperlink ref="AH271" r:id="rId531" xr:uid="{8C551BC0-E482-4AC7-BD36-BE2FCF3B8FE4}"/>
    <hyperlink ref="AH272" r:id="rId532" xr:uid="{8DF7F713-6728-4C16-B27B-4269E8CB41C4}"/>
    <hyperlink ref="AH273" r:id="rId533" xr:uid="{62C5EB2C-39A5-464C-8651-995AF7961E15}"/>
    <hyperlink ref="AH274" r:id="rId534" xr:uid="{44EC7B10-66DF-4B1E-9821-3030554257E3}"/>
    <hyperlink ref="AH275" r:id="rId535" xr:uid="{66253467-9C90-40A6-B565-ECA3730A56F9}"/>
    <hyperlink ref="AH276" r:id="rId536" xr:uid="{E157BD9A-773B-4AB4-B462-315D2EB7F870}"/>
    <hyperlink ref="AH277" r:id="rId537" xr:uid="{E5514217-4E90-4DE6-A068-C762304331B8}"/>
    <hyperlink ref="AH278" r:id="rId538" xr:uid="{A643896A-B230-4659-9A56-55A5B8870536}"/>
    <hyperlink ref="AH279" r:id="rId539" xr:uid="{D6F46DA7-6CFC-4728-94CF-CA938AAF5AE6}"/>
    <hyperlink ref="AD280" r:id="rId540" xr:uid="{330E2240-F139-43FF-B429-1215EAA987EB}"/>
    <hyperlink ref="AF280" r:id="rId541" xr:uid="{10F491E1-02A4-44BD-B1CA-364FC9439367}"/>
    <hyperlink ref="AH280" r:id="rId542" xr:uid="{63982464-04A0-4846-992F-D91ED25F1676}"/>
    <hyperlink ref="AD281" r:id="rId543" xr:uid="{19489AF7-23A3-48CE-84CF-AECFF66BC8F0}"/>
    <hyperlink ref="AD282" r:id="rId544" xr:uid="{EFBED29F-96DB-4228-88FD-5517166CEFD4}"/>
    <hyperlink ref="AD283" r:id="rId545" xr:uid="{6D2941DB-94FA-4AE0-A77A-E6F4D925A29F}"/>
    <hyperlink ref="AD284" r:id="rId546" xr:uid="{1488ABB6-D12D-4A06-8A2A-85156DE38873}"/>
    <hyperlink ref="AD285" r:id="rId547" xr:uid="{F402F2CA-4B17-4F4C-B64F-3B4B07820671}"/>
    <hyperlink ref="AD286" r:id="rId548" xr:uid="{71333AA8-7DEF-42C5-A6B5-EC606A1907AE}"/>
    <hyperlink ref="AD287" r:id="rId549" xr:uid="{B5BC2C75-B748-4065-A712-7F2C43B1190E}"/>
    <hyperlink ref="AD288" r:id="rId550" xr:uid="{0687B76A-99A8-456E-A102-AFF3D0463230}"/>
    <hyperlink ref="AD289" r:id="rId551" xr:uid="{2BEF7DF5-F481-447F-9AA4-051DF36590B0}"/>
    <hyperlink ref="AD290" r:id="rId552" xr:uid="{5305DA74-87C2-453B-9F54-E23C13C247DE}"/>
    <hyperlink ref="AD291" r:id="rId553" xr:uid="{E277C3D8-9633-43D4-87CC-7DA334B549F5}"/>
    <hyperlink ref="AD292" r:id="rId554" xr:uid="{282E9E01-40CE-45DD-B113-5805D72A7C7C}"/>
    <hyperlink ref="AD293" r:id="rId555" xr:uid="{574AD593-3C25-41EB-BD9B-4D5FAF2EE380}"/>
    <hyperlink ref="AF281" r:id="rId556" xr:uid="{17D37473-C4D7-42BD-AAAE-C700B8E617C2}"/>
    <hyperlink ref="AF282" r:id="rId557" xr:uid="{D87256CC-574A-4E19-BC8D-B54235B27AAA}"/>
    <hyperlink ref="AF283" r:id="rId558" xr:uid="{E2F98FE5-ECEF-4E7D-BBA2-43C220991F60}"/>
    <hyperlink ref="AF284" r:id="rId559" xr:uid="{FF6E2B73-C05A-40CD-AF42-80766A2BF5B1}"/>
    <hyperlink ref="AF285" r:id="rId560" xr:uid="{3DE0F0A5-1BE7-4039-AFD2-893158A12BC6}"/>
    <hyperlink ref="AF286" r:id="rId561" xr:uid="{4449129B-7D24-43A5-947A-7F4CFC3FE174}"/>
    <hyperlink ref="AF287" r:id="rId562" xr:uid="{86278426-6727-4A79-B7E9-38D5095CB9EE}"/>
    <hyperlink ref="AF288" r:id="rId563" xr:uid="{AB627A5D-1E85-41C4-82A9-5F7599EE0E54}"/>
    <hyperlink ref="AF289" r:id="rId564" xr:uid="{0FE0B650-9623-40A6-BF37-082968B98045}"/>
    <hyperlink ref="AF290" r:id="rId565" xr:uid="{C774BAE7-F926-44F6-867C-F45F59296AE0}"/>
    <hyperlink ref="AF291" r:id="rId566" xr:uid="{DB690525-B272-4A35-B781-10B1B2540EF7}"/>
    <hyperlink ref="AF292" r:id="rId567" xr:uid="{D49F9DD4-9012-4ADF-ABAE-F8F2CC6B2030}"/>
    <hyperlink ref="AF293" r:id="rId568" xr:uid="{9D00C77D-DA55-4D92-AB32-704EDAE3E9B3}"/>
    <hyperlink ref="AH281" r:id="rId569" xr:uid="{5BBB9922-2CBA-4A24-B953-7A262A7BAB25}"/>
    <hyperlink ref="AH282" r:id="rId570" xr:uid="{43D3C64E-128E-48AC-89A0-AF4D71AF0EF1}"/>
    <hyperlink ref="AH283" r:id="rId571" xr:uid="{FBC7F35F-E88F-42B9-B65B-F5936244F20B}"/>
    <hyperlink ref="AH284" r:id="rId572" xr:uid="{CCE7F369-C330-4292-8769-A066CAEFEA1D}"/>
    <hyperlink ref="AH285" r:id="rId573" xr:uid="{4D1D03C1-02DB-42EC-B6F6-2A2939922685}"/>
    <hyperlink ref="AH286" r:id="rId574" xr:uid="{71DF2BD9-D32C-4289-A8E6-D5CF524FD8D7}"/>
    <hyperlink ref="AH287" r:id="rId575" xr:uid="{F974D0D1-7F8F-4936-8D11-2A64D891B944}"/>
    <hyperlink ref="AH288" r:id="rId576" xr:uid="{96B69876-1129-490D-BAFE-22BEF7C488D3}"/>
    <hyperlink ref="AH289" r:id="rId577" xr:uid="{0AE8B9A8-A88E-47AA-B9C0-25D2A712F890}"/>
    <hyperlink ref="AH290" r:id="rId578" xr:uid="{4257A764-5872-430E-8C2B-D9D64DF69F66}"/>
    <hyperlink ref="AH291" r:id="rId579" xr:uid="{127A72D4-A14C-4A7D-829E-9CA0C9B1352F}"/>
    <hyperlink ref="AH292" r:id="rId580" xr:uid="{079B2437-2921-4932-A7D8-EEAACD32C007}"/>
    <hyperlink ref="AH293" r:id="rId581" xr:uid="{9B8F5526-5B66-4DB3-8A9A-1E1670F01DAA}"/>
    <hyperlink ref="AD294" r:id="rId582" xr:uid="{5B92EDCF-E65A-4834-913F-4A94D80B5F9C}"/>
    <hyperlink ref="AF294" r:id="rId583" xr:uid="{7F950B3D-0D43-42D5-8A3D-F224F0F3CB72}"/>
    <hyperlink ref="AH294" r:id="rId584" xr:uid="{3EDC9834-34E1-440A-96E5-5D6693FCCFFB}"/>
    <hyperlink ref="AD295" r:id="rId585" xr:uid="{1E131670-2D87-4305-A717-DCCE051FDA8A}"/>
    <hyperlink ref="AD296" r:id="rId586" xr:uid="{99851A5D-497F-454B-9CEC-A29B9B286E56}"/>
    <hyperlink ref="AD297" r:id="rId587" xr:uid="{441206AD-9C50-423C-BBF7-8E7556979107}"/>
    <hyperlink ref="AD298" r:id="rId588" xr:uid="{FD262259-B495-4648-9A53-3067C4352622}"/>
    <hyperlink ref="AD299" r:id="rId589" xr:uid="{9AF235F1-49F6-4B0C-8894-2CB4CCEE4609}"/>
    <hyperlink ref="AD300" r:id="rId590" xr:uid="{1208DFC8-7EAB-4BDF-B307-0716F7BABF10}"/>
    <hyperlink ref="AD301" r:id="rId591" xr:uid="{88C13D79-C4E4-4551-B772-EECF29AE60AA}"/>
    <hyperlink ref="AD302" r:id="rId592" xr:uid="{F868238C-8649-4EDE-81FE-7DB0FEA08B43}"/>
    <hyperlink ref="AD303" r:id="rId593" xr:uid="{B73CB5F1-BD37-4F10-B1BB-158E22E06382}"/>
    <hyperlink ref="AD304" r:id="rId594" xr:uid="{8CB4404B-8EED-4F2E-A6E5-AB94D9A94911}"/>
    <hyperlink ref="AD305" r:id="rId595" xr:uid="{44CEF976-A560-4555-9F27-3E50FF60CEF4}"/>
    <hyperlink ref="AF295" r:id="rId596" xr:uid="{66BBA089-8457-488C-AF4C-B835E926D2D4}"/>
    <hyperlink ref="AF296" r:id="rId597" xr:uid="{5933060F-2F42-4EA3-8DFA-6C3C16E07425}"/>
    <hyperlink ref="AF297" r:id="rId598" xr:uid="{AF473240-A3F5-420D-B0F8-5FDAC029E2E1}"/>
    <hyperlink ref="AF298" r:id="rId599" xr:uid="{E04AC2C8-5C08-49FC-A186-1AAF85B05842}"/>
    <hyperlink ref="AF299" r:id="rId600" xr:uid="{28D73BC8-266E-4E7F-893F-BE37C2461B15}"/>
    <hyperlink ref="AF300" r:id="rId601" xr:uid="{4E3CF54B-116A-4CCD-ABC0-8BC9FA4E41AC}"/>
    <hyperlink ref="AF301" r:id="rId602" xr:uid="{954A834B-A331-4FC8-AEDF-6667E802BD0F}"/>
    <hyperlink ref="AF302" r:id="rId603" xr:uid="{F03DA434-B164-4BD7-A704-F562F001369C}"/>
    <hyperlink ref="AF303" r:id="rId604" xr:uid="{24FD4FEE-0C2F-44E7-99D4-BBC2294D1705}"/>
    <hyperlink ref="AF304" r:id="rId605" xr:uid="{E2086351-D784-41F9-81F8-D17D331D5AD7}"/>
    <hyperlink ref="AF305" r:id="rId606" xr:uid="{B8F9145A-E005-4852-B4F8-5255639F6E36}"/>
    <hyperlink ref="AH295" r:id="rId607" xr:uid="{D6175000-614C-4F43-9C1B-61218A1A5557}"/>
    <hyperlink ref="AH296" r:id="rId608" xr:uid="{69A52239-9491-4476-96BD-B68994E21253}"/>
    <hyperlink ref="AH297" r:id="rId609" xr:uid="{9E4FC960-60CA-49D1-9396-A4F4A996FCFB}"/>
    <hyperlink ref="AH298" r:id="rId610" xr:uid="{CCF45826-596E-4FEC-BAB0-2068B4FB5733}"/>
    <hyperlink ref="AH299" r:id="rId611" xr:uid="{87C1DB9D-E579-4E0C-BEA2-D91F171BAC4F}"/>
    <hyperlink ref="AH300" r:id="rId612" xr:uid="{E2E79B46-F73F-4EA4-B239-B677AF123281}"/>
    <hyperlink ref="AH301" r:id="rId613" xr:uid="{D9D75A74-F047-471C-AB0D-FC4350397AEF}"/>
    <hyperlink ref="AH302" r:id="rId614" xr:uid="{3A6588F4-CC65-4582-BD4E-6FD05CC4363B}"/>
    <hyperlink ref="AH303" r:id="rId615" xr:uid="{ACC595C7-585F-4A47-AD62-13AD1BA2B148}"/>
    <hyperlink ref="AH304" r:id="rId616" xr:uid="{54CAA898-57D2-4A77-A995-E88B3532713E}"/>
    <hyperlink ref="AH305" r:id="rId617" xr:uid="{A0D8E7A2-A143-43B8-8F02-D808E472AC73}"/>
    <hyperlink ref="AD307" r:id="rId618" xr:uid="{8DBF518A-71F7-4E07-81DA-594A20A1C85F}"/>
    <hyperlink ref="AD308" r:id="rId619" xr:uid="{1A292F6D-67CF-47D0-AC93-1BE6BB634B14}"/>
    <hyperlink ref="AD309" r:id="rId620" xr:uid="{5B8BDF80-5A96-42C5-AB26-D70AF37C2C79}"/>
    <hyperlink ref="AD310" r:id="rId621" xr:uid="{7B3BF257-40D8-4AB8-AADD-596707DD27B0}"/>
    <hyperlink ref="AD311" r:id="rId622" xr:uid="{55794B52-8F06-485A-A5F0-4097ADCEA02B}"/>
    <hyperlink ref="AD312" r:id="rId623" xr:uid="{E8D7F44A-A9F9-413F-9C77-D341706D4117}"/>
    <hyperlink ref="AD313" r:id="rId624" xr:uid="{5A648A97-931D-4659-B3C7-93EC3A1B9962}"/>
    <hyperlink ref="AD314" r:id="rId625" xr:uid="{2EA4C804-4D58-4566-B415-E51A7579E517}"/>
    <hyperlink ref="AD315" r:id="rId626" xr:uid="{8A8D0F46-9A04-418A-AC96-926BFB202991}"/>
    <hyperlink ref="AD316" r:id="rId627" xr:uid="{580B9AE9-3705-4809-A588-A6B288919B79}"/>
    <hyperlink ref="AD317" r:id="rId628" xr:uid="{2A51292B-9523-40C4-B8B0-7566CADF499B}"/>
    <hyperlink ref="AD318" r:id="rId629" xr:uid="{298711F8-F396-4E8C-8DCF-AC16733D3E20}"/>
    <hyperlink ref="AF307" r:id="rId630" xr:uid="{F0070ECE-D51F-48DB-9F2E-C6A23F779D1E}"/>
    <hyperlink ref="AF308" r:id="rId631" xr:uid="{75D9DD0B-C8A9-4E32-A1D2-D6AF452DF674}"/>
    <hyperlink ref="AF309" r:id="rId632" xr:uid="{F6EC3B9A-3A60-4305-9D54-1A969261BF5F}"/>
    <hyperlink ref="AF310" r:id="rId633" xr:uid="{4D1B4247-6D52-42A6-B8F0-9D8E9759B5A7}"/>
    <hyperlink ref="AF311" r:id="rId634" xr:uid="{ED8E5B7A-A6B3-4754-9762-52ED919F7179}"/>
    <hyperlink ref="AF312" r:id="rId635" xr:uid="{A5B1AEC6-2B67-4F56-871B-79FD5B8B9FF2}"/>
    <hyperlink ref="AF313" r:id="rId636" xr:uid="{93D00965-5304-43D0-950B-6B88EEC8DBFF}"/>
    <hyperlink ref="AF314" r:id="rId637" xr:uid="{D703F3FB-2FC8-4F76-ABE3-7B6D613130F5}"/>
    <hyperlink ref="AF315" r:id="rId638" xr:uid="{7825404B-0CA0-4EF0-A3CA-26C8FBE84E4F}"/>
    <hyperlink ref="AF316" r:id="rId639" xr:uid="{948149BD-6CE3-4AAA-8A61-71C59301C0D8}"/>
    <hyperlink ref="AF317" r:id="rId640" xr:uid="{3D44619E-1E69-4266-9E14-F59032D001A3}"/>
    <hyperlink ref="AF318" r:id="rId641" xr:uid="{8FEE6D83-CFB8-47DC-B29C-084C358321B7}"/>
    <hyperlink ref="AH307" r:id="rId642" xr:uid="{5FB8D76D-A116-4D12-8BE4-A35B633FD679}"/>
    <hyperlink ref="AH308" r:id="rId643" xr:uid="{ACA2D677-5B2A-4EE5-A996-1AE4F2AA8AD7}"/>
    <hyperlink ref="AH309" r:id="rId644" xr:uid="{D456603B-26F0-40A9-BDAD-F826BA089BD5}"/>
    <hyperlink ref="AH310" r:id="rId645" xr:uid="{455A4190-5449-426A-B4D5-16C5E844F0CA}"/>
    <hyperlink ref="AH311" r:id="rId646" xr:uid="{72196D91-C3DB-4A3E-9A87-8A82AD738C73}"/>
    <hyperlink ref="AH312" r:id="rId647" xr:uid="{D967CDEB-AE9A-4783-809C-C471117F9769}"/>
    <hyperlink ref="AH313" r:id="rId648" xr:uid="{CB7EE6BF-E54D-4BB9-9FCC-A62B4596195C}"/>
    <hyperlink ref="AH314" r:id="rId649" xr:uid="{DD19813A-C5F9-4160-B155-8FFFE4432777}"/>
    <hyperlink ref="AH315" r:id="rId650" xr:uid="{FD3C6046-C294-423E-A47E-9A3809484C54}"/>
    <hyperlink ref="AH316" r:id="rId651" xr:uid="{6CB425B0-E3F4-403B-BFAF-82131A380633}"/>
    <hyperlink ref="AH317" r:id="rId652" xr:uid="{8CEA19E2-F720-45B2-A674-83E69974B7FB}"/>
    <hyperlink ref="AH318" r:id="rId653" xr:uid="{D0541168-9A03-487D-9211-61732F8D215D}"/>
    <hyperlink ref="AD320" r:id="rId654" xr:uid="{3DB01729-B294-4BD8-9E7B-B1B9D5387CD9}"/>
    <hyperlink ref="AD321" r:id="rId655" xr:uid="{8A001B0F-E99C-427F-BB16-16AC398CBD4F}"/>
    <hyperlink ref="AD322" r:id="rId656" xr:uid="{9E14A0B8-3195-4D84-BAF7-DC6B0CEFCD05}"/>
    <hyperlink ref="AD323" r:id="rId657" xr:uid="{2D07C270-8123-4D70-B1C0-C96D791692F5}"/>
    <hyperlink ref="AD324" r:id="rId658" xr:uid="{BE93166F-178D-4F91-9418-3E1B4CCCA2D9}"/>
    <hyperlink ref="AD325" r:id="rId659" xr:uid="{F084F80B-3714-4219-822C-BF0AC87DEAA0}"/>
    <hyperlink ref="AD326" r:id="rId660" xr:uid="{B6A92DAF-55E9-4738-822E-16EC45306384}"/>
    <hyperlink ref="AD327" r:id="rId661" xr:uid="{15661A9E-71A4-49D1-BAF8-A4363879419E}"/>
    <hyperlink ref="AD328" r:id="rId662" xr:uid="{D2606A0E-2193-4D41-AE38-05F23E74C3C2}"/>
    <hyperlink ref="AD329" r:id="rId663" xr:uid="{3FBEA9B9-2F44-4A6A-9943-DE08953D62B9}"/>
    <hyperlink ref="AD330" r:id="rId664" xr:uid="{96A4A52D-0F3D-4C16-B524-738B90279893}"/>
    <hyperlink ref="AD331" r:id="rId665" xr:uid="{21B5CA02-E32C-4518-B5CF-9F847F7D6366}"/>
    <hyperlink ref="AH320" r:id="rId666" xr:uid="{13B45CD1-DA92-4188-BC35-7813E7145CDC}"/>
    <hyperlink ref="AH321" r:id="rId667" xr:uid="{9A02457F-9256-4A5D-8F5D-B4AC805EE107}"/>
    <hyperlink ref="AH322" r:id="rId668" xr:uid="{DB33FD05-A042-4425-82B4-B1A7F318E660}"/>
    <hyperlink ref="AH323" r:id="rId669" xr:uid="{144886D6-0984-4AEF-BE05-0023B1B172D7}"/>
    <hyperlink ref="AH324" r:id="rId670" xr:uid="{C764EDA9-A906-48BB-9A91-A7F72CB49DE4}"/>
    <hyperlink ref="AH325" r:id="rId671" xr:uid="{BA8B9474-9C29-4A67-B82C-CC1669C12038}"/>
    <hyperlink ref="AH326" r:id="rId672" xr:uid="{9C75A3E0-E841-4B5C-A74B-BE086AC249CB}"/>
    <hyperlink ref="AH327" r:id="rId673" xr:uid="{AEBE7AA6-D9DC-420A-8795-D5EF6188A9A2}"/>
    <hyperlink ref="AH328" r:id="rId674" xr:uid="{4EDF060C-0133-4F29-8AAD-54CA5943D9EA}"/>
    <hyperlink ref="AH329" r:id="rId675" xr:uid="{946E1E11-2DE3-4BE3-9116-FF6A351F8CF2}"/>
    <hyperlink ref="AH330" r:id="rId676" xr:uid="{EB80FE7C-E910-4B49-BDE3-5FE3BC159BEF}"/>
    <hyperlink ref="AH331" r:id="rId677" xr:uid="{D6A30464-383E-4D73-9CB1-7722EF77BEDC}"/>
    <hyperlink ref="AD306" r:id="rId678" xr:uid="{A69F5EFE-3FFC-4B05-B0AF-A52F02988388}"/>
    <hyperlink ref="AF306" r:id="rId679" xr:uid="{C334D5C4-11CB-4622-A9D5-8A691FDAA900}"/>
    <hyperlink ref="AH306" r:id="rId680" xr:uid="{85FEF5EC-B593-4A26-9B15-2A1108A3AFD7}"/>
    <hyperlink ref="AD319" r:id="rId681" xr:uid="{FA0E858D-85F5-4403-8CFB-4D1A4AAF040E}"/>
    <hyperlink ref="AF319" r:id="rId682" xr:uid="{608A9E35-BC0C-4F2F-B45C-885B931ACA9F}"/>
    <hyperlink ref="AH319" r:id="rId683" xr:uid="{E5723DFC-FCD8-4C32-861C-DEC0A8921ABD}"/>
    <hyperlink ref="AD332" r:id="rId684" xr:uid="{A0F892D0-F16D-4C70-B4AB-CC2ECB2205AF}"/>
    <hyperlink ref="AH332" r:id="rId685" xr:uid="{1B45E55E-30F8-4961-B194-D6FA861C29DA}"/>
    <hyperlink ref="AD333" r:id="rId686" xr:uid="{D482130B-DF98-4536-BDE3-F809198B6BAF}"/>
    <hyperlink ref="AF333" r:id="rId687" xr:uid="{5AD313B2-9DDD-4292-A8BB-66E38F8E09B3}"/>
    <hyperlink ref="AH333" r:id="rId688" xr:uid="{B75243B7-4107-4EEB-A62F-23F090E66095}"/>
    <hyperlink ref="AF355" r:id="rId689" xr:uid="{620514DB-6ABA-4176-A246-9A218053BE5A}"/>
    <hyperlink ref="AH355" r:id="rId690" xr:uid="{CA34AA53-31D5-4125-BC81-8F090AF6DD38}"/>
    <hyperlink ref="AD366" r:id="rId691" xr:uid="{D771E324-8B99-4120-BA9D-51E738ADA6B3}"/>
    <hyperlink ref="AF366" r:id="rId692" xr:uid="{2187235E-913A-4BA6-9715-2B0E80A9E87D}"/>
    <hyperlink ref="AH366" r:id="rId693" xr:uid="{A5E2992A-7DAF-44A7-9EFA-F51A33232B95}"/>
    <hyperlink ref="AD377" r:id="rId694" xr:uid="{A0BE91F9-7E27-4F2B-860A-21F80967B33C}"/>
    <hyperlink ref="AF377" r:id="rId695" xr:uid="{CB342D60-718B-4FEE-8DC6-E9565BF32E17}"/>
    <hyperlink ref="AH377" r:id="rId696" xr:uid="{B01F17A6-9C08-44F6-BDF8-FE81A9975C61}"/>
    <hyperlink ref="AD388" r:id="rId697" xr:uid="{9C81BA23-FEAB-49AD-A116-2ED5C7644C09}"/>
    <hyperlink ref="AF388" r:id="rId698" xr:uid="{DE066E45-B96B-4154-B4EF-705669F21671}"/>
    <hyperlink ref="AH388" r:id="rId699" xr:uid="{986DE01C-D1B5-4DA7-950F-E7441E9C7ACE}"/>
    <hyperlink ref="AD399" r:id="rId700" xr:uid="{21B747AA-E41F-42AE-A45A-A03E4ABAF8DD}"/>
    <hyperlink ref="AF399" r:id="rId701" xr:uid="{9B8C6606-8787-449D-956C-2575E53325ED}"/>
    <hyperlink ref="AH399" r:id="rId702" xr:uid="{892AFAA4-1EF8-4794-BB8C-C8177842430D}"/>
    <hyperlink ref="AD400" r:id="rId703" xr:uid="{627C011E-C1B3-4353-BC7F-4B4B918E987F}"/>
    <hyperlink ref="AD401" r:id="rId704" xr:uid="{C9DCEFEE-9F66-4503-A5CC-C86E3620DB00}"/>
    <hyperlink ref="AD402" r:id="rId705" xr:uid="{79B93B80-238C-4917-B9A0-F077DA778A77}"/>
    <hyperlink ref="AD403" r:id="rId706" xr:uid="{DF577C10-8295-4371-A6E3-6212C3094ACC}"/>
    <hyperlink ref="AD404" r:id="rId707" xr:uid="{1CD38B79-B012-411C-9848-48E12FF6B148}"/>
    <hyperlink ref="AD405" r:id="rId708" xr:uid="{8A471FDF-E771-4646-98FF-DF41235A931B}"/>
    <hyperlink ref="AD406" r:id="rId709" xr:uid="{CC1FA96E-1588-475A-B62C-6195DC06F720}"/>
    <hyperlink ref="AD407" r:id="rId710" xr:uid="{B53509DD-86B8-42AB-8562-37DE07D86A0A}"/>
    <hyperlink ref="AD408" r:id="rId711" xr:uid="{C1CAE8FF-7C13-4B6F-B6C3-10BA1EDF511D}"/>
    <hyperlink ref="AD409" r:id="rId712" xr:uid="{C9268ABE-F7A8-41B1-95FE-18BE79C81D31}"/>
    <hyperlink ref="AF400" r:id="rId713" xr:uid="{F1F3BA34-B2A4-4745-99D6-743DD858C051}"/>
    <hyperlink ref="AF401" r:id="rId714" xr:uid="{C96E2273-EE5B-4732-9E50-6EC68540ADB6}"/>
    <hyperlink ref="AF402" r:id="rId715" xr:uid="{6F9136A8-2816-48D8-840F-F408BF32361E}"/>
    <hyperlink ref="AF403" r:id="rId716" xr:uid="{BED64CAE-71B2-49B1-8270-97D52626AF63}"/>
    <hyperlink ref="AF404" r:id="rId717" xr:uid="{327DE206-B2BE-40D6-9555-8D857901BD5A}"/>
    <hyperlink ref="AF405" r:id="rId718" xr:uid="{672DF772-98C4-4574-BBA0-1236E0D40838}"/>
    <hyperlink ref="AF406" r:id="rId719" xr:uid="{3DC75486-847E-4D1D-AE7B-2825001415EE}"/>
    <hyperlink ref="AF407" r:id="rId720" xr:uid="{5570B89E-2ECD-47AF-9A2A-1393F00B2EC9}"/>
    <hyperlink ref="AF408" r:id="rId721" xr:uid="{BB8BFA47-4779-42F0-851D-53C0EF52E629}"/>
    <hyperlink ref="AF409" r:id="rId722" xr:uid="{7323F022-3727-4FFB-8978-2E903E13FBDB}"/>
    <hyperlink ref="AH400" r:id="rId723" xr:uid="{A9D594BA-6468-4D65-BE36-C6658B789EED}"/>
    <hyperlink ref="AH401" r:id="rId724" xr:uid="{27C6BE62-5507-4256-B8B2-0B3639F3C605}"/>
    <hyperlink ref="AH402" r:id="rId725" xr:uid="{1E764E8B-0C39-4C54-915E-8E94D5B0A8D1}"/>
    <hyperlink ref="AH403" r:id="rId726" xr:uid="{75A32A3D-4758-4192-BAC5-C80F51BAEDAC}"/>
    <hyperlink ref="AH404" r:id="rId727" xr:uid="{AB633550-637C-406F-AC46-1B0DE662CA80}"/>
    <hyperlink ref="AH405" r:id="rId728" xr:uid="{93AC1EB1-AA32-475F-8301-F023D1143195}"/>
    <hyperlink ref="AH406" r:id="rId729" xr:uid="{8AA1CAB1-F5BB-476F-9EFB-DC0DC77B90EE}"/>
    <hyperlink ref="AH407" r:id="rId730" xr:uid="{DAD8FA87-5866-46FE-A0E6-52F1322DB233}"/>
    <hyperlink ref="AH408" r:id="rId731" xr:uid="{F99052B8-6F76-44E0-8270-A028376CB82A}"/>
    <hyperlink ref="AH409" r:id="rId732" xr:uid="{915015BF-1B12-4ACE-962A-CB6EFE20F30F}"/>
    <hyperlink ref="AD389" r:id="rId733" xr:uid="{7E5F256F-1EB4-4EB4-A06F-A704ACC3D182}"/>
    <hyperlink ref="AD390" r:id="rId734" xr:uid="{A80ABECC-D7B4-4A64-B24E-CB5A165EBDBA}"/>
    <hyperlink ref="AD391" r:id="rId735" xr:uid="{FCBAF422-5354-41B2-83E4-6CE580EDB938}"/>
    <hyperlink ref="AD392" r:id="rId736" xr:uid="{040F099E-C149-425B-9401-7DED8834775F}"/>
    <hyperlink ref="AD393" r:id="rId737" xr:uid="{EB75B01C-66A1-4E2B-8422-0C4D84E3DDD2}"/>
    <hyperlink ref="AD394" r:id="rId738" xr:uid="{7388FA1B-737D-4FBE-B3D3-258B0432EC0F}"/>
    <hyperlink ref="AD395" r:id="rId739" xr:uid="{5FABFD70-11B9-4A98-9EE1-688275A9AAE2}"/>
    <hyperlink ref="AD396" r:id="rId740" xr:uid="{A6F8A1E4-2E2F-49B7-801D-BB529440FA6B}"/>
    <hyperlink ref="AD397" r:id="rId741" xr:uid="{40A1E0EF-3801-42DE-AED6-4BD80DC502A5}"/>
    <hyperlink ref="AD398" r:id="rId742" xr:uid="{5DA1D6F2-32E7-46CE-8D02-EE11AE70326D}"/>
    <hyperlink ref="AF389" r:id="rId743" xr:uid="{6AE4709E-D2C9-4787-ABD9-CED9934C5870}"/>
    <hyperlink ref="AF390" r:id="rId744" xr:uid="{3490DAC2-1AE0-43C6-A249-4E0A43A83391}"/>
    <hyperlink ref="AF391" r:id="rId745" xr:uid="{58EC5CC6-8E07-4CFD-8CCE-FC7DB1194770}"/>
    <hyperlink ref="AF392" r:id="rId746" xr:uid="{74BC42D8-ABDB-4B4F-910D-29B8473D94C0}"/>
    <hyperlink ref="AF393" r:id="rId747" xr:uid="{ACE98C45-1E15-4044-9375-8B13C2DB99CF}"/>
    <hyperlink ref="AF394" r:id="rId748" xr:uid="{D0547DFB-02EF-423B-ACD5-E21BD435F370}"/>
    <hyperlink ref="AF395" r:id="rId749" xr:uid="{9B35C6FC-34A8-4F62-805C-9A508342BB1C}"/>
    <hyperlink ref="AF396" r:id="rId750" xr:uid="{71941890-10AD-43D3-8811-17CFA8BEC194}"/>
    <hyperlink ref="AF397" r:id="rId751" xr:uid="{E36F8B24-66ED-43A0-9481-0B4F8547DCAB}"/>
    <hyperlink ref="AF398" r:id="rId752" xr:uid="{232042BC-9C06-4DB0-AB95-24085D1FA77B}"/>
    <hyperlink ref="AH389" r:id="rId753" xr:uid="{C5CAD241-FD3C-4BFC-911C-71F764577D10}"/>
    <hyperlink ref="AH390" r:id="rId754" xr:uid="{7BA01021-0B61-45D5-B054-39EDE89BA2C3}"/>
    <hyperlink ref="AH391" r:id="rId755" xr:uid="{F572A655-7780-4E44-80F8-3596C9B151D8}"/>
    <hyperlink ref="AH392" r:id="rId756" xr:uid="{125CC5FA-DC31-4FF6-9C74-33A22C8E263D}"/>
    <hyperlink ref="AH393" r:id="rId757" xr:uid="{05431FCF-CB4D-463B-9A6B-1D41E0B28F2F}"/>
    <hyperlink ref="AH394" r:id="rId758" xr:uid="{22C688C2-E592-4E99-A41A-FCBE3C7D9B8C}"/>
    <hyperlink ref="AH395" r:id="rId759" xr:uid="{E1F821DD-2149-4C75-8110-B3E409433432}"/>
    <hyperlink ref="AH396" r:id="rId760" xr:uid="{EA916A71-4E0C-4BD5-9D3F-1E2D9745346E}"/>
    <hyperlink ref="AH397" r:id="rId761" xr:uid="{475B4C38-79BC-4B99-A819-D430650ACBC2}"/>
    <hyperlink ref="AH398" r:id="rId762" xr:uid="{468D48AB-F0DC-4A48-8771-AC12DD90F8DA}"/>
    <hyperlink ref="AD378" r:id="rId763" xr:uid="{5B5CC477-A9F7-4586-AB35-42A8E1A55E86}"/>
    <hyperlink ref="AD379" r:id="rId764" xr:uid="{2FE1EB6E-2800-4632-9901-5A1974B6637A}"/>
    <hyperlink ref="AD380" r:id="rId765" xr:uid="{5C49B74B-141E-47D0-8443-4EB268359A6B}"/>
    <hyperlink ref="AD381" r:id="rId766" xr:uid="{8EF64D52-05D0-4963-933D-26AB501C46D7}"/>
    <hyperlink ref="AD382" r:id="rId767" xr:uid="{0ED49F0E-DBA3-4403-83F0-D54D9EEB23CD}"/>
    <hyperlink ref="AD383" r:id="rId768" xr:uid="{D581A7B1-9624-4465-B528-07CD57B1C4E4}"/>
    <hyperlink ref="AD384" r:id="rId769" xr:uid="{0B1A45E9-07B7-453D-8053-F145A7229BD0}"/>
    <hyperlink ref="AD385" r:id="rId770" xr:uid="{9066C869-E88C-4FF8-9036-00B68BD6417D}"/>
    <hyperlink ref="AD386" r:id="rId771" xr:uid="{6D0C8327-07C4-47F2-A5D5-BFCB93B72F96}"/>
    <hyperlink ref="AD387" r:id="rId772" xr:uid="{98359E59-5490-4552-BD12-DF8C161A6FFD}"/>
    <hyperlink ref="AF378" r:id="rId773" xr:uid="{8DD4C4A1-2678-480F-8A1B-10171F9EF48B}"/>
    <hyperlink ref="AF379" r:id="rId774" xr:uid="{0A3DF792-E0EE-4A1C-B85F-A24044C20AB0}"/>
    <hyperlink ref="AF380" r:id="rId775" xr:uid="{82742C8B-FAC9-414C-A067-1BD9F6CA0E24}"/>
    <hyperlink ref="AF381" r:id="rId776" xr:uid="{9EB259A3-2AB4-42A0-8907-516155DA42DC}"/>
    <hyperlink ref="AF382" r:id="rId777" xr:uid="{B8176140-07BF-4DAC-953D-6C1EDFFEF82B}"/>
    <hyperlink ref="AF383" r:id="rId778" xr:uid="{BAB14B4C-4C55-4DDF-B680-8F1ABE36648D}"/>
    <hyperlink ref="AF384" r:id="rId779" xr:uid="{A5D9CDB5-B1F4-4BE5-9E49-3A28416B7A34}"/>
    <hyperlink ref="AF385" r:id="rId780" xr:uid="{2474FFC4-39E0-45B6-82A2-4135FEE2A805}"/>
    <hyperlink ref="AF386" r:id="rId781" xr:uid="{96026B2D-7F0A-4B01-90E9-7B8EB3253237}"/>
    <hyperlink ref="AF387" r:id="rId782" xr:uid="{42062947-A474-4483-95A8-AD079D05E3C8}"/>
    <hyperlink ref="AH378" r:id="rId783" xr:uid="{105EE64E-DC31-4104-9B9F-CF59D8961DAD}"/>
    <hyperlink ref="AH379" r:id="rId784" xr:uid="{261F496F-E33B-440B-961E-10F89083C9CA}"/>
    <hyperlink ref="AH380" r:id="rId785" xr:uid="{2222B30B-D285-4346-BB7C-0475F5108571}"/>
    <hyperlink ref="AH381" r:id="rId786" xr:uid="{8C34C0BE-40E7-4AA0-8574-3B3888DCD7CA}"/>
    <hyperlink ref="AH382" r:id="rId787" xr:uid="{A3141C5D-1FA2-4C99-8C6B-020D9C1F7182}"/>
    <hyperlink ref="AH383" r:id="rId788" xr:uid="{55B491E3-01A5-41E5-9C63-466690691D63}"/>
    <hyperlink ref="AH384" r:id="rId789" xr:uid="{3E5CE39B-63EB-416B-81E6-E5DA8D46590B}"/>
    <hyperlink ref="AH385" r:id="rId790" xr:uid="{05E97C12-071E-4F5E-AA48-AC92D33062C9}"/>
    <hyperlink ref="AH386" r:id="rId791" xr:uid="{45AC6B61-D9C8-4E8E-B695-7DB366CBEF70}"/>
    <hyperlink ref="AH387" r:id="rId792" xr:uid="{D2A78CB9-79B2-47F1-AA39-A5DDE429CDB0}"/>
    <hyperlink ref="AD367" r:id="rId793" xr:uid="{5E8B9AE0-0D8D-423B-B8F2-F84445E451E3}"/>
    <hyperlink ref="AD368" r:id="rId794" xr:uid="{707FEFF4-955C-4E86-9ED5-B2F9B782A375}"/>
    <hyperlink ref="AD369" r:id="rId795" xr:uid="{17D3927A-62CB-4D70-A424-CA4D83DBE18C}"/>
    <hyperlink ref="AD370" r:id="rId796" xr:uid="{DF95C3D2-1983-493C-A78F-64FCA6DD4A78}"/>
    <hyperlink ref="AD371" r:id="rId797" xr:uid="{BE5800FE-E602-4C89-A63F-1F5FFF2A7A22}"/>
    <hyperlink ref="AD372" r:id="rId798" xr:uid="{088905FE-AC16-431B-B39D-D36283EA757B}"/>
    <hyperlink ref="AD373" r:id="rId799" xr:uid="{01E29556-A282-4DCE-BEAE-F321F132D380}"/>
    <hyperlink ref="AD374" r:id="rId800" xr:uid="{AE55BCE0-9737-486B-BB52-9FF44CE672F9}"/>
    <hyperlink ref="AD375" r:id="rId801" xr:uid="{F1250719-6ED9-4D03-834F-AE6227494A22}"/>
    <hyperlink ref="AD376" r:id="rId802" xr:uid="{F5DD45A0-285A-47E7-A39D-CFA6BF0657C9}"/>
    <hyperlink ref="AF367" r:id="rId803" xr:uid="{2954AE27-3787-4F46-9D86-FC50FCF388CC}"/>
    <hyperlink ref="AF368" r:id="rId804" xr:uid="{249222AE-717E-47B6-ADCC-725BE20B53FE}"/>
    <hyperlink ref="AF369" r:id="rId805" xr:uid="{F5B02961-7C13-4D1D-995B-550A68656624}"/>
    <hyperlink ref="AF370" r:id="rId806" xr:uid="{16E09B84-7303-4470-B218-8B1404BB7765}"/>
    <hyperlink ref="AF371" r:id="rId807" xr:uid="{4C5BE9BA-EA25-4A1D-A9F7-1052ECE0C509}"/>
    <hyperlink ref="AF372" r:id="rId808" xr:uid="{584B6B4E-A07B-4F4A-8712-FAFA44438E40}"/>
    <hyperlink ref="AF373" r:id="rId809" xr:uid="{6BA4FADD-4981-4AFB-94B7-703B0E0D1BD1}"/>
    <hyperlink ref="AF374" r:id="rId810" xr:uid="{C0D5BA44-888E-42E7-9E15-0A354383ACCC}"/>
    <hyperlink ref="AF375" r:id="rId811" xr:uid="{98DD34D7-279F-4D3A-A105-C6568383434E}"/>
    <hyperlink ref="AF376" r:id="rId812" xr:uid="{48487D43-D30D-4738-BF57-F8733C8E7782}"/>
    <hyperlink ref="AH367" r:id="rId813" xr:uid="{257543EE-9A0E-4976-A8E1-671C30D41276}"/>
    <hyperlink ref="AH368" r:id="rId814" xr:uid="{DAB2EF7D-1B93-4E84-83B7-6417C2D04921}"/>
    <hyperlink ref="AH369" r:id="rId815" xr:uid="{C01113AF-305A-472E-B417-B2E4701E7743}"/>
    <hyperlink ref="AH370" r:id="rId816" xr:uid="{05F87E91-9380-40BD-BB8E-CD84E4685FCD}"/>
    <hyperlink ref="AH371" r:id="rId817" xr:uid="{55BBF2B5-9F55-46B1-B47A-925D3609B484}"/>
    <hyperlink ref="AH372" r:id="rId818" xr:uid="{3393EC98-F66A-43C5-864D-B62422A74E88}"/>
    <hyperlink ref="AH373" r:id="rId819" xr:uid="{E54920A9-17B7-4569-9F1D-E3CDCBDAA532}"/>
    <hyperlink ref="AH374" r:id="rId820" xr:uid="{68AD8D72-5BB8-48D0-9317-7822547DAEF4}"/>
    <hyperlink ref="AH375" r:id="rId821" xr:uid="{A1A6D913-D926-46B8-A08C-E8EC6AE7B0E5}"/>
    <hyperlink ref="AH376" r:id="rId822" xr:uid="{39305830-8431-46EC-9025-B611D9D8EC14}"/>
    <hyperlink ref="AF356" r:id="rId823" xr:uid="{20BC340F-4827-4FF9-BE85-368381920C4B}"/>
    <hyperlink ref="AF357" r:id="rId824" xr:uid="{E4937891-7695-46D6-A7C9-06ABAE2306E9}"/>
    <hyperlink ref="AF358" r:id="rId825" xr:uid="{EA40A45C-7028-45B7-AD7A-F7C53D732250}"/>
    <hyperlink ref="AF359" r:id="rId826" xr:uid="{CC6D42A4-7EC4-4480-8904-947800E8D040}"/>
    <hyperlink ref="AF360" r:id="rId827" xr:uid="{5796E82F-518D-4B8F-829D-16C6A6C2C944}"/>
    <hyperlink ref="AF361" r:id="rId828" xr:uid="{BA8B06BF-0F62-44FE-8834-15556A567819}"/>
    <hyperlink ref="AF362" r:id="rId829" xr:uid="{2D0D0EAE-A435-4926-B730-FB089E35E333}"/>
    <hyperlink ref="AF363" r:id="rId830" xr:uid="{C558EAB3-FCA9-44EB-9386-658AECC0D304}"/>
    <hyperlink ref="AF364" r:id="rId831" xr:uid="{95B7886F-143B-412C-BCD8-538B14F13009}"/>
    <hyperlink ref="AF365" r:id="rId832" xr:uid="{655AD8DD-121D-4A8C-BE5A-2DA44DE793C0}"/>
    <hyperlink ref="AH356" r:id="rId833" xr:uid="{CDD12FDE-890A-4CB2-94E8-41A18339547E}"/>
    <hyperlink ref="AH357" r:id="rId834" xr:uid="{9CC90798-494A-4FA5-AE30-DECD2FA12E8A}"/>
    <hyperlink ref="AH358" r:id="rId835" xr:uid="{B515A95B-B0B6-42AF-B395-9871270AF362}"/>
    <hyperlink ref="AH359" r:id="rId836" xr:uid="{E434A69B-5550-489E-B3AF-E43DC13DB862}"/>
    <hyperlink ref="AH360" r:id="rId837" xr:uid="{7F1DE1B5-D10A-44CB-8747-43EDBDF70E99}"/>
    <hyperlink ref="AH361" r:id="rId838" xr:uid="{A7D839DB-D792-4849-9F31-3467FAFE6107}"/>
    <hyperlink ref="AH362" r:id="rId839" xr:uid="{4A685B95-988E-40D2-8504-355EF48EE318}"/>
    <hyperlink ref="AH363" r:id="rId840" xr:uid="{D820FC6D-4536-48B0-9A63-C64155DBCBA3}"/>
    <hyperlink ref="AH364" r:id="rId841" xr:uid="{08D05ED7-E5EE-461C-85D5-2038D0ECEE00}"/>
    <hyperlink ref="AH365" r:id="rId842" xr:uid="{6D93E725-5A27-44B1-A9A7-E84A145D5DD4}"/>
    <hyperlink ref="AD345" r:id="rId843" xr:uid="{9D4A6766-5194-4B95-B56B-9942DBEF8D29}"/>
    <hyperlink ref="AD346" r:id="rId844" xr:uid="{515B8C48-20A2-4AA8-9A80-3FFCDC6C66A6}"/>
    <hyperlink ref="AD347" r:id="rId845" xr:uid="{205D6911-F5B1-410D-A681-083548A29C39}"/>
    <hyperlink ref="AD348" r:id="rId846" xr:uid="{6A5CE9A7-C61F-4F8C-8B43-BCC52B73BDBF}"/>
    <hyperlink ref="AD349" r:id="rId847" xr:uid="{1AFED741-6C4A-431F-9A15-E29EC5070672}"/>
    <hyperlink ref="AD350" r:id="rId848" xr:uid="{CBC6BAE2-3E2C-44A9-BB1C-5C613ED0AE32}"/>
    <hyperlink ref="AD351" r:id="rId849" xr:uid="{8EA40820-BECC-4E38-A440-58B64CDFCCA3}"/>
    <hyperlink ref="AD352" r:id="rId850" xr:uid="{4166ABCF-B734-4244-B1AE-43F9ADEC5920}"/>
    <hyperlink ref="AD353" r:id="rId851" xr:uid="{909ACA5E-69D6-49F7-821A-555652313980}"/>
    <hyperlink ref="AD354" r:id="rId852" xr:uid="{2A45C161-2281-44AA-8B32-D7ADBF1616A7}"/>
    <hyperlink ref="AF345" r:id="rId853" xr:uid="{2E8A96D0-B4EA-4D5C-889C-59B6099E9861}"/>
    <hyperlink ref="AF346" r:id="rId854" xr:uid="{21DFEF71-2453-4AB0-B524-5C7F14115796}"/>
    <hyperlink ref="AF347" r:id="rId855" xr:uid="{D45C559D-C8EE-48C9-A7E2-BB6B73918DC6}"/>
    <hyperlink ref="AF348" r:id="rId856" xr:uid="{AC93B2E5-08BB-4753-8446-A706E2E96EA2}"/>
    <hyperlink ref="AF349" r:id="rId857" xr:uid="{B8B4C44F-8630-4DD4-8B4C-7FDF17E1E429}"/>
    <hyperlink ref="AF350" r:id="rId858" xr:uid="{EC7698E2-8028-4800-BAC8-433906344695}"/>
    <hyperlink ref="AF351" r:id="rId859" xr:uid="{A88DE104-AF82-4ABC-B075-8415907684B1}"/>
    <hyperlink ref="AF352" r:id="rId860" xr:uid="{DC720C4B-6AEF-4BDD-B6B6-F86B5E4AF89B}"/>
    <hyperlink ref="AF353" r:id="rId861" xr:uid="{0A0B49E8-2E46-4612-B243-E6007A3B999F}"/>
    <hyperlink ref="AF354" r:id="rId862" xr:uid="{726D8A66-822B-4467-A5C8-C55888383ABB}"/>
    <hyperlink ref="AH345" r:id="rId863" xr:uid="{0D640168-3D4C-4F79-956A-2A2CA0E65EAA}"/>
    <hyperlink ref="AH346" r:id="rId864" xr:uid="{2A9A8016-26E5-4F1A-8063-75CC52E66BC1}"/>
    <hyperlink ref="AH347" r:id="rId865" xr:uid="{F34A6999-68FC-47E9-81B6-7F253B5890E6}"/>
    <hyperlink ref="AH348" r:id="rId866" xr:uid="{26D2B18D-B0A9-47DB-B5D2-5B6B40108AFB}"/>
    <hyperlink ref="AH349" r:id="rId867" xr:uid="{181FE71C-7AAC-4860-8E6D-B26F4A53E0F2}"/>
    <hyperlink ref="AH350" r:id="rId868" xr:uid="{C136BEE1-6719-4CFB-9BB6-DCA33FBDF2CB}"/>
    <hyperlink ref="AH351" r:id="rId869" xr:uid="{10829AD9-06DC-400E-AB14-7C40B69C7C49}"/>
    <hyperlink ref="AH352" r:id="rId870" xr:uid="{E65D9989-F994-44BF-9342-EB15C38D1A58}"/>
    <hyperlink ref="AH353" r:id="rId871" xr:uid="{85335907-3714-40BE-AB9D-C44E9F285B18}"/>
    <hyperlink ref="AH354" r:id="rId872" xr:uid="{5BB117EE-A370-4B56-BBC7-780BABC028AD}"/>
    <hyperlink ref="AH344" r:id="rId873" xr:uid="{71495224-424A-4DC1-86DF-DCB508261EF7}"/>
    <hyperlink ref="AF344" r:id="rId874" xr:uid="{40AAE565-168E-477D-9151-8CEB95D9B092}"/>
    <hyperlink ref="AD344" r:id="rId875" xr:uid="{4C4494CC-7CD7-46CB-B150-078DEC0A71CE}"/>
    <hyperlink ref="AD334" r:id="rId876" xr:uid="{9DF394C9-F190-4E02-A2AF-C275361BE37F}"/>
    <hyperlink ref="AD335" r:id="rId877" xr:uid="{F92133C9-26F1-4E1C-800B-B90189D61CDA}"/>
    <hyperlink ref="AD336" r:id="rId878" xr:uid="{E708B05E-DB99-46EA-AA9A-BFF4274C7B00}"/>
    <hyperlink ref="AD337" r:id="rId879" xr:uid="{C44D35BC-714F-46A6-B1BE-DFAC37F8B9A3}"/>
    <hyperlink ref="AD338" r:id="rId880" xr:uid="{AF5B99F0-3EC5-4D60-9234-E69D503A174B}"/>
    <hyperlink ref="AD339" r:id="rId881" xr:uid="{B8B4833D-75F7-426F-9BE7-B0CB3B8528A8}"/>
    <hyperlink ref="AD340" r:id="rId882" xr:uid="{D7F7024A-7289-4D33-B83E-598BB48A9A56}"/>
    <hyperlink ref="AD341" r:id="rId883" xr:uid="{56F73B32-EC79-499E-9D68-867EB6BBB4DC}"/>
    <hyperlink ref="AD342" r:id="rId884" xr:uid="{1F654D60-41CE-4325-8905-648C50007862}"/>
    <hyperlink ref="AD343" r:id="rId885" xr:uid="{C838CEB3-34AA-4972-806C-507CFFF65384}"/>
    <hyperlink ref="AF334" r:id="rId886" xr:uid="{76787841-AB33-40BB-88B5-BCC4929EDCE0}"/>
    <hyperlink ref="AF335" r:id="rId887" xr:uid="{ABB50560-6478-4A9E-A58D-C8C2DCF3AE3B}"/>
    <hyperlink ref="AF336" r:id="rId888" xr:uid="{C2401F19-A4F6-4168-B6CD-D77807BEE59A}"/>
    <hyperlink ref="AF337" r:id="rId889" xr:uid="{873D12A9-9FA5-4C34-980C-397DD6BAAF22}"/>
    <hyperlink ref="AF338" r:id="rId890" xr:uid="{817D93A9-0909-40DE-8867-FCE6967269EE}"/>
    <hyperlink ref="AF339" r:id="rId891" xr:uid="{8AC92852-48E8-4156-A471-81521EDA4B65}"/>
    <hyperlink ref="AF340" r:id="rId892" xr:uid="{1C62CAB6-CF39-4083-8741-2882E11EAECF}"/>
    <hyperlink ref="AF341" r:id="rId893" xr:uid="{094634D5-4829-4EE7-8B36-626CFD9C76DF}"/>
    <hyperlink ref="AF342" r:id="rId894" xr:uid="{415AC9DF-0F62-4B06-B0ED-E728554AE16E}"/>
    <hyperlink ref="AF343" r:id="rId895" xr:uid="{99E69AF9-58C9-41BE-A6F9-1DE994D153AB}"/>
    <hyperlink ref="AH334" r:id="rId896" xr:uid="{E83F4BE9-CDF7-435C-A19F-CD1271CB301F}"/>
    <hyperlink ref="AH335" r:id="rId897" xr:uid="{9BF9A49E-FC7D-4EDC-88AB-DA1578DEDE08}"/>
    <hyperlink ref="AH336" r:id="rId898" xr:uid="{3265D07E-2215-414F-B7A2-109AE28907C4}"/>
    <hyperlink ref="AH337" r:id="rId899" xr:uid="{06F1421D-C3D5-4358-8292-33811CDA17DC}"/>
    <hyperlink ref="AH338" r:id="rId900" xr:uid="{B7C2A576-DFCD-4BD9-8CCB-7C8A3307E474}"/>
    <hyperlink ref="AH339" r:id="rId901" xr:uid="{AF17A4FE-652C-40EB-B089-DC1613EF09B9}"/>
    <hyperlink ref="AH340" r:id="rId902" xr:uid="{C6DC1327-5F08-4808-BE93-684F20D6EA18}"/>
    <hyperlink ref="AH341" r:id="rId903" xr:uid="{6AFA05C3-A95A-4D40-81C3-0A77768525DA}"/>
    <hyperlink ref="AH342" r:id="rId904" xr:uid="{654DC622-7427-4567-AFC3-845E0C23C40B}"/>
    <hyperlink ref="AH343" r:id="rId905" xr:uid="{10F8F263-106F-4871-AEC6-57713715E9F6}"/>
    <hyperlink ref="AE3:AE409" r:id="rId906" display="https://drive.google.com/file/d/1N4Zo1nyoTRwV-8yeADEdYoewjbxnID-Z/view?usp=drive_link" xr:uid="{94436BEA-A2AA-4280-B2E7-A01E24B972FE}"/>
    <hyperlink ref="AG3:AG409" r:id="rId907" display="https://drive.google.com/file/d/1N4Zo1nyoTRwV-8yeADEdYoewjbxnID-Z/view?usp=drive_link" xr:uid="{B82DDBF2-7ABF-47FE-8EDA-870EA9FAD099}"/>
    <hyperlink ref="AD427" r:id="rId908" xr:uid="{BF03B712-2CE4-4170-B500-D156EF4D7178}"/>
    <hyperlink ref="AD439" r:id="rId909" xr:uid="{5043B23A-E6FD-416F-8835-F8DF865B6A44}"/>
    <hyperlink ref="AD428" r:id="rId910" xr:uid="{3D3E4C7F-574F-4880-8294-102E290A2500}"/>
    <hyperlink ref="AD429" r:id="rId911" xr:uid="{7A442BF6-64B2-4ABD-B8DF-8E4C91418A92}"/>
    <hyperlink ref="AD430" r:id="rId912" xr:uid="{2128582D-8478-4E55-9F18-A39C84028066}"/>
    <hyperlink ref="AD431" r:id="rId913" xr:uid="{492821B5-FFEB-4979-8A72-11272E718E11}"/>
    <hyperlink ref="AD432" r:id="rId914" xr:uid="{708101CE-F38F-4670-B45F-08B4B1759AD4}"/>
    <hyperlink ref="AD433" r:id="rId915" xr:uid="{AD106639-0252-499B-B232-242C875542E3}"/>
    <hyperlink ref="AD434" r:id="rId916" xr:uid="{A48CF0A9-6876-4A6F-842A-7BBCDCAB69B7}"/>
    <hyperlink ref="AD435" r:id="rId917" xr:uid="{555F26EF-81C3-4B81-AB5C-985F7D88E303}"/>
    <hyperlink ref="AD436" r:id="rId918" xr:uid="{C986B09D-C55D-46F5-94EB-B6FA9C187D81}"/>
    <hyperlink ref="AD437" r:id="rId919" xr:uid="{0012B07E-CD6A-47B3-87C5-127CE9C322D9}"/>
    <hyperlink ref="AD438" r:id="rId920" xr:uid="{CD5AAEB2-91BA-4448-8285-CFDFD839BA46}"/>
    <hyperlink ref="AD440" r:id="rId921" xr:uid="{0503A93D-8A33-4F69-B8CA-2D9DE6E68E06}"/>
    <hyperlink ref="AD441" r:id="rId922" xr:uid="{8AAD3E52-B11C-433F-B402-AA2349598000}"/>
    <hyperlink ref="AD442" r:id="rId923" xr:uid="{1A667F86-3035-4B56-82AE-1929623C4D4C}"/>
    <hyperlink ref="AD443" r:id="rId924" xr:uid="{D6064731-D6D0-479D-AFE8-3CCD685062D5}"/>
    <hyperlink ref="AD444" r:id="rId925" xr:uid="{A03A0ED9-949B-44AA-8C42-B423010A8157}"/>
    <hyperlink ref="AD445" r:id="rId926" xr:uid="{04B11FB6-73A8-45EC-BEEB-2098A4E2D587}"/>
    <hyperlink ref="AD446" r:id="rId927" xr:uid="{EF92B75F-FEB2-45E3-BA47-78607F8E17BD}"/>
    <hyperlink ref="AD447" r:id="rId928" xr:uid="{9B688562-957F-43F8-BF06-25C11AA09124}"/>
    <hyperlink ref="AD448" r:id="rId929" xr:uid="{5A4278BF-C5B4-43E1-A317-D581889B0227}"/>
    <hyperlink ref="AD449" r:id="rId930" xr:uid="{4CEAA5AA-A666-4F98-B62C-2E298BF6842C}"/>
    <hyperlink ref="AD450" r:id="rId931" xr:uid="{A6E1A388-6492-4F38-B060-C374BAF7840D}"/>
    <hyperlink ref="AD451" r:id="rId932" xr:uid="{AB42DBDD-F63A-4D73-BEC7-E2D26608949E}"/>
    <hyperlink ref="AD452" r:id="rId933" xr:uid="{452F6C4C-5829-4767-9C02-08C117D85BDC}"/>
    <hyperlink ref="AD453" r:id="rId934" xr:uid="{BF3E65A2-215B-4277-B5DA-5BC041D8E461}"/>
    <hyperlink ref="AD454" r:id="rId935" xr:uid="{6C98776A-0820-407B-8389-87F984E5E824}"/>
    <hyperlink ref="AD455" r:id="rId936" xr:uid="{0DA226C9-05C7-4D32-971B-E30407EBF52E}"/>
    <hyperlink ref="AD456" r:id="rId937" xr:uid="{F0D05EE6-EC70-4348-A027-267FB218FE53}"/>
    <hyperlink ref="AD457" r:id="rId938" xr:uid="{E553ABB1-8686-49E0-AD78-A5898B310F9E}"/>
    <hyperlink ref="AD458" r:id="rId939" xr:uid="{9869F284-C217-4167-8032-E13C38AE1748}"/>
    <hyperlink ref="AD459" r:id="rId940" xr:uid="{2A7C2359-7C79-4692-B2B6-3170864B1E7E}"/>
    <hyperlink ref="AD460" r:id="rId941" xr:uid="{7C85EABA-F86A-408E-871F-2B03444DADE0}"/>
    <hyperlink ref="AD461" r:id="rId942" xr:uid="{F5B459AE-F317-47A4-9083-08C7AEC551B1}"/>
    <hyperlink ref="AD462" r:id="rId943" xr:uid="{4964C453-120E-418C-ADFE-6E5CBD253A05}"/>
    <hyperlink ref="AD463" r:id="rId944" xr:uid="{F4F55F3C-10E1-4A0A-8218-1DDF087F47DF}"/>
    <hyperlink ref="AD464" r:id="rId945" xr:uid="{04577865-9100-4063-931B-A4A90A0B2EB4}"/>
    <hyperlink ref="AD465" r:id="rId946" xr:uid="{7DC6521E-E010-4DDE-A6C4-D35901D8EF6F}"/>
    <hyperlink ref="AD466" r:id="rId947" xr:uid="{A86B7DD2-9B82-40BE-BA24-2B8D101E842E}"/>
    <hyperlink ref="AD467" r:id="rId948" xr:uid="{D6EC546E-58A1-4C2B-B970-E12713D2BFAE}"/>
    <hyperlink ref="AD468" r:id="rId949" xr:uid="{40EB1A0D-31BF-4A3B-B347-EEA9D7C0DA30}"/>
    <hyperlink ref="AD469" r:id="rId950" xr:uid="{3F1BA552-FCC1-4260-8FEB-CF31101CB2FD}"/>
    <hyperlink ref="AD470" r:id="rId951" xr:uid="{C2AC3798-9FAA-4C22-AF29-0606C46C8B58}"/>
    <hyperlink ref="AD471" r:id="rId952" xr:uid="{23635C8E-EF0D-4DB0-8BFB-B28116443AE0}"/>
    <hyperlink ref="AD472" r:id="rId953" xr:uid="{A410228A-6DA0-480D-BFFA-6E4A1BB63FB8}"/>
    <hyperlink ref="AD473" r:id="rId954" xr:uid="{98C72BC6-038B-4906-B124-AD78C0B11F82}"/>
    <hyperlink ref="AD474" r:id="rId955" xr:uid="{27FC16D5-E3F3-4457-9FF4-679DDAD62AB4}"/>
    <hyperlink ref="AD475" r:id="rId956" xr:uid="{79F614C8-497C-4F59-BC69-CBC8AA9D9ADE}"/>
    <hyperlink ref="AD476" r:id="rId957" xr:uid="{6D42495C-E2AE-4F66-B26A-572CFC3438D8}"/>
    <hyperlink ref="AD477" r:id="rId958" xr:uid="{13339CB8-6365-490C-A3BB-AC6FE51CE111}"/>
    <hyperlink ref="AD478" r:id="rId959" xr:uid="{11BD5168-6B5A-4250-B59F-0224902F6AD9}"/>
    <hyperlink ref="AD479" r:id="rId960" xr:uid="{B9C625D7-47B1-43F0-A9AC-92B92D45B0CF}"/>
    <hyperlink ref="AD480" r:id="rId961" xr:uid="{69F57C38-41A9-48DF-95F6-AFB8212E2E86}"/>
    <hyperlink ref="AD481" r:id="rId962" xr:uid="{C8519AD8-62D8-438B-BCF7-13798F4535B4}"/>
    <hyperlink ref="AD482" r:id="rId963" xr:uid="{C1F3B7BD-8F1B-419C-B41A-CBE74ADE8B0B}"/>
    <hyperlink ref="AD483" r:id="rId964" xr:uid="{82BF6306-D064-47A4-B9C2-0140AB410333}"/>
    <hyperlink ref="AD484" r:id="rId965" xr:uid="{FD761170-759E-46C3-B8B7-CD0E49862067}"/>
    <hyperlink ref="AD485" r:id="rId966" xr:uid="{3ECCB5FA-A470-4772-B4F6-A8183937B46E}"/>
    <hyperlink ref="AD486" r:id="rId967" xr:uid="{067A0C01-C1D7-4CF9-A65C-67F28CABFED4}"/>
    <hyperlink ref="AD487" r:id="rId968" xr:uid="{AA8EC781-8E63-4853-A28C-D8E6435D815E}"/>
    <hyperlink ref="AD488" r:id="rId969" xr:uid="{CBB2C85E-4F65-40E3-B898-1CE88FBB4AEE}"/>
    <hyperlink ref="AD489" r:id="rId970" xr:uid="{BED8B1ED-7FE6-4B8F-B26B-C25394DC8599}"/>
    <hyperlink ref="AD490" r:id="rId971" xr:uid="{1D76DE3F-2477-4C33-9C14-A274C4C44D38}"/>
    <hyperlink ref="AD491" r:id="rId972" xr:uid="{06B544C5-41D7-4D0F-98F1-FA8B1841B038}"/>
    <hyperlink ref="AD492" r:id="rId973" xr:uid="{A58DB2F0-450C-4590-BCEA-BE78CDD5620E}"/>
    <hyperlink ref="AD493" r:id="rId974" xr:uid="{4EC0D9AA-71D8-4E62-92FB-4F714C831DFE}"/>
    <hyperlink ref="AD494" r:id="rId975" xr:uid="{A6E88975-2935-4F04-9E4E-6B6E688C6B91}"/>
    <hyperlink ref="AD495" r:id="rId976" xr:uid="{5F27DECA-5FCE-4855-B596-8579231F1010}"/>
    <hyperlink ref="AD496" r:id="rId977" xr:uid="{777839A6-DF55-494C-A8DC-A9F1B2AE9834}"/>
    <hyperlink ref="AD497" r:id="rId978" xr:uid="{9E05F507-AD08-47BF-B31E-D23CFB2A4542}"/>
    <hyperlink ref="AD498" r:id="rId979" xr:uid="{8EC802FB-9C7A-4BFC-B2BA-4D5DE763731A}"/>
    <hyperlink ref="AD499" r:id="rId980" xr:uid="{76B1089F-92D2-4D21-BB12-4C0CCA3E4557}"/>
    <hyperlink ref="AD500" r:id="rId981" xr:uid="{739C6891-B753-4274-B6A7-20F5BA966895}"/>
    <hyperlink ref="AD501" r:id="rId982" xr:uid="{6F4BBF53-76B0-42C7-8FA9-06257B607AF4}"/>
    <hyperlink ref="AD502" r:id="rId983" xr:uid="{5881FD37-8315-4D80-ABEC-3AE9D61E3147}"/>
    <hyperlink ref="AD503" r:id="rId984" xr:uid="{0909140F-78BF-423C-90FA-31D8415D2919}"/>
    <hyperlink ref="AD504" r:id="rId985" xr:uid="{2AB12376-D79E-4656-B42C-E702E2512CA3}"/>
    <hyperlink ref="AD505" r:id="rId986" xr:uid="{E3757B4A-AB8F-4FF2-8D82-2F4664BFAE7F}"/>
    <hyperlink ref="AD506" r:id="rId987" xr:uid="{6F884D6F-9C01-41B2-8E16-FA0C7918DE00}"/>
    <hyperlink ref="AD507" r:id="rId988" xr:uid="{2FF40155-1FAD-492F-A518-3FDFC7A3792F}"/>
    <hyperlink ref="AD508" r:id="rId989" xr:uid="{B42F7B53-31A9-484C-8DA6-D7A96D11DB82}"/>
    <hyperlink ref="AD509" r:id="rId990" xr:uid="{216E33AF-140A-4583-B42C-E30EC53636B4}"/>
    <hyperlink ref="AD510" r:id="rId991" xr:uid="{3BFCCE20-E959-46B4-BCA3-9C79F57DF050}"/>
    <hyperlink ref="AD511" r:id="rId992" xr:uid="{98A9B965-7355-427F-8F4A-522C0FB7A4E8}"/>
    <hyperlink ref="AD512" r:id="rId993" xr:uid="{D3DE97B0-045F-4DFF-9634-36442B4E66FD}"/>
    <hyperlink ref="AD513" r:id="rId994" xr:uid="{F47E7817-8569-40FC-9E06-1BE4245F121E}"/>
    <hyperlink ref="AD514" r:id="rId995" xr:uid="{BEB0139D-26FA-4270-A311-156FBF7201F3}"/>
    <hyperlink ref="AD515" r:id="rId996" xr:uid="{83640144-D226-4131-AFDA-E06BD4C3D0A1}"/>
    <hyperlink ref="AD516" r:id="rId997" xr:uid="{583A3A46-0FBD-4893-9317-73D71BB68D3B}"/>
    <hyperlink ref="AD517" r:id="rId998" xr:uid="{1E7CE287-0373-4550-995F-E72AE1C2250D}"/>
    <hyperlink ref="AD518" r:id="rId999" xr:uid="{289CC29C-B829-4EC5-B100-4CC2D35DFE75}"/>
    <hyperlink ref="AD519" r:id="rId1000" xr:uid="{885D8289-3C9C-496D-957C-9616C2C5B778}"/>
    <hyperlink ref="AD520" r:id="rId1001" xr:uid="{280FD80E-66D5-49D7-9AFB-4F01FB7321AA}"/>
    <hyperlink ref="AD521" r:id="rId1002" xr:uid="{F745CA8D-7B61-4E14-AF4B-A1CC77C76CA8}"/>
    <hyperlink ref="AD522" r:id="rId1003" xr:uid="{4BAFAA95-F2CE-4742-9617-1F4C22158915}"/>
    <hyperlink ref="AD523" r:id="rId1004" xr:uid="{F129A694-824F-48CD-B4C4-2A0C236C8716}"/>
    <hyperlink ref="AD524" r:id="rId1005" xr:uid="{32F59E89-50C5-4393-9036-5DAD11F03FBA}"/>
    <hyperlink ref="AD525" r:id="rId1006" xr:uid="{F4DBC4B1-98B6-44F0-A5BE-7094E0A8765A}"/>
    <hyperlink ref="AD526" r:id="rId1007" xr:uid="{18B127BA-647C-4069-B488-CB716F57886C}"/>
    <hyperlink ref="AD527" r:id="rId1008" xr:uid="{D862F9C0-AD18-4CEE-9D4E-24BFC7292DDA}"/>
    <hyperlink ref="AD528" r:id="rId1009" xr:uid="{95362C0C-3E82-45C8-8BC8-76C8384D84D5}"/>
    <hyperlink ref="AD529" r:id="rId1010" xr:uid="{8EA76120-88B9-4E38-AD9E-B1CDFB980509}"/>
    <hyperlink ref="AD530" r:id="rId1011" xr:uid="{AFED6F2D-7096-4897-A1E8-B1A4483BF98A}"/>
    <hyperlink ref="AD531" r:id="rId1012" xr:uid="{B238096D-FE8C-489D-BD34-46036A47EF57}"/>
    <hyperlink ref="AD532" r:id="rId1013" xr:uid="{ADA9DE33-09AC-421C-941C-F6598CF214AA}"/>
    <hyperlink ref="AD533" r:id="rId1014" xr:uid="{B93A8749-5F89-4EEE-A212-CCDB48CA90D6}"/>
    <hyperlink ref="AD534" r:id="rId1015" xr:uid="{0DC6B184-1793-49EB-B15F-03BA1BF00C18}"/>
    <hyperlink ref="AD535" r:id="rId1016" xr:uid="{653C4348-FE6C-4D0F-9CE2-9499D8A91DD3}"/>
    <hyperlink ref="AD536" r:id="rId1017" xr:uid="{56589DFE-E2EE-4479-8DD5-DE5476FF9700}"/>
    <hyperlink ref="AD537" r:id="rId1018" xr:uid="{E5611503-744B-4348-8890-9C7D86F983B3}"/>
    <hyperlink ref="AD538" r:id="rId1019" xr:uid="{F8A15B1C-5D1C-4D33-B663-AB9795EEC0C2}"/>
    <hyperlink ref="AD539" r:id="rId1020" xr:uid="{3D25DFF8-E984-4BFA-83BE-41CF98704F81}"/>
    <hyperlink ref="AD540" r:id="rId1021" xr:uid="{1429F9C2-E586-4543-9468-CBD44ACD6346}"/>
    <hyperlink ref="AD541" r:id="rId1022" xr:uid="{356D5677-7449-474A-9AB3-D3A28A278D89}"/>
    <hyperlink ref="AD542" r:id="rId1023" xr:uid="{639E4E7D-F3BF-46E5-B285-5D7E73141C58}"/>
    <hyperlink ref="AD543" r:id="rId1024" xr:uid="{D7BA1A3B-1B3F-410E-8D0C-5C8DDF0B3FB4}"/>
    <hyperlink ref="AD544" r:id="rId1025" xr:uid="{0DB86BDE-551F-4B59-A566-A9695A5F128B}"/>
    <hyperlink ref="AD545" r:id="rId1026" xr:uid="{F210C3E9-DABF-45DB-A258-CE7A4393E3A1}"/>
    <hyperlink ref="AD546" r:id="rId1027" xr:uid="{52428386-46A4-4531-9329-3CBDBB0B17D7}"/>
    <hyperlink ref="AD547" r:id="rId1028" xr:uid="{39549AA1-419B-4376-8AE1-799973F3C693}"/>
    <hyperlink ref="AD548" r:id="rId1029" xr:uid="{ECAD982A-0FF6-486E-91ED-3708BA43B8AA}"/>
    <hyperlink ref="AD549" r:id="rId1030" xr:uid="{28EEC212-5EFB-4B4C-A01D-69FE3E095BA3}"/>
    <hyperlink ref="AD550" r:id="rId1031" xr:uid="{4DB68D42-5408-4020-84EE-21FEFC476CC7}"/>
    <hyperlink ref="AD551" r:id="rId1032" xr:uid="{1BAB7A68-11AA-4A86-8E64-F15E0FB23359}"/>
    <hyperlink ref="AD552" r:id="rId1033" xr:uid="{A1554D9A-C6E6-425D-9E3C-D2E4282BC79E}"/>
    <hyperlink ref="AD553" r:id="rId1034" xr:uid="{56869451-5655-4AD9-9965-796A48FFD144}"/>
    <hyperlink ref="AD554" r:id="rId1035" xr:uid="{9ABB72A5-EF1C-4F34-811E-82B336EDB890}"/>
    <hyperlink ref="AD555" r:id="rId1036" xr:uid="{566A58BE-D59B-4F34-90C3-13DD3D5C9D8A}"/>
    <hyperlink ref="AD556" r:id="rId1037" xr:uid="{12736E06-ADDE-499A-AC0E-82A29CA4F2AA}"/>
    <hyperlink ref="AD557" r:id="rId1038" xr:uid="{1783AE71-CC04-4ED0-9462-2616B92C6F00}"/>
    <hyperlink ref="AD558" r:id="rId1039" xr:uid="{22A94030-AEAD-4203-8037-A9DE8D9AF307}"/>
    <hyperlink ref="AD569" r:id="rId1040" xr:uid="{2309A8F4-81FD-46C3-BDA8-60C6BF031BE9}"/>
    <hyperlink ref="AD559" r:id="rId1041" xr:uid="{227CB3AF-418D-40BB-932D-CBDC06950EB3}"/>
    <hyperlink ref="AD560" r:id="rId1042" xr:uid="{23DC43AF-D1F5-4D7E-985D-668F87A220AE}"/>
    <hyperlink ref="AD561" r:id="rId1043" xr:uid="{16F21DBC-5A66-44E0-93A7-44DC5006808A}"/>
    <hyperlink ref="AD562" r:id="rId1044" xr:uid="{EC78D86C-E41B-4895-8C8B-A296F977A806}"/>
    <hyperlink ref="AD563" r:id="rId1045" xr:uid="{B6758DD7-67E2-46FB-B093-CA1200E6D9B3}"/>
    <hyperlink ref="AD564" r:id="rId1046" xr:uid="{F56E2AAB-1AB9-4656-8BB8-E1FF9C1EC05B}"/>
    <hyperlink ref="AD565" r:id="rId1047" xr:uid="{D1C05AB9-54A8-4331-B296-2154F9338887}"/>
    <hyperlink ref="AD566" r:id="rId1048" xr:uid="{BA1C68A5-EFAC-4EF0-BFF4-82B1283A2F4C}"/>
    <hyperlink ref="AD567" r:id="rId1049" xr:uid="{02D2AEB0-8E93-44BF-9631-F1747A5DFC9F}"/>
    <hyperlink ref="AD568" r:id="rId1050" xr:uid="{A23E6584-E712-4528-BB76-4EB7C1A2C6DC}"/>
    <hyperlink ref="AD570" r:id="rId1051" xr:uid="{7D4C3D6E-B07D-46CE-99AB-0D219D1A0C3A}"/>
    <hyperlink ref="AD571" r:id="rId1052" xr:uid="{96AAEEB7-FDCB-4617-84F1-627406869293}"/>
    <hyperlink ref="AD572" r:id="rId1053" xr:uid="{9E4FDE9F-F7A9-41C8-82C5-A65AD3354E84}"/>
    <hyperlink ref="AD573" r:id="rId1054" xr:uid="{B17BDFA0-6ABA-46A1-9FA7-90AA66D33F14}"/>
    <hyperlink ref="AD574" r:id="rId1055" xr:uid="{79DFE804-6C8B-48A9-98F4-97B242198875}"/>
    <hyperlink ref="AD575" r:id="rId1056" xr:uid="{51D2CC87-70F8-4FD7-B252-476E7078B537}"/>
    <hyperlink ref="AD576" r:id="rId1057" xr:uid="{BE50F5D7-E2A2-4C39-B416-D5CD54FEFFC5}"/>
    <hyperlink ref="AD577" r:id="rId1058" xr:uid="{9A3CC230-1A7B-4C56-8FD6-9EA0709A18ED}"/>
    <hyperlink ref="AD578" r:id="rId1059" xr:uid="{41FD5671-C72B-404C-A3BE-42F25B1894E0}"/>
    <hyperlink ref="AD579" r:id="rId1060" xr:uid="{757B8BCD-9B12-44E0-A871-22CBD1FE2950}"/>
    <hyperlink ref="AD580" r:id="rId1061" xr:uid="{3EAE79CC-BC6B-4356-84E7-BE715D563ED0}"/>
    <hyperlink ref="AD581" r:id="rId1062" xr:uid="{9D6996F7-2B79-4AA7-B116-E32DD0A4F743}"/>
    <hyperlink ref="AD582" r:id="rId1063" xr:uid="{57E21B81-0177-4973-816C-A09598B89443}"/>
    <hyperlink ref="AD583" r:id="rId1064" xr:uid="{F524633C-2E35-4599-9AC2-5783A4B1D4CC}"/>
    <hyperlink ref="AD584" r:id="rId1065" xr:uid="{EB2BC0BF-7CD3-4605-9023-4D1DF80E273E}"/>
    <hyperlink ref="AD585" r:id="rId1066" xr:uid="{8B2A6542-1BEF-4F95-9D9B-55787019C7BB}"/>
    <hyperlink ref="AD586" r:id="rId1067" xr:uid="{1A3AF125-EF47-49E3-9B55-255608029E4C}"/>
    <hyperlink ref="AD587" r:id="rId1068" xr:uid="{8FEA6731-F6A4-4444-9969-64CBF9D1CE81}"/>
    <hyperlink ref="AD588" r:id="rId1069" xr:uid="{5806E022-FB51-4EB1-91CF-E04D51AA3CC5}"/>
    <hyperlink ref="AD589" r:id="rId1070" xr:uid="{3B184F2F-F6B4-43C0-8D67-6CA6D0282AD2}"/>
    <hyperlink ref="AD590" r:id="rId1071" xr:uid="{A48D3AF1-1ECC-4CBF-BFA3-4970E995AD1A}"/>
    <hyperlink ref="AD591" r:id="rId1072" xr:uid="{199F32A0-5F5F-45FD-93BE-0F8D61DAC6F9}"/>
    <hyperlink ref="AD592" r:id="rId1073" xr:uid="{B08A3C7B-54BE-4911-8EED-B396DC0244A0}"/>
    <hyperlink ref="AD593" r:id="rId1074" xr:uid="{5CE1AD9C-AB7E-4EB9-AFCD-75E3FEC7E882}"/>
    <hyperlink ref="AD594" r:id="rId1075" xr:uid="{C91EA6A9-6C44-45B9-BB78-ED7D5E020C12}"/>
    <hyperlink ref="AD595" r:id="rId1076" xr:uid="{7C57B806-6EAF-4ABA-9F2E-76C2BE1DFF7C}"/>
    <hyperlink ref="AD596" r:id="rId1077" xr:uid="{A3AA94E8-2548-449F-AAF0-D28DAD4DFED7}"/>
    <hyperlink ref="AD597" r:id="rId1078" xr:uid="{B76692E4-E61F-47C8-B62F-0E2CFD558482}"/>
    <hyperlink ref="AD598" r:id="rId1079" xr:uid="{7FF0F889-6343-40CD-B377-1187A63166BF}"/>
    <hyperlink ref="AD599" r:id="rId1080" xr:uid="{CAE4FEE4-44FC-472E-A971-587A5B446505}"/>
    <hyperlink ref="AD600" r:id="rId1081" xr:uid="{9DABFCA4-A27C-4F1A-8D30-D47250FC7225}"/>
    <hyperlink ref="AD601" r:id="rId1082" xr:uid="{5E322723-FC48-46FE-8780-3D1F4F9EBD23}"/>
    <hyperlink ref="AD602" r:id="rId1083" xr:uid="{6DB82342-8C3C-473D-8B86-30B4E39C4268}"/>
    <hyperlink ref="AD603" r:id="rId1084" xr:uid="{FCCE612C-260D-4981-9CB3-167BE7CFA0E3}"/>
    <hyperlink ref="AD604" r:id="rId1085" xr:uid="{F62BE04B-2CBE-4EA0-9453-D29F394869AA}"/>
    <hyperlink ref="AD605" r:id="rId1086" xr:uid="{FDAFE042-77AC-407A-8FFA-D63D89B960D7}"/>
    <hyperlink ref="AD606" r:id="rId1087" xr:uid="{65F2E346-5AF2-4595-A3D2-CAD1CC62A20C}"/>
    <hyperlink ref="AD607" r:id="rId1088" xr:uid="{E6A69973-3B43-410B-9D50-04F39F018EE3}"/>
    <hyperlink ref="AD608" r:id="rId1089" xr:uid="{7B054308-8F0A-4824-A6F4-619ABE12F1BD}"/>
    <hyperlink ref="AD609" r:id="rId1090" xr:uid="{D49FC554-9EEC-46D9-8747-E8BF977B07F9}"/>
    <hyperlink ref="AD610" r:id="rId1091" xr:uid="{518EF85D-AAD2-44A5-8C1B-BE03152CED12}"/>
    <hyperlink ref="AD611" r:id="rId1092" xr:uid="{04E95497-F2D0-4DEC-88DA-24B5C7305976}"/>
    <hyperlink ref="AD612" r:id="rId1093" xr:uid="{D0D1A4AC-DC9E-4D5C-9829-3F0B979CB7B6}"/>
    <hyperlink ref="AF427" r:id="rId1094" xr:uid="{4D4476C0-454B-404E-886D-1EBA1A72CF41}"/>
    <hyperlink ref="AF439" r:id="rId1095" xr:uid="{B991C5F9-5B6B-4A63-A0D3-8BB3C5AE29C2}"/>
    <hyperlink ref="AF428" r:id="rId1096" xr:uid="{7A5AC5C1-2E7B-4001-9A85-94F5E388BF4E}"/>
    <hyperlink ref="AF429" r:id="rId1097" xr:uid="{60B95668-5D99-42F6-BBA4-41FA50D6F1A0}"/>
    <hyperlink ref="AF430" r:id="rId1098" xr:uid="{8C499C0B-9099-4816-8445-2E1B94F4DFFA}"/>
    <hyperlink ref="AF431" r:id="rId1099" xr:uid="{ED6D7963-21E6-420F-8613-272DB0893340}"/>
    <hyperlink ref="AF432" r:id="rId1100" xr:uid="{A400CB9D-8249-4F29-9155-D87E2EA26EF8}"/>
    <hyperlink ref="AF433" r:id="rId1101" xr:uid="{7D29493D-682A-42E0-B27E-4BC1C1223543}"/>
    <hyperlink ref="AF434" r:id="rId1102" xr:uid="{34AFD395-7301-4731-A10C-E0DA98749C68}"/>
    <hyperlink ref="AF435" r:id="rId1103" xr:uid="{FB6D4DC8-C157-4ECC-9D81-224ACBE6C16D}"/>
    <hyperlink ref="AF436" r:id="rId1104" xr:uid="{6DFFBC7D-118C-44E9-8965-C2608544F448}"/>
    <hyperlink ref="AF437" r:id="rId1105" xr:uid="{0F63C690-3343-4BC7-86C2-C7CA26CAB83C}"/>
    <hyperlink ref="AF438" r:id="rId1106" xr:uid="{7B911536-4244-44B5-A19E-33584081A87B}"/>
    <hyperlink ref="AF440" r:id="rId1107" xr:uid="{77319BDB-DC98-4302-8397-2918988234F0}"/>
    <hyperlink ref="AF441" r:id="rId1108" xr:uid="{53EAF718-7B8F-467B-A6D6-49F7A9315D84}"/>
    <hyperlink ref="AF442" r:id="rId1109" xr:uid="{BCD16FC9-8C90-417C-BF6B-CB1876B1B87C}"/>
    <hyperlink ref="AF443" r:id="rId1110" xr:uid="{50EE55AB-D286-4739-A1E5-B85B34B8B8D7}"/>
    <hyperlink ref="AF444" r:id="rId1111" xr:uid="{5B2F7A08-9DCB-4908-8821-A9BBF6CD5F21}"/>
    <hyperlink ref="AF445" r:id="rId1112" xr:uid="{6D16538C-F794-4D03-89FD-DE34A5B25863}"/>
    <hyperlink ref="AF446" r:id="rId1113" xr:uid="{E29AF150-BE9F-4B82-A852-14357FBA429D}"/>
    <hyperlink ref="AF447" r:id="rId1114" xr:uid="{D57CDAEC-8BE2-48FF-B47F-8F0A10941CBC}"/>
    <hyperlink ref="AF448" r:id="rId1115" xr:uid="{B13881BB-F557-42D3-BD9F-E73FC2FC952F}"/>
    <hyperlink ref="AF449" r:id="rId1116" xr:uid="{BF5155E6-45A8-497A-90DF-3D23402067D5}"/>
    <hyperlink ref="AF450" r:id="rId1117" xr:uid="{07782793-B70C-4DE8-9B53-D4BCE26AB9E6}"/>
    <hyperlink ref="AF451" r:id="rId1118" xr:uid="{1285E35F-5012-4E83-AF46-67BC71B1086F}"/>
    <hyperlink ref="AF452" r:id="rId1119" xr:uid="{5938A26F-9EC7-4C6A-AD60-828AF6F48393}"/>
    <hyperlink ref="AF453" r:id="rId1120" xr:uid="{A3B9E882-4303-4101-90C6-1777A78099DD}"/>
    <hyperlink ref="AF454" r:id="rId1121" xr:uid="{88BF9BD5-1D3D-4B63-BD93-5D736C1EB2D0}"/>
    <hyperlink ref="AF455" r:id="rId1122" xr:uid="{DAF1431C-7077-4262-A2A9-CB73BA790599}"/>
    <hyperlink ref="AF456" r:id="rId1123" xr:uid="{483E927B-EDB4-480C-9B72-C0D264EC0F3E}"/>
    <hyperlink ref="AF457" r:id="rId1124" xr:uid="{6F1044E2-6DDD-47E7-B1E8-E08A7E3B5CBB}"/>
    <hyperlink ref="AF458" r:id="rId1125" xr:uid="{4709B1F8-66C7-4E75-9660-3D2668FFBA64}"/>
    <hyperlink ref="AF459" r:id="rId1126" xr:uid="{60502E53-B6FA-4F04-91B8-5998BFDAEBFA}"/>
    <hyperlink ref="AF460" r:id="rId1127" xr:uid="{C518319C-34C8-4021-A947-320EA1728715}"/>
    <hyperlink ref="AF461" r:id="rId1128" xr:uid="{039CE268-1DEC-4CE0-86AD-B8FC30CD89D2}"/>
    <hyperlink ref="AF462" r:id="rId1129" xr:uid="{A673FA5F-3D0E-4AFC-AA2A-9F3259504E5C}"/>
    <hyperlink ref="AF463" r:id="rId1130" xr:uid="{1AC7BB28-A1B9-4250-90D9-402356DF3CDC}"/>
    <hyperlink ref="AF464" r:id="rId1131" xr:uid="{EE8A4B59-4F47-41A8-9A43-8A6F6A2D173A}"/>
    <hyperlink ref="AF465" r:id="rId1132" xr:uid="{9BDD0034-FD13-4FA5-BD22-622F8A681BCA}"/>
    <hyperlink ref="AF466" r:id="rId1133" xr:uid="{33C5AEC9-E2FC-4A9A-A4F0-C2D3887FE9D0}"/>
    <hyperlink ref="AF467" r:id="rId1134" xr:uid="{BE9C43A2-A5B3-4C55-9B2B-1E8E314DDB16}"/>
    <hyperlink ref="AF468" r:id="rId1135" xr:uid="{5686CAA9-C866-43EE-96FC-F6DA3ABA15F8}"/>
    <hyperlink ref="AF469" r:id="rId1136" xr:uid="{8C22DA25-FA0E-45C4-A1EE-FDD84782FDF3}"/>
    <hyperlink ref="AF470" r:id="rId1137" xr:uid="{11539C8B-22B1-403E-9E65-B0D4125F62DD}"/>
    <hyperlink ref="AF471" r:id="rId1138" xr:uid="{716785B5-AD1F-48C3-945C-F7A8412F3513}"/>
    <hyperlink ref="AF472" r:id="rId1139" xr:uid="{4355C061-6CF4-41F4-AE5C-7F685760FE24}"/>
    <hyperlink ref="AF473" r:id="rId1140" xr:uid="{D9FE875C-765A-4788-B55E-49164EFE4069}"/>
    <hyperlink ref="AF474" r:id="rId1141" xr:uid="{6837BCC1-E768-4EFF-B324-08EF2AB78002}"/>
    <hyperlink ref="AF475" r:id="rId1142" xr:uid="{07FA291B-888A-496B-AA5A-16DC6B8F51FB}"/>
    <hyperlink ref="AF476" r:id="rId1143" xr:uid="{70084EBD-FFE4-4C8A-A338-F640CB0F4558}"/>
    <hyperlink ref="AF477" r:id="rId1144" xr:uid="{1A100F14-8185-4186-BEDB-04D641A52398}"/>
    <hyperlink ref="AF478" r:id="rId1145" xr:uid="{B42F9417-D90F-462D-A8BE-322ECD09895E}"/>
    <hyperlink ref="AF479" r:id="rId1146" xr:uid="{DBD80E16-AF02-4ED3-9535-AD48852C2208}"/>
    <hyperlink ref="AF480" r:id="rId1147" xr:uid="{DAF04ED7-840A-4554-844B-2E13D3517E2C}"/>
    <hyperlink ref="AF481" r:id="rId1148" xr:uid="{288BF942-D05F-4963-91B5-3A086B3BDBB3}"/>
    <hyperlink ref="AF482" r:id="rId1149" xr:uid="{A31DE79C-D8DC-4196-BF62-9080B7F5F2A3}"/>
    <hyperlink ref="AF483" r:id="rId1150" xr:uid="{4EDF26C9-69F9-4392-86D7-6346761E5F68}"/>
    <hyperlink ref="AF484" r:id="rId1151" xr:uid="{B8C86D99-42C6-4F0E-AB08-BF64899ABFBC}"/>
    <hyperlink ref="AF485" r:id="rId1152" xr:uid="{4E5482A0-27D6-43E6-9A9A-7F8A97E91609}"/>
    <hyperlink ref="AF486" r:id="rId1153" xr:uid="{35C3170C-FFC1-4F9F-9920-DC7EE91C64B9}"/>
    <hyperlink ref="AF487" r:id="rId1154" xr:uid="{5AD33CD5-F576-48C3-839B-ECA396D565D3}"/>
    <hyperlink ref="AF488" r:id="rId1155" xr:uid="{D8ACA308-FD43-4B6B-9997-16960FE48632}"/>
    <hyperlink ref="AF489" r:id="rId1156" xr:uid="{29ACCF8C-4FFF-4644-AFF3-96B8E748DA5C}"/>
    <hyperlink ref="AF490" r:id="rId1157" xr:uid="{F314802B-1356-42C9-ACE5-515816B735FC}"/>
    <hyperlink ref="AF491" r:id="rId1158" xr:uid="{C632CE25-25E5-40EC-A7CC-C338B7BD0C6B}"/>
    <hyperlink ref="AF492" r:id="rId1159" xr:uid="{7296C28F-9AFD-4ADB-AAEA-B98D46267B84}"/>
    <hyperlink ref="AF493" r:id="rId1160" xr:uid="{CE62C851-ABD0-44A3-BCA7-5B14AE9D0311}"/>
    <hyperlink ref="AF494" r:id="rId1161" xr:uid="{8EEC4B90-2392-4ACB-8B92-767A1631FC2E}"/>
    <hyperlink ref="AF495" r:id="rId1162" xr:uid="{22C044D3-D1E2-4AAA-A5A4-13CE702971A1}"/>
    <hyperlink ref="AF496" r:id="rId1163" xr:uid="{09532CCD-3FD3-4E20-9DB9-D597F686DB38}"/>
    <hyperlink ref="AF497" r:id="rId1164" xr:uid="{BE717343-6709-4C23-9C2D-B3BA2B7D882F}"/>
    <hyperlink ref="AF498" r:id="rId1165" xr:uid="{47DF68C4-73D2-4AF3-AA53-E4013793FF1E}"/>
    <hyperlink ref="AF499" r:id="rId1166" xr:uid="{CBF8DAF8-82EB-4CB4-8B77-8F126E1E0C6B}"/>
    <hyperlink ref="AF500" r:id="rId1167" xr:uid="{143A96AF-D5D7-4142-8A94-9155404A93C0}"/>
    <hyperlink ref="AF501" r:id="rId1168" xr:uid="{0ECB5011-32FE-4781-8CB4-1724B53B3977}"/>
    <hyperlink ref="AF502" r:id="rId1169" xr:uid="{676B527C-711E-432E-9FB8-74D916D32A95}"/>
    <hyperlink ref="AF503" r:id="rId1170" xr:uid="{30F2E786-2C69-4340-968E-B0426B9216B0}"/>
    <hyperlink ref="AF504" r:id="rId1171" xr:uid="{B202E7D3-E03A-401C-BCFD-B43A156767D9}"/>
    <hyperlink ref="AF505" r:id="rId1172" xr:uid="{E93FF713-646E-45FD-BD47-B15F2EAAFE1B}"/>
    <hyperlink ref="AF506" r:id="rId1173" xr:uid="{C44CDA94-8FD2-4C26-99F6-CAB6438D6423}"/>
    <hyperlink ref="AF507" r:id="rId1174" xr:uid="{FD2E503C-6793-4990-8285-7CA694956D2B}"/>
    <hyperlink ref="AF508" r:id="rId1175" xr:uid="{254EB1C3-ABC7-4804-A6D9-32D81F8626F3}"/>
    <hyperlink ref="AF509" r:id="rId1176" xr:uid="{A32D1778-F313-4FCC-AD18-6F78FD5AC453}"/>
    <hyperlink ref="AF510" r:id="rId1177" xr:uid="{A637C461-BD43-485F-9EAD-7AABDDA0643F}"/>
    <hyperlink ref="AF511" r:id="rId1178" xr:uid="{8BEC2736-64DE-479C-9B70-9B6A8A0D615C}"/>
    <hyperlink ref="AF512" r:id="rId1179" xr:uid="{B39C773E-4382-4FEF-8071-8D8CEE708820}"/>
    <hyperlink ref="AF513" r:id="rId1180" xr:uid="{C2467164-F8E7-492B-92C3-ABF9E14C17B9}"/>
    <hyperlink ref="AF514" r:id="rId1181" xr:uid="{59A0A2A8-23B7-4CD4-A88F-4CD167B2F7D2}"/>
    <hyperlink ref="AF515" r:id="rId1182" xr:uid="{A9F31273-BA92-4E63-9AF6-F51C9959DAC5}"/>
    <hyperlink ref="AF516" r:id="rId1183" xr:uid="{F490FE5C-E5BF-406B-A0F0-9BD20BE8AE88}"/>
    <hyperlink ref="AF517" r:id="rId1184" xr:uid="{EA99A58A-AFC4-4E4C-9B91-CE6DF86C241E}"/>
    <hyperlink ref="AF518" r:id="rId1185" xr:uid="{42454A2A-A3CF-4D82-8813-0D1877F972E2}"/>
    <hyperlink ref="AF519" r:id="rId1186" xr:uid="{20B52019-09CA-4A69-8180-A570B3D3E4EA}"/>
    <hyperlink ref="AF520" r:id="rId1187" xr:uid="{8707E6F1-4DF8-40E3-88B9-5FB858345C4C}"/>
    <hyperlink ref="AF521" r:id="rId1188" xr:uid="{E74E9860-C9E9-4266-96F5-36226472ACAA}"/>
    <hyperlink ref="AF522" r:id="rId1189" xr:uid="{C4E944BE-5760-4550-B395-0DF74DBD2DBC}"/>
    <hyperlink ref="AF523" r:id="rId1190" xr:uid="{242CAC99-AD73-413A-ABE6-B14E8B999677}"/>
    <hyperlink ref="AF524" r:id="rId1191" xr:uid="{F1E7A58F-271D-4071-8128-B16B9A1EAC40}"/>
    <hyperlink ref="AF525" r:id="rId1192" xr:uid="{2664F313-34EA-4053-891B-4191816AA1F2}"/>
    <hyperlink ref="AF526" r:id="rId1193" xr:uid="{BB750BD8-5415-41FB-AAF6-BE88ED632DD0}"/>
    <hyperlink ref="AF527" r:id="rId1194" xr:uid="{B6EFB66E-2929-40A1-B046-7AF2D20D4539}"/>
    <hyperlink ref="AF528" r:id="rId1195" xr:uid="{088FF74B-A7A6-4BCF-A6E0-B5057C4BF586}"/>
    <hyperlink ref="AF529" r:id="rId1196" xr:uid="{A28AF6C4-D1EF-4A30-984B-5CEA2F9CC4CD}"/>
    <hyperlink ref="AF530" r:id="rId1197" xr:uid="{970FB117-A7A3-4840-A335-651B8EF03F2C}"/>
    <hyperlink ref="AF531" r:id="rId1198" xr:uid="{78A35AF8-331F-4565-B1FA-C9C2710361A2}"/>
    <hyperlink ref="AF532" r:id="rId1199" xr:uid="{0BAF3CA8-9509-4D22-9F4C-6962D05BAFD9}"/>
    <hyperlink ref="AF533" r:id="rId1200" xr:uid="{CD94E3B7-FF1C-44E8-BCEB-7D21FC77C3DA}"/>
    <hyperlink ref="AF534" r:id="rId1201" xr:uid="{362BB992-93D3-49D4-8FC1-D3B8C986E94C}"/>
    <hyperlink ref="AF535" r:id="rId1202" xr:uid="{04146088-73AA-43D7-A349-02A6CF7B2654}"/>
    <hyperlink ref="AF536" r:id="rId1203" xr:uid="{8536A221-5019-4007-8299-64A4F2A4BF49}"/>
    <hyperlink ref="AF537" r:id="rId1204" xr:uid="{4FD134EB-E9F7-4182-85B0-31150854C26A}"/>
    <hyperlink ref="AF538" r:id="rId1205" xr:uid="{1E31BB97-E902-4802-8A27-4F20E1553B26}"/>
    <hyperlink ref="AF539" r:id="rId1206" xr:uid="{5A2FE267-A791-48DF-8773-1CC289EA3BFD}"/>
    <hyperlink ref="AF540" r:id="rId1207" xr:uid="{4A07639B-8114-4B68-9AAA-A1FBF8258FD9}"/>
    <hyperlink ref="AF541" r:id="rId1208" xr:uid="{F63BE5DB-C2DB-4CCB-A686-8EA0D0F501F3}"/>
    <hyperlink ref="AF542" r:id="rId1209" xr:uid="{3F440C39-9B7C-4304-9EEB-77872C24C265}"/>
    <hyperlink ref="AF543" r:id="rId1210" xr:uid="{0E7E8024-7150-474D-A407-36BD6E529447}"/>
    <hyperlink ref="AF544" r:id="rId1211" xr:uid="{EE6AA636-C43B-4CD2-B45C-08D450DC0941}"/>
    <hyperlink ref="AF545" r:id="rId1212" xr:uid="{2322AFAA-4E62-4A4D-83F6-1C68F5531AC2}"/>
    <hyperlink ref="AF546" r:id="rId1213" xr:uid="{D288EA8F-CC21-4BAD-A64A-BDFB5309E320}"/>
    <hyperlink ref="AF547" r:id="rId1214" xr:uid="{687138ED-6EA6-4CA1-8C2F-C4F32B4B4087}"/>
    <hyperlink ref="AF548" r:id="rId1215" xr:uid="{929AC0AC-4E3D-4805-A146-54B56AD97A85}"/>
    <hyperlink ref="AF549" r:id="rId1216" xr:uid="{F41E3D7C-B355-4EAD-8CB7-1C04C58514EA}"/>
    <hyperlink ref="AF550" r:id="rId1217" xr:uid="{B7B0C25E-0D8B-4C54-9909-9A4979A534B2}"/>
    <hyperlink ref="AF551" r:id="rId1218" xr:uid="{EF1140BD-E488-4C44-B54C-C70893969BA9}"/>
    <hyperlink ref="AF552" r:id="rId1219" xr:uid="{0CA0DCDE-BF5A-45FA-8F73-5A977750C1E3}"/>
    <hyperlink ref="AF553" r:id="rId1220" xr:uid="{BFCAF841-9087-42A9-A431-86E59B0CD9D1}"/>
    <hyperlink ref="AF554" r:id="rId1221" xr:uid="{64113767-9B0E-47A7-B0EA-C226D560130D}"/>
    <hyperlink ref="AF555" r:id="rId1222" xr:uid="{A2F15A4F-5E1E-47E7-ACA0-B155DBF9B06B}"/>
    <hyperlink ref="AF556" r:id="rId1223" xr:uid="{DC815C0C-A5C4-4537-9706-B2FBC7B9AF87}"/>
    <hyperlink ref="AF557" r:id="rId1224" xr:uid="{56C5BE10-E323-4D29-93B9-3209FFB1F31E}"/>
    <hyperlink ref="AF558" r:id="rId1225" xr:uid="{7ECE1E11-438A-437D-B624-93E7E4C52486}"/>
    <hyperlink ref="AF569" r:id="rId1226" xr:uid="{1A93B7D5-DD25-43E5-9092-CD51FAE5E1D3}"/>
    <hyperlink ref="AF559" r:id="rId1227" xr:uid="{0B27C624-9C67-4CB2-9A3E-EBCF2421A2EC}"/>
    <hyperlink ref="AF560" r:id="rId1228" xr:uid="{41A4832A-6714-4F23-A857-5A6F841778BE}"/>
    <hyperlink ref="AF561" r:id="rId1229" xr:uid="{ADBAE257-3B70-4FBB-A2A4-26C2E89DA6DF}"/>
    <hyperlink ref="AF562" r:id="rId1230" xr:uid="{3527685A-86A8-45CC-9C82-2301B962F0EF}"/>
    <hyperlink ref="AF563" r:id="rId1231" xr:uid="{C5A06D4B-11E0-4ED0-B2AF-788F6540EB35}"/>
    <hyperlink ref="AF564" r:id="rId1232" xr:uid="{02F16ABD-D61B-4E5C-A27F-FEDC4843FED3}"/>
    <hyperlink ref="AF565" r:id="rId1233" xr:uid="{E8886660-E155-4E97-875E-370AAFB3DF57}"/>
    <hyperlink ref="AF566" r:id="rId1234" xr:uid="{C7D2E56A-C40F-4AE2-B19D-E6942A84AA94}"/>
    <hyperlink ref="AF567" r:id="rId1235" xr:uid="{D76A8C5D-1083-4B37-9562-5E454F201A38}"/>
    <hyperlink ref="AF568" r:id="rId1236" xr:uid="{6602BF3F-CBE1-4787-A901-773E559E8D88}"/>
    <hyperlink ref="AF570" r:id="rId1237" xr:uid="{B43426C6-521A-464A-911D-76221E2ADDCB}"/>
    <hyperlink ref="AF571" r:id="rId1238" xr:uid="{50112647-D502-44B3-9D65-EDA7F56696CF}"/>
    <hyperlink ref="AF572" r:id="rId1239" xr:uid="{BDD7280E-2E33-4E90-A7E3-307E957D1A67}"/>
    <hyperlink ref="AF573" r:id="rId1240" xr:uid="{C61BAD81-4A13-4BA5-8AFC-3416774E9225}"/>
    <hyperlink ref="AF574" r:id="rId1241" xr:uid="{17A5AC33-E1C4-4D23-9D0D-A79FA536A392}"/>
    <hyperlink ref="AF575" r:id="rId1242" xr:uid="{833DB4B9-D841-4464-82E2-CEF4CC309936}"/>
    <hyperlink ref="AF576" r:id="rId1243" xr:uid="{AD7B63D6-567B-4E55-9304-26BC54CF81AB}"/>
    <hyperlink ref="AF577" r:id="rId1244" xr:uid="{A1D840C0-0776-4381-A09B-61BB036A3FCF}"/>
    <hyperlink ref="AF578" r:id="rId1245" xr:uid="{E07CE2D9-9248-458C-BC84-81B43A434B96}"/>
    <hyperlink ref="AF579" r:id="rId1246" xr:uid="{794CB79A-C692-4B41-A5C5-B1BB77AECFB8}"/>
    <hyperlink ref="AF580" r:id="rId1247" xr:uid="{01E7D53B-74AB-4F25-BA41-E6E04B4C9F39}"/>
    <hyperlink ref="AF581" r:id="rId1248" xr:uid="{4240071E-5EA2-47DB-90FD-7E6DEC6306E2}"/>
    <hyperlink ref="AF582" r:id="rId1249" xr:uid="{A7736804-11F7-4367-90C9-C25EF6B5954D}"/>
    <hyperlink ref="AF583" r:id="rId1250" xr:uid="{3416A3AC-F637-4551-9FC3-3DE52E266544}"/>
    <hyperlink ref="AF584" r:id="rId1251" xr:uid="{33FD5254-58F3-415D-AD1E-C7FD0DDFB8FF}"/>
    <hyperlink ref="AF585" r:id="rId1252" xr:uid="{960A4098-2F9A-4984-87FE-4F195B70CAA5}"/>
    <hyperlink ref="AF586" r:id="rId1253" xr:uid="{B79933F2-B036-41DB-BD89-4013FB9E4760}"/>
    <hyperlink ref="AF587" r:id="rId1254" xr:uid="{9EEA0B87-A0F2-4CF7-B45F-1887E2F2A940}"/>
    <hyperlink ref="AF588" r:id="rId1255" xr:uid="{09BFC98C-D5F2-4B02-A381-48273A20AAEB}"/>
    <hyperlink ref="AF589" r:id="rId1256" xr:uid="{D8361A79-5B3E-4247-9456-6F35C268E5E1}"/>
    <hyperlink ref="AF590" r:id="rId1257" xr:uid="{E8CA2438-BB6C-440E-B472-4BB0E34F9B58}"/>
    <hyperlink ref="AF591" r:id="rId1258" xr:uid="{FFDF9D7B-7CB9-4883-AEF6-9740E995A0FA}"/>
    <hyperlink ref="AF592" r:id="rId1259" xr:uid="{884A6E67-F776-4C12-9196-4DE9FC730506}"/>
    <hyperlink ref="AF593" r:id="rId1260" xr:uid="{540162F9-0255-458B-A348-8560F616FB0F}"/>
    <hyperlink ref="AF594" r:id="rId1261" xr:uid="{79EBFE4A-C4FD-48CD-9E13-BAEB23591B14}"/>
    <hyperlink ref="AF595" r:id="rId1262" xr:uid="{11F93DBF-88C5-4A3A-95BC-FC5AA8943CA6}"/>
    <hyperlink ref="AF596" r:id="rId1263" xr:uid="{2D501EC4-4ED3-460D-96CE-999FB04133CD}"/>
    <hyperlink ref="AF597" r:id="rId1264" xr:uid="{8739D186-DF37-4B7B-A9EC-A8270F5257D3}"/>
    <hyperlink ref="AF598" r:id="rId1265" xr:uid="{24443D08-BB52-465D-8F0C-C1DE264D8354}"/>
    <hyperlink ref="AF599" r:id="rId1266" xr:uid="{AF75CF69-6073-4B0D-A7EB-99382C659970}"/>
    <hyperlink ref="AF600" r:id="rId1267" xr:uid="{15656EAD-B30C-44F0-A9E4-EF29639A5D85}"/>
    <hyperlink ref="AF601" r:id="rId1268" xr:uid="{5442E319-B4CA-441B-B486-2D1D9415F767}"/>
    <hyperlink ref="AF602" r:id="rId1269" xr:uid="{B41377F8-E60B-4C7E-A790-6873068D52D0}"/>
    <hyperlink ref="AF603" r:id="rId1270" xr:uid="{4BB12F1B-EE7E-4665-85F4-BE8B525ECBAB}"/>
    <hyperlink ref="AF604" r:id="rId1271" xr:uid="{0FEC77BC-DA53-4754-8AEF-D0FC555CDF63}"/>
    <hyperlink ref="AF605" r:id="rId1272" xr:uid="{73B43D56-C61F-4B0C-B373-E312DA8AB24B}"/>
    <hyperlink ref="AF606" r:id="rId1273" xr:uid="{0CCE7228-D120-45AE-B022-56472629A8DE}"/>
    <hyperlink ref="AF607" r:id="rId1274" xr:uid="{67343A67-BA51-407B-BD44-42C81766E60B}"/>
    <hyperlink ref="AF608" r:id="rId1275" xr:uid="{39B1F855-6635-4B4F-AA79-493DC59C8A15}"/>
    <hyperlink ref="AF609" r:id="rId1276" xr:uid="{3C64492E-04C8-46F3-8B94-57C150B4E2A9}"/>
    <hyperlink ref="AF610" r:id="rId1277" xr:uid="{C60C6226-9B69-4DCD-B28F-895F8EAAC3D8}"/>
    <hyperlink ref="AF611" r:id="rId1278" xr:uid="{54A03FCA-35FC-477F-A54C-89B8B6177C42}"/>
    <hyperlink ref="AF612" r:id="rId1279" xr:uid="{982CBE47-3B33-4D41-A721-56A264413195}"/>
    <hyperlink ref="AH427" r:id="rId1280" xr:uid="{338752E5-2FC0-44A3-A6A9-D02DEFC6C619}"/>
    <hyperlink ref="AH439" r:id="rId1281" xr:uid="{55373F47-0B62-4298-892B-728A188EE112}"/>
    <hyperlink ref="AH428" r:id="rId1282" xr:uid="{8C861A45-BD51-4AE1-A633-ACD11064CB20}"/>
    <hyperlink ref="AH429" r:id="rId1283" xr:uid="{BAC11550-ADD6-4DD2-ADDB-E2DC620120AB}"/>
    <hyperlink ref="AH430" r:id="rId1284" xr:uid="{0969E906-4A80-4C6B-9DA7-DADE07132CA9}"/>
    <hyperlink ref="AH431" r:id="rId1285" xr:uid="{868DA245-9E8D-4767-978A-381F225CCF85}"/>
    <hyperlink ref="AH432" r:id="rId1286" xr:uid="{B1F953C2-7993-4535-8D6D-4970B28A67A2}"/>
    <hyperlink ref="AH433" r:id="rId1287" xr:uid="{B5C279E8-DF58-4DD0-BEF6-9D510AB73D67}"/>
    <hyperlink ref="AH434" r:id="rId1288" xr:uid="{D50802BD-A682-4C65-9705-4295D6E1D99C}"/>
    <hyperlink ref="AH435" r:id="rId1289" xr:uid="{9B73F429-94BB-4BE9-9899-7B7A3B3A476E}"/>
    <hyperlink ref="AH436" r:id="rId1290" xr:uid="{245BC13E-D9D9-47B2-A358-2120571F1050}"/>
    <hyperlink ref="AH437" r:id="rId1291" xr:uid="{2710DF35-DED9-4B60-B055-6BF2B7372BC1}"/>
    <hyperlink ref="AH438" r:id="rId1292" xr:uid="{602AD0D5-DB69-4199-B994-5F9D61458E6C}"/>
    <hyperlink ref="AH440" r:id="rId1293" xr:uid="{D62339FC-21BF-4968-966C-0B6099F31837}"/>
    <hyperlink ref="AH441" r:id="rId1294" xr:uid="{43E65B62-6EE9-4D8D-95DB-C175B926573A}"/>
    <hyperlink ref="AH442" r:id="rId1295" xr:uid="{A9E5C690-30F0-405D-B30E-A94FB030DCE4}"/>
    <hyperlink ref="AH443" r:id="rId1296" xr:uid="{9AD0C997-6D49-411B-BDD0-514DC1A73ED0}"/>
    <hyperlink ref="AH444" r:id="rId1297" xr:uid="{12842B19-0C14-45BF-864B-6822D50DFAD4}"/>
    <hyperlink ref="AH445" r:id="rId1298" xr:uid="{30DB2731-7FCD-47B6-B891-E35765F02484}"/>
    <hyperlink ref="AH446" r:id="rId1299" xr:uid="{F7C46807-DFEE-4F8B-9F9E-2430F57B59F6}"/>
    <hyperlink ref="AH447" r:id="rId1300" xr:uid="{1D396D00-8AD2-46C7-8735-CCC36D4E91BE}"/>
    <hyperlink ref="AH448" r:id="rId1301" xr:uid="{11BCC629-8A54-4B0B-9193-C34FF3B9084B}"/>
    <hyperlink ref="AH449" r:id="rId1302" xr:uid="{D9571CA3-69E8-474D-A12D-D736E6B155AC}"/>
    <hyperlink ref="AH450" r:id="rId1303" xr:uid="{4832F883-8FA1-43A8-A4C4-39838FE4C2D6}"/>
    <hyperlink ref="AH451" r:id="rId1304" xr:uid="{64B4A1BA-B4EB-44C3-98D9-5E5213B65E98}"/>
    <hyperlink ref="AH452" r:id="rId1305" xr:uid="{E14732C4-232B-4394-A46B-1D9BC3902EBA}"/>
    <hyperlink ref="AH453" r:id="rId1306" xr:uid="{7860E10B-E7D0-401A-9144-39F82CB08681}"/>
    <hyperlink ref="AH467" r:id="rId1307" xr:uid="{2F3267E1-6518-43C9-BABD-1135CABBD338}"/>
    <hyperlink ref="AH468" r:id="rId1308" xr:uid="{FFA00D8E-0ED2-4DD8-A536-73FCD86CCE23}"/>
    <hyperlink ref="AH469" r:id="rId1309" xr:uid="{A8E265AD-3237-439B-B2F0-6E64E1F5E854}"/>
    <hyperlink ref="AH470" r:id="rId1310" xr:uid="{FDB46600-6CF9-4B26-88DC-9491984D7665}"/>
    <hyperlink ref="AH471" r:id="rId1311" xr:uid="{52B5CD24-BB2E-41FB-B56F-6FBA22901EF4}"/>
    <hyperlink ref="AH472" r:id="rId1312" xr:uid="{34C0C2AC-91FA-4540-BB9D-7DE3E14A1481}"/>
    <hyperlink ref="AH473" r:id="rId1313" xr:uid="{7665C24A-123B-4755-9D83-7708AE4EC683}"/>
    <hyperlink ref="AH474" r:id="rId1314" xr:uid="{6629BADA-A5F7-421D-A5DC-0192B945E4F3}"/>
    <hyperlink ref="AH475" r:id="rId1315" xr:uid="{33C418E4-A581-471F-84AF-F88E586C0CC1}"/>
    <hyperlink ref="AH476" r:id="rId1316" xr:uid="{07FFFF99-A657-44F3-BEEB-820A460EEC22}"/>
    <hyperlink ref="AH477" r:id="rId1317" xr:uid="{225CC10A-DB01-4E64-B471-430E9D396849}"/>
    <hyperlink ref="AH478" r:id="rId1318" xr:uid="{3133DB79-1E44-4472-A171-FC91E460BC2A}"/>
    <hyperlink ref="AH479" r:id="rId1319" xr:uid="{B5E47F4B-3E7D-4678-8691-FDA8565A9AD0}"/>
    <hyperlink ref="AH480" r:id="rId1320" xr:uid="{B2BD67B3-C2AC-40D8-8735-ED5A379A2158}"/>
    <hyperlink ref="AH481" r:id="rId1321" xr:uid="{E2C9034A-FC9F-43C6-903D-2493EDCED7AA}"/>
    <hyperlink ref="AH482" r:id="rId1322" xr:uid="{C9FA483C-FB1D-4128-8E15-77B835C284FD}"/>
    <hyperlink ref="AH483" r:id="rId1323" xr:uid="{43DD96E1-81AB-44B7-BABF-110018AA4720}"/>
    <hyperlink ref="AH484" r:id="rId1324" xr:uid="{ECE27E7F-D7BB-49CF-946A-193A371C22DE}"/>
    <hyperlink ref="AH485" r:id="rId1325" xr:uid="{CE433177-9F81-4431-986D-C0295621F31A}"/>
    <hyperlink ref="AH486" r:id="rId1326" xr:uid="{6D2B5B60-D6A6-4A6B-988B-B973ED12AC05}"/>
    <hyperlink ref="AH487" r:id="rId1327" xr:uid="{4F4EC098-4559-4F33-B816-85096A70873E}"/>
    <hyperlink ref="AH488" r:id="rId1328" xr:uid="{379C5AD1-7055-4B17-A6D6-086E38E3EC5F}"/>
    <hyperlink ref="AH489" r:id="rId1329" xr:uid="{67D77CCE-AC05-48FF-8194-9079C940E843}"/>
    <hyperlink ref="AH490" r:id="rId1330" xr:uid="{DC9946B0-E01B-412D-B423-F61E0FCD04D4}"/>
    <hyperlink ref="AH491" r:id="rId1331" xr:uid="{C18F3C7C-D4D9-4368-BA5B-7E91D7711DE8}"/>
    <hyperlink ref="AH492" r:id="rId1332" xr:uid="{84C8BF53-B562-45E9-919E-5BBBAF5120AB}"/>
    <hyperlink ref="AH493" r:id="rId1333" xr:uid="{4A698013-F679-43DD-9E7F-1FEF5235D23C}"/>
    <hyperlink ref="AH494" r:id="rId1334" xr:uid="{B391D44C-FB31-4B65-95EF-0212BA4B3404}"/>
    <hyperlink ref="AH495" r:id="rId1335" xr:uid="{45C76A37-E454-4470-A878-2C2BD96EA0B0}"/>
    <hyperlink ref="AH496" r:id="rId1336" xr:uid="{3E0F2296-6192-40AE-8D8F-50128F7B2A25}"/>
    <hyperlink ref="AH497" r:id="rId1337" xr:uid="{5549AFC2-CF20-47FA-87B9-8F6D24067C30}"/>
    <hyperlink ref="AH498" r:id="rId1338" xr:uid="{BA70F239-1D39-421A-B009-D69A02139D61}"/>
    <hyperlink ref="AH499" r:id="rId1339" xr:uid="{81365C8D-CAAD-4008-8F4A-06830A2FE19B}"/>
    <hyperlink ref="AH500" r:id="rId1340" xr:uid="{9EE4B270-EF26-460A-AA26-CB77CC5C492E}"/>
    <hyperlink ref="AH501" r:id="rId1341" xr:uid="{BF620F62-84F1-4693-87FC-B9868BC9A991}"/>
    <hyperlink ref="AH502" r:id="rId1342" xr:uid="{8481FEFF-A5A9-4D4B-934F-E763AF28C8CE}"/>
    <hyperlink ref="AH503" r:id="rId1343" xr:uid="{A5EF8849-E113-4DE4-9335-22B2BF373D59}"/>
    <hyperlink ref="AH504" r:id="rId1344" xr:uid="{9E90FB2B-3C8F-476B-A8E0-4AAB4C763DBB}"/>
    <hyperlink ref="AH505" r:id="rId1345" xr:uid="{97C5E023-B834-4A2B-B561-5130AC349CD5}"/>
    <hyperlink ref="AH506" r:id="rId1346" xr:uid="{97663CEE-3801-46E9-B8D5-DEE9CC8E66E0}"/>
    <hyperlink ref="AH507" r:id="rId1347" xr:uid="{746747F2-2778-4E35-A649-328E10CEC2EA}"/>
    <hyperlink ref="AH508" r:id="rId1348" xr:uid="{1E18694A-61B8-4FF7-81EB-11A146A946A1}"/>
    <hyperlink ref="AH509" r:id="rId1349" xr:uid="{7562C8B7-D6F4-4615-B435-86E1AC610813}"/>
    <hyperlink ref="AH510" r:id="rId1350" xr:uid="{3261AEC4-6EE6-4C54-8191-E71F4E6EEB4B}"/>
    <hyperlink ref="AH511" r:id="rId1351" xr:uid="{1F549546-5A7F-4B5D-849B-A5EF2DB1CA86}"/>
    <hyperlink ref="AH512" r:id="rId1352" xr:uid="{620D9FAF-E8FD-4C81-8CF7-5D6C5CF3507E}"/>
    <hyperlink ref="AH513" r:id="rId1353" xr:uid="{A9A8ABCF-E17B-4964-98F8-D7B323C13CF2}"/>
    <hyperlink ref="AH514" r:id="rId1354" xr:uid="{81944827-8DFA-451B-9541-8A916EBF14EE}"/>
    <hyperlink ref="AH515" r:id="rId1355" xr:uid="{D34A593D-4E7B-4577-877B-326E1D635E52}"/>
    <hyperlink ref="AH516" r:id="rId1356" xr:uid="{78B4B05D-972B-4846-9AEE-91FBE74FE7AE}"/>
    <hyperlink ref="AH517" r:id="rId1357" xr:uid="{99952882-BCF1-4B7C-BA52-AE28C8C839DF}"/>
    <hyperlink ref="AH518" r:id="rId1358" xr:uid="{420F0B3E-BE28-49B3-A180-06BB38F730A1}"/>
    <hyperlink ref="AH519" r:id="rId1359" xr:uid="{959EF887-4FA8-48B3-A214-8D99A15DBD13}"/>
    <hyperlink ref="AH520" r:id="rId1360" xr:uid="{0E7FF9E7-7E49-498B-B31B-DED7321C0FC6}"/>
    <hyperlink ref="AH521" r:id="rId1361" xr:uid="{7C13D0EC-90A6-4D62-B17F-9FC361C62E55}"/>
    <hyperlink ref="AH522" r:id="rId1362" xr:uid="{306B8925-F2B9-4921-92FA-7DE06579CB6C}"/>
    <hyperlink ref="AH523" r:id="rId1363" xr:uid="{00812234-00B2-4A58-8E9C-52BFF7005C5E}"/>
    <hyperlink ref="AH524" r:id="rId1364" xr:uid="{EE65861C-88BF-4720-A205-CB95684449B5}"/>
    <hyperlink ref="AH525" r:id="rId1365" xr:uid="{72169D75-F950-417A-BAE8-C4F6421C9B20}"/>
    <hyperlink ref="AH526" r:id="rId1366" xr:uid="{465ABDBC-A9BF-44B3-BC68-4F04F4AEB513}"/>
    <hyperlink ref="AH527" r:id="rId1367" xr:uid="{01034195-178B-4052-BB42-6B6871A6DD2C}"/>
    <hyperlink ref="AH528" r:id="rId1368" xr:uid="{095C2453-552D-42BE-BA06-52AD43A4126A}"/>
    <hyperlink ref="AH529" r:id="rId1369" xr:uid="{DEB4C4ED-38F7-4303-BCED-ED12F098AF86}"/>
    <hyperlink ref="AH530" r:id="rId1370" xr:uid="{AEF0316F-C53F-4D81-A5BD-5BB403150E48}"/>
    <hyperlink ref="AH531" r:id="rId1371" xr:uid="{A08F63E0-E85B-4C12-9340-B91585DDADE1}"/>
    <hyperlink ref="AH532" r:id="rId1372" xr:uid="{047CF5E8-4AF5-4442-AAA3-B06F461FEC08}"/>
    <hyperlink ref="AH533" r:id="rId1373" xr:uid="{A9DCC826-D5BF-4AE9-92F4-8C996DBB2A68}"/>
    <hyperlink ref="AH534" r:id="rId1374" xr:uid="{2E11AC24-919B-40E3-9073-4D7C31FCB858}"/>
    <hyperlink ref="AH535" r:id="rId1375" xr:uid="{D6CD9CC4-6938-478E-BD24-3A88EAD26C2D}"/>
    <hyperlink ref="AH536" r:id="rId1376" xr:uid="{EE9038BA-1319-4CF5-85DB-EBF269ED208B}"/>
    <hyperlink ref="AH537" r:id="rId1377" xr:uid="{E6C145AD-24A1-4D19-B11A-7D9190EE172F}"/>
    <hyperlink ref="AH538" r:id="rId1378" xr:uid="{E3A81D54-498A-457B-AE33-F88C220E12D3}"/>
    <hyperlink ref="AH539" r:id="rId1379" xr:uid="{C066E02E-3455-484D-95BF-125CD0ADBA60}"/>
    <hyperlink ref="AH540" r:id="rId1380" xr:uid="{E416BFBE-ABE9-445A-A0D1-9AD2DA0766A4}"/>
    <hyperlink ref="AH541" r:id="rId1381" xr:uid="{6B3AF121-8F17-48BC-81E1-FB3C9196393C}"/>
    <hyperlink ref="AH542" r:id="rId1382" xr:uid="{CD74FB53-3FB5-40EA-8119-7C79A3550900}"/>
    <hyperlink ref="AH543" r:id="rId1383" xr:uid="{0F3F743B-D7BC-4FEC-984C-00D4758123D4}"/>
    <hyperlink ref="AH544" r:id="rId1384" xr:uid="{7C30098C-56EC-485C-8C37-8BE44D5F96E5}"/>
    <hyperlink ref="AH545" r:id="rId1385" xr:uid="{58AB55C5-6CC2-4445-840D-7BD2DE1AFD77}"/>
    <hyperlink ref="AH546" r:id="rId1386" xr:uid="{DE797136-B58D-4AEC-A5FC-54B4E076D657}"/>
    <hyperlink ref="AH547" r:id="rId1387" xr:uid="{DF5D08B7-61FF-4F2C-973B-02D5FB22DE9D}"/>
    <hyperlink ref="AH548" r:id="rId1388" xr:uid="{F25AC4C7-827A-4608-8C3A-459D41BFF59F}"/>
    <hyperlink ref="AH549" r:id="rId1389" xr:uid="{C4E5E6E1-DC6B-4E69-B766-BAAA9B888EFE}"/>
    <hyperlink ref="AH550" r:id="rId1390" xr:uid="{FB1323DC-22CB-46A6-A08C-BBD38B00AF57}"/>
    <hyperlink ref="AH551" r:id="rId1391" xr:uid="{B4101568-0A87-4042-8A62-82BE26FE97A2}"/>
    <hyperlink ref="AH552" r:id="rId1392" xr:uid="{21E109DB-FD77-45CD-A692-B3CE12363150}"/>
    <hyperlink ref="AH553" r:id="rId1393" xr:uid="{9EBEAD62-DC02-4F99-A2E2-074BEDF4C2A2}"/>
    <hyperlink ref="AH554" r:id="rId1394" xr:uid="{B04DDCD1-1037-4444-AE24-08E708059627}"/>
    <hyperlink ref="AH555" r:id="rId1395" xr:uid="{0BB9FAC2-5908-4031-A2EF-92C539C1DD29}"/>
    <hyperlink ref="AH556" r:id="rId1396" xr:uid="{26341B5D-CD30-476B-A66E-14B56B7CCA1C}"/>
    <hyperlink ref="AH557" r:id="rId1397" xr:uid="{06838F86-4097-44C0-A48C-7F7CCFAE544D}"/>
    <hyperlink ref="AH558" r:id="rId1398" xr:uid="{5C674FDA-297F-4D64-8F4A-D14E86C084DA}"/>
    <hyperlink ref="AH569" r:id="rId1399" xr:uid="{33151E11-1FAE-4AC8-9130-B897A9140D71}"/>
    <hyperlink ref="AH559" r:id="rId1400" xr:uid="{C7EC5652-B3CF-463B-90DC-EA4F7D109B81}"/>
    <hyperlink ref="AH560" r:id="rId1401" xr:uid="{48B719A3-1160-4982-9EEE-7AB960AB0264}"/>
    <hyperlink ref="AH561" r:id="rId1402" xr:uid="{F40E116D-557A-4E26-A6A2-27DE6AF87A06}"/>
    <hyperlink ref="AH562" r:id="rId1403" xr:uid="{9242ED9C-FBC5-4FD3-B524-5967784A683F}"/>
    <hyperlink ref="AH563" r:id="rId1404" xr:uid="{BDDF60E4-660F-466F-A599-18D2E080AE79}"/>
    <hyperlink ref="AH564" r:id="rId1405" xr:uid="{2E3DFC60-77DF-4995-8D50-C7F8853A919F}"/>
    <hyperlink ref="AH565" r:id="rId1406" xr:uid="{53DF8E2B-0C56-4480-AABF-EEB7B8C8CBFE}"/>
    <hyperlink ref="AH566" r:id="rId1407" xr:uid="{3F1B030C-571B-4DF0-B379-098F8E4B9B4F}"/>
    <hyperlink ref="AH567" r:id="rId1408" xr:uid="{3A3BF98F-AF33-4430-810D-556C87F50342}"/>
    <hyperlink ref="AH568" r:id="rId1409" xr:uid="{4158EBB9-D544-4150-B4AF-B1B7E654EF8B}"/>
    <hyperlink ref="AH570" r:id="rId1410" xr:uid="{846F49E8-548D-4133-9B05-0489E366E71A}"/>
    <hyperlink ref="AH571" r:id="rId1411" xr:uid="{FD64269C-D615-4748-92C3-A341BDA75846}"/>
    <hyperlink ref="AH572" r:id="rId1412" xr:uid="{8747E712-F0E8-4A4A-BAFE-1D5AE8380621}"/>
    <hyperlink ref="AH573" r:id="rId1413" xr:uid="{8CCBB17D-D0AD-4079-A384-7130E6BECBF3}"/>
    <hyperlink ref="AH574" r:id="rId1414" xr:uid="{250146E8-A50C-4E10-8563-A344F4CC03DB}"/>
    <hyperlink ref="AH575" r:id="rId1415" xr:uid="{08CE6689-F53B-4C7E-922E-C3F427E9D477}"/>
    <hyperlink ref="AH576" r:id="rId1416" xr:uid="{DEB01C67-4AEE-4400-BC2B-DFF749A9C653}"/>
    <hyperlink ref="AH577" r:id="rId1417" xr:uid="{A6B409DD-8EDA-4A5E-AEDB-F31D579E560D}"/>
    <hyperlink ref="AH578" r:id="rId1418" xr:uid="{3A669F9A-7376-4C1E-86EE-412DB575F3D0}"/>
    <hyperlink ref="AH579" r:id="rId1419" xr:uid="{22DFD3EF-9279-41C2-9F82-F33023BC9EAF}"/>
    <hyperlink ref="AH580" r:id="rId1420" xr:uid="{FF69FCFB-7DB5-403B-8B3E-0DF1E0D3BA50}"/>
    <hyperlink ref="AH581" r:id="rId1421" xr:uid="{3EA7A5B4-5B63-4160-8C2D-9CC6974E9D3B}"/>
    <hyperlink ref="AH582" r:id="rId1422" xr:uid="{33FA19DF-EB10-4C11-B966-99E90A63C5ED}"/>
    <hyperlink ref="AH583" r:id="rId1423" xr:uid="{3C650049-34D8-43E5-8528-4A56DA64CBF0}"/>
    <hyperlink ref="AH584" r:id="rId1424" xr:uid="{BDACF49D-1361-4475-9B16-CE1933618934}"/>
    <hyperlink ref="AH585" r:id="rId1425" xr:uid="{48683841-146A-454D-B0B1-468E8E6E1ED1}"/>
    <hyperlink ref="AH586" r:id="rId1426" xr:uid="{EBA2639F-0257-4C26-876E-ED8C8FF3F1D0}"/>
    <hyperlink ref="AH587" r:id="rId1427" xr:uid="{03EE99E4-8D07-4502-A86E-FE8BC7286408}"/>
    <hyperlink ref="AH588" r:id="rId1428" xr:uid="{D1A92DDA-6A11-4089-86BF-D56385A5AB82}"/>
    <hyperlink ref="AH589" r:id="rId1429" xr:uid="{D1B695D8-CEF7-4031-980B-F124DDB89E17}"/>
    <hyperlink ref="AH590" r:id="rId1430" xr:uid="{978826E5-3D4D-4594-ADAB-05A54E4974DE}"/>
    <hyperlink ref="AH591" r:id="rId1431" xr:uid="{E6B0F32C-5C30-48B4-9ED2-FCD973F78837}"/>
    <hyperlink ref="AH592" r:id="rId1432" xr:uid="{B931CA14-AD92-487D-B0E5-3FECC8EB5369}"/>
    <hyperlink ref="AH593" r:id="rId1433" xr:uid="{B18BBB35-AB57-4297-9385-65A18B038494}"/>
    <hyperlink ref="AH594" r:id="rId1434" xr:uid="{DF3F3B6B-2614-4DB0-9662-FAF59DF893D6}"/>
    <hyperlink ref="AH595" r:id="rId1435" xr:uid="{2E78B3B0-4380-4BA4-BE99-901ACE2D7E48}"/>
    <hyperlink ref="AH596" r:id="rId1436" xr:uid="{AA55524F-6CBC-4F7E-B604-A8D4FC8CF91C}"/>
    <hyperlink ref="AH597" r:id="rId1437" xr:uid="{C23E23C0-6637-4E6C-BB5E-D4E11FD3B13D}"/>
    <hyperlink ref="AH598" r:id="rId1438" xr:uid="{97F4CA79-E98B-4B06-93DB-EF5DC54548FD}"/>
    <hyperlink ref="AH599" r:id="rId1439" xr:uid="{A5E056F2-35C3-4AC2-8EFE-2EF35E125D8A}"/>
    <hyperlink ref="AH600" r:id="rId1440" xr:uid="{B38D4493-6483-46F4-BB87-F42458F4E05C}"/>
    <hyperlink ref="AH601" r:id="rId1441" xr:uid="{C67EA3B8-7402-42E0-95E1-85B80DA3B60E}"/>
    <hyperlink ref="AH602" r:id="rId1442" xr:uid="{BFDE602B-EC63-43F9-9331-4306869D55DE}"/>
    <hyperlink ref="AH603" r:id="rId1443" xr:uid="{68D3CE11-DAC6-4578-A670-F3A0827F9569}"/>
    <hyperlink ref="AH604" r:id="rId1444" xr:uid="{6A65515B-3073-445D-A748-5A2E310D2303}"/>
    <hyperlink ref="AH605" r:id="rId1445" xr:uid="{2CC163F6-C620-4635-93C2-8D960098D286}"/>
    <hyperlink ref="AH606" r:id="rId1446" xr:uid="{C429A3BE-63AA-4FA6-9DEB-AA32777B8847}"/>
    <hyperlink ref="AH607" r:id="rId1447" xr:uid="{815EB50E-A812-47F3-8891-F1D520E5C49E}"/>
    <hyperlink ref="AH608" r:id="rId1448" xr:uid="{B96EA502-AB31-4A8A-8245-33ABB31339DC}"/>
    <hyperlink ref="AH609" r:id="rId1449" xr:uid="{77C71F31-213E-40F7-A624-39DB3A9EDDA9}"/>
    <hyperlink ref="AH610" r:id="rId1450" xr:uid="{4589BE8C-9977-4A18-861D-35BA427AD271}"/>
    <hyperlink ref="AH611" r:id="rId1451" xr:uid="{3DF1D0A8-EE60-471A-8C23-B2DD9DFB9CBB}"/>
    <hyperlink ref="AH612" r:id="rId1452" xr:uid="{1780AFA3-210B-4B46-BC51-CFE3848867B0}"/>
    <hyperlink ref="AD613" r:id="rId1453" xr:uid="{C13A6EB4-8FD4-4605-86FA-2F9CB2C5D1FB}"/>
    <hyperlink ref="AD614" r:id="rId1454" xr:uid="{2ECE18FC-12A8-4917-BB03-A1B2856FCF4C}"/>
    <hyperlink ref="AD615" r:id="rId1455" xr:uid="{1565D36B-0FB9-4DE9-AC9D-D88416CBC73E}"/>
    <hyperlink ref="AD616" r:id="rId1456" xr:uid="{B48F116C-7CCF-4A66-9808-C61B0F763CB0}"/>
    <hyperlink ref="AD617" r:id="rId1457" xr:uid="{6808E14C-D295-4CFB-8A61-36F0EE757FD2}"/>
    <hyperlink ref="AD618" r:id="rId1458" xr:uid="{FDDB57C7-D45A-4F13-AF3F-73922864DFC0}"/>
    <hyperlink ref="AD619" r:id="rId1459" xr:uid="{062B1298-FEAC-49E7-A7BD-C9C6B8FCB7B1}"/>
    <hyperlink ref="AD620" r:id="rId1460" xr:uid="{DB27562C-831B-4A08-BEFE-F0C29ECE1B8B}"/>
    <hyperlink ref="AD621" r:id="rId1461" xr:uid="{B772C410-EB19-4A64-867B-B9D507C63F66}"/>
    <hyperlink ref="AD622" r:id="rId1462" xr:uid="{3CCC8833-E2AE-40B0-9E05-E2FA87C9449F}"/>
    <hyperlink ref="AD623" r:id="rId1463" xr:uid="{AFDBDC96-B1B9-47C3-9108-543EC8B0CADF}"/>
    <hyperlink ref="AD624" r:id="rId1464" xr:uid="{00FCD0CE-65C1-4228-813B-2FEB50DD44DB}"/>
    <hyperlink ref="AD625" r:id="rId1465" xr:uid="{3EC81273-3380-4885-A5F5-36C393509026}"/>
    <hyperlink ref="AD626" r:id="rId1466" xr:uid="{0E325E26-7AB0-4163-A770-52D43217306B}"/>
    <hyperlink ref="AD627" r:id="rId1467" xr:uid="{DD513E68-6D8B-484C-8089-1871E3B33D70}"/>
    <hyperlink ref="AD628" r:id="rId1468" xr:uid="{F51D06F9-F28E-4475-89E6-19AA1047C62A}"/>
    <hyperlink ref="AD629" r:id="rId1469" xr:uid="{64BB6EC3-88EB-4606-AA89-56E7F4DFE822}"/>
    <hyperlink ref="AD630" r:id="rId1470" xr:uid="{B1F2D8BD-6A90-4CD7-BEC6-01E37DC3B4FB}"/>
    <hyperlink ref="AD631" r:id="rId1471" xr:uid="{D61738EB-A149-4728-B1F4-2E4E8913719D}"/>
    <hyperlink ref="AD632" r:id="rId1472" xr:uid="{0FD36892-F7C6-4BE4-BC6D-96248DFE79F3}"/>
    <hyperlink ref="AD633" r:id="rId1473" xr:uid="{41213724-ABCE-4C34-8C0A-DCA9EB1960CC}"/>
    <hyperlink ref="AD634" r:id="rId1474" xr:uid="{F6C97BA4-C375-4A5F-92E2-CBEAD1F1D7FA}"/>
    <hyperlink ref="AD635" r:id="rId1475" xr:uid="{9FB8D98F-CEA2-4121-9FF9-114E27F29607}"/>
    <hyperlink ref="AD636" r:id="rId1476" xr:uid="{E82ABF98-EA10-4EFE-A724-B19579F0565D}"/>
    <hyperlink ref="AD637" r:id="rId1477" xr:uid="{A89C4302-A4C1-4564-A22D-8A9B91429F40}"/>
    <hyperlink ref="AD638" r:id="rId1478" xr:uid="{267BBBA3-8CB2-4189-BBFE-16CADE29CBDB}"/>
    <hyperlink ref="AD639" r:id="rId1479" xr:uid="{A271B1AD-31DC-40AB-B6A2-0084428326B4}"/>
    <hyperlink ref="AD640" r:id="rId1480" xr:uid="{0BE28AB4-B78E-404F-8AD9-FA7397B6BCC5}"/>
    <hyperlink ref="AD641" r:id="rId1481" xr:uid="{64142451-47C3-495F-8E78-BF01B6EE95BC}"/>
    <hyperlink ref="AD642" r:id="rId1482" xr:uid="{2F0F7E22-ABB1-44A1-AE8E-B83AD5CFEF2E}"/>
    <hyperlink ref="AD643" r:id="rId1483" xr:uid="{DEC3185B-4669-4833-A987-2C120183123B}"/>
    <hyperlink ref="AD644" r:id="rId1484" xr:uid="{28A11FCA-6926-445B-A7B9-EFAB6C87FB1D}"/>
    <hyperlink ref="AD645" r:id="rId1485" xr:uid="{161D8C9C-E74F-4719-B784-8ECA29686AC0}"/>
    <hyperlink ref="AD646" r:id="rId1486" xr:uid="{8AACFA51-870C-4F86-889D-383E63F6BC4D}"/>
    <hyperlink ref="AD647" r:id="rId1487" xr:uid="{58CC3B8C-0B55-4B21-A875-C5B0F03E192C}"/>
    <hyperlink ref="AD648" r:id="rId1488" xr:uid="{537BF753-4FCF-4707-942D-A6471DA1B77C}"/>
    <hyperlink ref="AD649" r:id="rId1489" xr:uid="{234C6D44-9CC7-44B2-8D65-10850D24FD1B}"/>
    <hyperlink ref="AD650" r:id="rId1490" xr:uid="{2BCC17B5-45B4-48E3-B269-04CCD559F422}"/>
    <hyperlink ref="AD651" r:id="rId1491" xr:uid="{97313871-4521-4B90-BE36-E3AD068E94C3}"/>
    <hyperlink ref="AD652" r:id="rId1492" xr:uid="{77F62AB0-0BB1-44CA-92AC-6038F31A0AB1}"/>
    <hyperlink ref="AD653" r:id="rId1493" xr:uid="{1A62C66F-2805-45BE-99CB-29586E3D7BDA}"/>
    <hyperlink ref="AD654" r:id="rId1494" xr:uid="{278CCF1D-9A61-4B1D-B2EA-CFB5160F0A1D}"/>
    <hyperlink ref="AD655" r:id="rId1495" xr:uid="{01E1D7E7-A0A2-4E7E-9F67-12A3D8C58228}"/>
    <hyperlink ref="AD656" r:id="rId1496" xr:uid="{06025184-7F8D-40F4-9537-2B8B7CA828CD}"/>
    <hyperlink ref="AD657" r:id="rId1497" xr:uid="{ED7E52C8-1381-42C1-8ECA-92088FF12322}"/>
    <hyperlink ref="AD658" r:id="rId1498" xr:uid="{5F01BFBC-7BB4-4769-8AAE-A0620530023A}"/>
    <hyperlink ref="AD659" r:id="rId1499" xr:uid="{386EAD7C-D20B-4577-9050-6BD75171BBA7}"/>
    <hyperlink ref="AD660" r:id="rId1500" xr:uid="{E03C454A-D0B8-4215-872D-A455DBE049EE}"/>
    <hyperlink ref="AD661" r:id="rId1501" xr:uid="{6DCF47A9-25CA-49C0-ADBD-21D81AC760F8}"/>
    <hyperlink ref="AD662" r:id="rId1502" xr:uid="{EFDE22B7-291E-493C-9ACD-BC17BCB99C0A}"/>
    <hyperlink ref="AD663" r:id="rId1503" xr:uid="{4B922185-5CAE-46E6-8BE7-E128701817F4}"/>
    <hyperlink ref="AD664" r:id="rId1504" xr:uid="{F24C53F0-0574-4B64-8A14-C1792A1FCE0F}"/>
    <hyperlink ref="AD665" r:id="rId1505" xr:uid="{A529E44A-0959-442F-AA3D-EE5BAF35D610}"/>
    <hyperlink ref="AD666" r:id="rId1506" xr:uid="{3255E001-B860-4E40-9686-BB0E0CC717E0}"/>
    <hyperlink ref="AD667" r:id="rId1507" xr:uid="{5D8DAFC4-AFF3-4C96-A0F5-35354F98830A}"/>
    <hyperlink ref="AD668" r:id="rId1508" xr:uid="{D7069085-B956-426F-AF5A-82D57978D07F}"/>
    <hyperlink ref="AD669" r:id="rId1509" xr:uid="{C65499C7-9CC9-42FD-B33E-37E9857D361D}"/>
    <hyperlink ref="AD670" r:id="rId1510" xr:uid="{CE79A414-7077-44EF-A22B-477FE8C24D11}"/>
    <hyperlink ref="AD671" r:id="rId1511" xr:uid="{444C067D-E33A-4806-BE45-460AABA2740B}"/>
    <hyperlink ref="AD672" r:id="rId1512" xr:uid="{612D32D0-C4A5-4617-9AD7-0B8B7A7A9C8D}"/>
    <hyperlink ref="AD673" r:id="rId1513" xr:uid="{8EEEE116-64C4-4BE7-9F42-EDA2C55639B7}"/>
    <hyperlink ref="AD674" r:id="rId1514" xr:uid="{863E7FC3-5A43-471F-B1E0-F9FADBCBB1D9}"/>
    <hyperlink ref="AD675" r:id="rId1515" xr:uid="{285111A2-7914-4999-8266-273F0E232CB8}"/>
    <hyperlink ref="AD676" r:id="rId1516" xr:uid="{FD42B711-8612-4EA1-A861-2905E7528E33}"/>
    <hyperlink ref="AD677" r:id="rId1517" xr:uid="{CCE9A42D-4324-44C3-9077-4E86433515C4}"/>
    <hyperlink ref="AD678" r:id="rId1518" xr:uid="{48B15A78-F4A0-4695-BC10-0F8C81F799FF}"/>
    <hyperlink ref="AD679" r:id="rId1519" xr:uid="{D270589F-1544-48F5-9DF5-960E3F073975}"/>
    <hyperlink ref="AD680" r:id="rId1520" xr:uid="{D4B12050-CDDB-4A1B-A917-C96B73F7C1E9}"/>
    <hyperlink ref="AD681" r:id="rId1521" xr:uid="{C8692DD1-91EE-4287-AC10-32C350595B6C}"/>
    <hyperlink ref="AD682" r:id="rId1522" xr:uid="{A2F8E83D-76FF-4EB7-BB95-A4C7D2AE3D2A}"/>
    <hyperlink ref="AD683" r:id="rId1523" xr:uid="{70C314FC-835A-4C09-9DCA-C14ED242543E}"/>
    <hyperlink ref="AD684" r:id="rId1524" xr:uid="{A1817632-D0B4-45B3-A40B-9BA7540BDE8A}"/>
    <hyperlink ref="AD685" r:id="rId1525" xr:uid="{8F419890-BC95-4815-99E4-AC2D6D21322D}"/>
    <hyperlink ref="AD686" r:id="rId1526" xr:uid="{F9BD4ED9-35A1-48E0-A7FE-1F928E48145E}"/>
    <hyperlink ref="AD687" r:id="rId1527" xr:uid="{D11A18E5-FC07-46F8-ABFA-A355A7CD4F2B}"/>
    <hyperlink ref="AD688" r:id="rId1528" xr:uid="{E59DC16A-3343-4C23-8152-91F3C904B842}"/>
    <hyperlink ref="AD689" r:id="rId1529" xr:uid="{AED2A5EC-D8B0-4787-8EF3-E6D1D07C0D8B}"/>
    <hyperlink ref="AD690" r:id="rId1530" xr:uid="{DAD6B44E-139E-4E72-B67D-82B3E23DBC2C}"/>
    <hyperlink ref="AD691" r:id="rId1531" xr:uid="{FAF2C680-BF1F-473D-974B-4065B44F512E}"/>
    <hyperlink ref="AD692" r:id="rId1532" xr:uid="{831DE190-7F21-423D-A4D4-832B74A4D8BC}"/>
    <hyperlink ref="AD693" r:id="rId1533" xr:uid="{A32912DB-B4C0-4A1A-97AD-D94411B63920}"/>
    <hyperlink ref="AD694" r:id="rId1534" xr:uid="{A00CFEF0-D7F3-4450-9870-9FE3D5F47086}"/>
    <hyperlink ref="AD695" r:id="rId1535" xr:uid="{1163A360-85A4-430C-A454-129772127CA7}"/>
    <hyperlink ref="AD696" r:id="rId1536" xr:uid="{CDF5414B-778F-46B9-852E-73D651DDBC00}"/>
    <hyperlink ref="AD697" r:id="rId1537" xr:uid="{CAC844AD-5FD7-46B0-98DA-9AF6160E1D99}"/>
    <hyperlink ref="AD698" r:id="rId1538" xr:uid="{93173965-4CCF-4269-B34F-07B556B05EC9}"/>
    <hyperlink ref="AD699" r:id="rId1539" xr:uid="{D0A5062C-C88B-4CD9-9E71-CA1F28E856AC}"/>
    <hyperlink ref="AD700" r:id="rId1540" xr:uid="{FCC7CEF1-7429-4EF0-B1FF-6353777BAF9D}"/>
    <hyperlink ref="AD701" r:id="rId1541" xr:uid="{0C10313F-95B8-476F-B3B0-42F4C5BE9844}"/>
    <hyperlink ref="AD702" r:id="rId1542" xr:uid="{205F7F1B-5AFB-45F9-8ADE-F27569157B63}"/>
    <hyperlink ref="AD703" r:id="rId1543" xr:uid="{FFFD6C5F-D566-4440-A059-9E92D5ED349B}"/>
    <hyperlink ref="AD704" r:id="rId1544" xr:uid="{5BEB3B3E-C498-476A-AAFB-A548ACDC7723}"/>
    <hyperlink ref="AD705" r:id="rId1545" xr:uid="{23BA1EDE-9C8E-4BF3-B4E4-8D0EF9CDCADE}"/>
    <hyperlink ref="AD706" r:id="rId1546" xr:uid="{B82C043C-8E90-46E6-868A-16C97A5929CE}"/>
    <hyperlink ref="AD707" r:id="rId1547" xr:uid="{99C1F0AF-8AE1-48C6-B33E-1CC29FFDE906}"/>
    <hyperlink ref="AD708" r:id="rId1548" xr:uid="{8C1A25F9-F5B7-4EE7-9037-6A50A1C461F2}"/>
    <hyperlink ref="AD709" r:id="rId1549" xr:uid="{2B03387A-F77D-481B-A2B7-A21FDE02DCA7}"/>
    <hyperlink ref="AD710" r:id="rId1550" xr:uid="{0B001349-33A7-4A7D-B6AF-02562A4E14BA}"/>
    <hyperlink ref="AD711" r:id="rId1551" xr:uid="{570FA231-47C9-4C0D-B0B8-B518F4D48F36}"/>
    <hyperlink ref="AD712" r:id="rId1552" xr:uid="{FA4C8754-71B6-40EC-A366-2C0ADA5E9234}"/>
    <hyperlink ref="AD713" r:id="rId1553" xr:uid="{2E400EEA-4DB2-4F95-8D43-804DA37D5ACD}"/>
    <hyperlink ref="AD714" r:id="rId1554" xr:uid="{AE37067C-36BD-48C6-AE35-FF985772AC41}"/>
    <hyperlink ref="AD715" r:id="rId1555" xr:uid="{73EAD6CE-C705-4FBC-873B-E059ED52B8F0}"/>
    <hyperlink ref="AD716" r:id="rId1556" xr:uid="{891EFF02-F494-4C2E-A4D2-F1A53E53A245}"/>
    <hyperlink ref="AD717" r:id="rId1557" xr:uid="{748D6BAE-2A13-429C-A59F-4210A3EF326F}"/>
    <hyperlink ref="AD718" r:id="rId1558" xr:uid="{5DA36A79-EBCC-4DFD-991D-45063C98DCCA}"/>
    <hyperlink ref="AD719" r:id="rId1559" xr:uid="{593DFE5F-D20E-471C-955E-4422011C8445}"/>
    <hyperlink ref="AD720" r:id="rId1560" xr:uid="{7AE82018-4A9E-406B-9C47-F8BAA358BB65}"/>
    <hyperlink ref="AD721" r:id="rId1561" xr:uid="{BEA07D13-7704-4185-A585-653002BEAEE8}"/>
    <hyperlink ref="AD722" r:id="rId1562" xr:uid="{AA612E90-8622-47C6-9F65-D0F7BD47982D}"/>
    <hyperlink ref="AD723" r:id="rId1563" xr:uid="{CED085E9-BE4E-4457-98F1-84A42A5556A7}"/>
    <hyperlink ref="AD724" r:id="rId1564" xr:uid="{50720FA1-3916-430E-A3D8-185D41C285B1}"/>
    <hyperlink ref="AD725" r:id="rId1565" xr:uid="{0809341E-09E0-4B58-8A3A-9904D7CF6348}"/>
    <hyperlink ref="AD726" r:id="rId1566" xr:uid="{F89B2B42-A16A-4D61-8220-BB32424D9D44}"/>
    <hyperlink ref="AD727" r:id="rId1567" xr:uid="{56930052-2776-4E60-BF0B-81EFBBD569F0}"/>
    <hyperlink ref="AD728" r:id="rId1568" xr:uid="{50769EC9-705B-4FE2-881B-4A0120FB217A}"/>
    <hyperlink ref="AD729" r:id="rId1569" xr:uid="{80B5C7D9-BE41-45A5-98FD-09FF2E53DE56}"/>
    <hyperlink ref="AD730" r:id="rId1570" xr:uid="{7E262583-69D6-4C67-A541-B1F765057C33}"/>
    <hyperlink ref="AD731" r:id="rId1571" xr:uid="{D73FB9DF-8E55-4123-9C21-5D9F1C0F35E2}"/>
    <hyperlink ref="AD732" r:id="rId1572" xr:uid="{F8D57208-03D7-4431-8D70-BD2D9E6E8678}"/>
    <hyperlink ref="AD733" r:id="rId1573" xr:uid="{EBCD84C2-8A30-4EAC-990C-A4B69A224027}"/>
    <hyperlink ref="AD734" r:id="rId1574" xr:uid="{6955D4CD-2CEE-49D2-A47A-BE31FECA172B}"/>
    <hyperlink ref="AD735" r:id="rId1575" xr:uid="{6093F46D-F2F7-4991-B39D-B460B801663C}"/>
    <hyperlink ref="AD736" r:id="rId1576" xr:uid="{E229037B-F64A-4A8D-8B08-E749DCD898B6}"/>
    <hyperlink ref="AD737" r:id="rId1577" xr:uid="{73DFECA9-7B33-4B4C-A811-B78268002A69}"/>
    <hyperlink ref="AD738" r:id="rId1578" xr:uid="{A8D2C7ED-B540-4554-B87D-91E8E9B01A29}"/>
    <hyperlink ref="AD739" r:id="rId1579" xr:uid="{93FF51BF-DF08-4A96-8E27-4F1765B7B0EC}"/>
    <hyperlink ref="AD740" r:id="rId1580" xr:uid="{21EB4168-42CC-410C-BF86-D86C24AD078D}"/>
    <hyperlink ref="AD741" r:id="rId1581" xr:uid="{118FCE16-A473-42CB-B06C-B76DD8C61BC4}"/>
    <hyperlink ref="AD742" r:id="rId1582" xr:uid="{2E69719D-B863-44F5-8597-196A38186F56}"/>
    <hyperlink ref="AD743" r:id="rId1583" xr:uid="{5EE51667-4D67-4D49-8092-72B524592708}"/>
    <hyperlink ref="AD744" r:id="rId1584" xr:uid="{15851333-B999-47BA-A966-C226B84BBD6F}"/>
    <hyperlink ref="AD745" r:id="rId1585" xr:uid="{4398BD0F-0CCC-4FC8-8D7E-8B9F2A5D2353}"/>
    <hyperlink ref="AD746" r:id="rId1586" xr:uid="{3559326E-97C8-4050-9737-2E0DD2883330}"/>
    <hyperlink ref="AD747" r:id="rId1587" xr:uid="{F304AFE2-4301-4F82-91E6-3F68FCEA5E8D}"/>
    <hyperlink ref="AD748" r:id="rId1588" xr:uid="{D489266C-20CC-43DC-BCB2-320244013F58}"/>
    <hyperlink ref="AD749" r:id="rId1589" xr:uid="{A1557654-B8C1-454D-AF23-9FC45CC5AC3C}"/>
    <hyperlink ref="AD750" r:id="rId1590" xr:uid="{542792DE-D29C-451F-9B08-969C14AE1E9E}"/>
    <hyperlink ref="AD751" r:id="rId1591" xr:uid="{792E6285-21F2-4170-BFCF-26B275C277C4}"/>
    <hyperlink ref="AD752" r:id="rId1592" xr:uid="{32189B5E-6917-4C94-BD85-E82E0238FD4B}"/>
    <hyperlink ref="AD753" r:id="rId1593" xr:uid="{0BAC5575-B66D-49DD-9902-B833D7EDE3EF}"/>
    <hyperlink ref="AD754" r:id="rId1594" xr:uid="{8ECCF003-D22C-4FE4-A58D-F7D48515BB90}"/>
    <hyperlink ref="AD755" r:id="rId1595" xr:uid="{0E40E38A-FB69-40A8-9040-7594387B8F62}"/>
    <hyperlink ref="AD756" r:id="rId1596" xr:uid="{1C4A664C-2F05-4AE6-A845-E60C15B54690}"/>
    <hyperlink ref="AD757" r:id="rId1597" xr:uid="{8B64D2EC-C180-4567-A43C-C33043241F40}"/>
    <hyperlink ref="AD758" r:id="rId1598" xr:uid="{9E5FCC32-2641-4807-990F-DEF19739C9E7}"/>
    <hyperlink ref="AD759" r:id="rId1599" xr:uid="{12E6F9ED-4C4D-43D6-AFD6-6FC30AF7BDF3}"/>
    <hyperlink ref="AD760" r:id="rId1600" xr:uid="{890A3BDE-DB34-4B3A-83D5-2804AD83472F}"/>
    <hyperlink ref="AD761" r:id="rId1601" xr:uid="{6D68BB02-FB59-4248-B125-474121B7AE3B}"/>
    <hyperlink ref="AD762" r:id="rId1602" xr:uid="{85D80DC7-4A0A-4EC7-AC3C-1D2B6A1C5CE8}"/>
    <hyperlink ref="AD763" r:id="rId1603" xr:uid="{94B69F41-FEB2-4486-B53C-F23B35B90F0F}"/>
    <hyperlink ref="AD764" r:id="rId1604" xr:uid="{A504FB5D-E2C3-4D88-A174-7619AEA08522}"/>
    <hyperlink ref="AD765" r:id="rId1605" xr:uid="{A467F9FD-0718-400C-97E6-BC9AFB50BCD0}"/>
    <hyperlink ref="AD766" r:id="rId1606" xr:uid="{DADD0EC6-6CA2-4CE2-A3F3-8CFB96EBDAEE}"/>
    <hyperlink ref="AD767" r:id="rId1607" xr:uid="{2CC6181F-2701-4397-B215-B05B6A28E3CA}"/>
    <hyperlink ref="AD768" r:id="rId1608" xr:uid="{D297183C-5946-4CCB-9D96-ECB829E8C477}"/>
    <hyperlink ref="AD769" r:id="rId1609" xr:uid="{93E9DB6C-9BF4-486C-9A4E-A8C96920FA65}"/>
    <hyperlink ref="AD770" r:id="rId1610" xr:uid="{14EC7E55-4A32-4BBF-8DED-2FD77C9A65A5}"/>
    <hyperlink ref="AD771" r:id="rId1611" xr:uid="{D7013B16-0B97-440F-A2B1-BEF05016CAAC}"/>
    <hyperlink ref="AD772" r:id="rId1612" xr:uid="{F38EF410-94DC-4073-B8B1-86B6D4C57A99}"/>
    <hyperlink ref="AD773" r:id="rId1613" xr:uid="{CF16188A-BE94-4444-B092-37BC4DCF16B7}"/>
    <hyperlink ref="AD774" r:id="rId1614" xr:uid="{D8D8136B-FA66-496F-8743-696D59A0580D}"/>
    <hyperlink ref="AD775" r:id="rId1615" xr:uid="{68E805B1-A22F-4BF7-963A-E824C2C57DC9}"/>
    <hyperlink ref="AD776" r:id="rId1616" xr:uid="{9F550B5D-ACB8-45A4-A118-2B8CB5F9DAC9}"/>
    <hyperlink ref="AD777" r:id="rId1617" xr:uid="{0AB86C0E-B0AF-4C68-B218-3A61E7E40755}"/>
    <hyperlink ref="AD778" r:id="rId1618" xr:uid="{10F19B0F-A31D-4B95-A005-DF11C32A6DDF}"/>
    <hyperlink ref="AD779" r:id="rId1619" xr:uid="{9D0259A9-B9E2-4BAA-95D9-724A6B52BDB2}"/>
    <hyperlink ref="AD780" r:id="rId1620" xr:uid="{45FADD2B-AAA2-4262-882F-5280440BAA69}"/>
    <hyperlink ref="AD781" r:id="rId1621" xr:uid="{D4DF0887-3622-4E08-AD3F-02077684BA85}"/>
    <hyperlink ref="AD782" r:id="rId1622" xr:uid="{B2FBBDB0-9308-45E7-9347-C6631859B2B8}"/>
    <hyperlink ref="AD783" r:id="rId1623" xr:uid="{8C346EB9-4328-4585-975C-2842D959CFB1}"/>
    <hyperlink ref="AD784" r:id="rId1624" xr:uid="{10801FF6-242A-4A77-B059-B71C2F50BD66}"/>
    <hyperlink ref="AD785" r:id="rId1625" xr:uid="{19AA8C02-1A80-4595-B2FC-4F68FDA6E085}"/>
    <hyperlink ref="AD786" r:id="rId1626" xr:uid="{D103FB9C-10B1-4827-85EA-8CEAB8363F88}"/>
    <hyperlink ref="AD787" r:id="rId1627" xr:uid="{3D031000-8F4F-4707-B6C1-6D31A8DDF6FB}"/>
    <hyperlink ref="AD788" r:id="rId1628" xr:uid="{69EE8A25-4BBA-4582-874F-B4CA87C0ED53}"/>
    <hyperlink ref="AD789" r:id="rId1629" xr:uid="{233372DA-BB4D-4B14-9461-33C69ED43EDF}"/>
    <hyperlink ref="AD790" r:id="rId1630" xr:uid="{E4E67E95-CA0B-4733-8708-0DB833261855}"/>
    <hyperlink ref="AD791" r:id="rId1631" xr:uid="{526B3585-6BFC-4804-8549-39CD02DE9EFF}"/>
    <hyperlink ref="AD792" r:id="rId1632" xr:uid="{4E3B3807-8454-4B16-8316-DDD1FFA11114}"/>
    <hyperlink ref="AD793" r:id="rId1633" xr:uid="{0932C71D-D176-4D27-B1B3-BC9BAF4689DE}"/>
    <hyperlink ref="AD794" r:id="rId1634" xr:uid="{979939CC-4875-4CFF-B315-98CE5772E909}"/>
    <hyperlink ref="AD795" r:id="rId1635" xr:uid="{FAA2A3A8-4C13-44B9-9C25-06E3CB6785B5}"/>
    <hyperlink ref="AD796" r:id="rId1636" xr:uid="{2FE6E913-D16B-420B-A44E-D790D55BD828}"/>
    <hyperlink ref="AD797" r:id="rId1637" xr:uid="{80234430-8652-4741-B393-A411D650E866}"/>
    <hyperlink ref="AD798" r:id="rId1638" xr:uid="{6C621BE5-E6A1-4644-8391-DD494EFAB67F}"/>
    <hyperlink ref="AD799" r:id="rId1639" xr:uid="{F785CF57-8D1C-4DC6-AAC7-3B8D7DC59F8D}"/>
    <hyperlink ref="AD800" r:id="rId1640" xr:uid="{04E76E35-F370-4CD8-B3DA-A3BF18229D01}"/>
    <hyperlink ref="AD801" r:id="rId1641" xr:uid="{EFEB423F-CB43-4C03-8167-4C2AD28E61E7}"/>
    <hyperlink ref="AD802" r:id="rId1642" xr:uid="{F064938B-1D21-43F5-93D6-B94C3769E4D9}"/>
    <hyperlink ref="AD803" r:id="rId1643" xr:uid="{246D44C6-D948-4198-8C23-4DCCDE01FECC}"/>
    <hyperlink ref="AD804" r:id="rId1644" xr:uid="{EBC0C485-D6C4-4704-AA66-5E00B8DDC869}"/>
    <hyperlink ref="AD805" r:id="rId1645" xr:uid="{2A769A53-4DD1-481A-AD4B-FBDB7B4E90AB}"/>
    <hyperlink ref="AD806" r:id="rId1646" xr:uid="{028FE5C9-6B4B-4358-8496-58B482D5450F}"/>
    <hyperlink ref="AD807" r:id="rId1647" xr:uid="{E256D191-6CFA-4572-8A93-3C7BD073A46F}"/>
    <hyperlink ref="AD808" r:id="rId1648" xr:uid="{05B41C45-2802-46AE-AA6E-64BC77435CA0}"/>
    <hyperlink ref="AD809" r:id="rId1649" xr:uid="{22852AE7-42BF-4C45-ACD5-92030FEDBE5D}"/>
    <hyperlink ref="AD810" r:id="rId1650" xr:uid="{839E7E42-F3BB-4F49-B632-5FF762E8E954}"/>
    <hyperlink ref="AF613" r:id="rId1651" xr:uid="{871BFFB4-5682-4AD5-BEEA-7A8D23C83262}"/>
    <hyperlink ref="AF614" r:id="rId1652" xr:uid="{8FF3D7A1-6E33-47FD-8865-8CB9392B3769}"/>
    <hyperlink ref="AF615" r:id="rId1653" xr:uid="{04178673-981D-4E47-9AA4-ACE0581DB51C}"/>
    <hyperlink ref="AF616" r:id="rId1654" xr:uid="{8D7EF775-04DB-4797-9516-99F092C59F4C}"/>
    <hyperlink ref="AF617" r:id="rId1655" xr:uid="{37B45CD0-B5A7-4C15-96A9-5783A7FE8E42}"/>
    <hyperlink ref="AF618" r:id="rId1656" xr:uid="{301A745B-1599-4544-B069-C4C48A37A49F}"/>
    <hyperlink ref="AF619" r:id="rId1657" xr:uid="{A0666CF8-2441-491D-8F90-5643FF3A1C6C}"/>
    <hyperlink ref="AF620" r:id="rId1658" xr:uid="{079A3109-B156-4A60-8080-2ED501F909ED}"/>
    <hyperlink ref="AF621" r:id="rId1659" xr:uid="{AEA86F97-8374-4838-B365-1934C759A5B7}"/>
    <hyperlink ref="AF622" r:id="rId1660" xr:uid="{1EDA750F-2F2D-4903-91BA-25620BDBF7CE}"/>
    <hyperlink ref="AF623" r:id="rId1661" xr:uid="{258E667E-B29F-483E-A338-9CE224C3ED8D}"/>
    <hyperlink ref="AF624" r:id="rId1662" xr:uid="{5389E1E6-595E-4989-81F1-A8628E440734}"/>
    <hyperlink ref="AF625" r:id="rId1663" xr:uid="{31735FF6-0CB4-4BEC-BD70-CCE07A9F5DC3}"/>
    <hyperlink ref="AF626" r:id="rId1664" xr:uid="{DEF94E4D-0919-4D76-BD2E-15E522FA82EB}"/>
    <hyperlink ref="AF627" r:id="rId1665" xr:uid="{26DDB6B7-0028-4AAB-9C9A-BA8804603731}"/>
    <hyperlink ref="AF628" r:id="rId1666" xr:uid="{8094A150-E2E8-446D-8372-5CC62792E9EF}"/>
    <hyperlink ref="AF629" r:id="rId1667" xr:uid="{CCAFDFA9-D715-49B2-B295-08D48E43332C}"/>
    <hyperlink ref="AF630" r:id="rId1668" xr:uid="{5B15D482-F60C-47B7-B415-0123C51FA214}"/>
    <hyperlink ref="AF631" r:id="rId1669" xr:uid="{4152DB9F-E2F5-4A4B-A953-B61AF01EAAC8}"/>
    <hyperlink ref="AF632" r:id="rId1670" xr:uid="{05275800-7FDF-4ED3-B200-B9CE22484CF4}"/>
    <hyperlink ref="AF633" r:id="rId1671" xr:uid="{14DBF5F8-3FA8-4EC4-A15B-6FADA3ADA258}"/>
    <hyperlink ref="AF634" r:id="rId1672" xr:uid="{9B44C37A-EB27-4AA2-9137-B0F339E9C5D5}"/>
    <hyperlink ref="AF635" r:id="rId1673" xr:uid="{3B68070F-E0F1-4476-8464-631C0B105147}"/>
    <hyperlink ref="AF636" r:id="rId1674" xr:uid="{B36A866C-91EA-4A7B-8BA8-54E2C8027677}"/>
    <hyperlink ref="AF637" r:id="rId1675" xr:uid="{64F445AC-852A-4D88-B2E5-3B526A007E11}"/>
    <hyperlink ref="AF638" r:id="rId1676" xr:uid="{78886FF4-D5BA-4E0F-95EF-1C2BB873FF9F}"/>
    <hyperlink ref="AF639" r:id="rId1677" xr:uid="{51F72B10-DBA0-4483-AA31-04F757BAC84F}"/>
    <hyperlink ref="AF640" r:id="rId1678" xr:uid="{8B1F1559-A4AF-4E72-B8E9-3B0CAEFA593D}"/>
    <hyperlink ref="AF641" r:id="rId1679" xr:uid="{5F6D7EB7-0E74-42F9-9284-987F609B7D02}"/>
    <hyperlink ref="AF642" r:id="rId1680" xr:uid="{23649967-45F0-44F1-8BD2-1ABBC7C9268C}"/>
    <hyperlink ref="AF643" r:id="rId1681" xr:uid="{66405011-CED3-4ECA-ABBD-E2B813D60FC2}"/>
    <hyperlink ref="AF644" r:id="rId1682" xr:uid="{96F49A90-38D3-4A9D-8E06-49F6FFF7042E}"/>
    <hyperlink ref="AF645" r:id="rId1683" xr:uid="{B96B7FE4-6A92-4EA5-89FB-63F1652E8AF4}"/>
    <hyperlink ref="AF646" r:id="rId1684" xr:uid="{3498AAA7-45D5-4D41-AA4D-20E2C62AEC25}"/>
    <hyperlink ref="AF647" r:id="rId1685" xr:uid="{BECABFA5-BA77-4930-9499-487B70C69EDD}"/>
    <hyperlink ref="AF648" r:id="rId1686" xr:uid="{EB71C869-248E-41E2-A3FC-74AE3BF5473C}"/>
    <hyperlink ref="AF649" r:id="rId1687" xr:uid="{37C87C53-2A0C-479C-B79E-1C46F8803321}"/>
    <hyperlink ref="AF650" r:id="rId1688" xr:uid="{1E76FD59-5BFB-4ACB-9706-453AE87B2DD0}"/>
    <hyperlink ref="AF651" r:id="rId1689" xr:uid="{D44ADB74-52A7-4FC5-BC4B-CDFE96CD15E5}"/>
    <hyperlink ref="AF652" r:id="rId1690" xr:uid="{D9E117B4-977C-4F34-9A92-DA39BAB56CBF}"/>
    <hyperlink ref="AF653" r:id="rId1691" xr:uid="{4B50AE15-21CA-4599-AD1B-4F9001640ECF}"/>
    <hyperlink ref="AF654" r:id="rId1692" xr:uid="{8BEB3C6D-15FE-436A-A2D0-A4DFF5F7107C}"/>
    <hyperlink ref="AF655" r:id="rId1693" xr:uid="{6D3C3A20-D381-4451-9413-BBE46CBC7BA8}"/>
    <hyperlink ref="AF656" r:id="rId1694" xr:uid="{16301743-90A2-4D0A-BBEC-78270430B972}"/>
    <hyperlink ref="AF657" r:id="rId1695" xr:uid="{312CC7CB-1EDC-4613-94AF-F21E7502F5E9}"/>
    <hyperlink ref="AF658" r:id="rId1696" xr:uid="{05AA51C1-536B-4D00-B2B2-FFFC1E9C9F98}"/>
    <hyperlink ref="AF659" r:id="rId1697" xr:uid="{9F425D78-6368-4ED5-AE48-0614EFF27BAA}"/>
    <hyperlink ref="AF660" r:id="rId1698" xr:uid="{35842283-FE6C-4A10-9928-57EDA003EA30}"/>
    <hyperlink ref="AF661" r:id="rId1699" xr:uid="{D0795767-E720-447D-95FA-2DCF0683915B}"/>
    <hyperlink ref="AF662" r:id="rId1700" xr:uid="{A9CDD0E9-3ACD-4D56-9E88-64C7D3B7CB5D}"/>
    <hyperlink ref="AF663" r:id="rId1701" xr:uid="{651C02A3-BF50-4A99-9199-C57A9027327D}"/>
    <hyperlink ref="AF664" r:id="rId1702" xr:uid="{96901482-C5D2-423B-A741-9843774E5D25}"/>
    <hyperlink ref="AF665" r:id="rId1703" xr:uid="{00EE713E-302A-41DC-9CB4-C7D935F639FF}"/>
    <hyperlink ref="AF666" r:id="rId1704" xr:uid="{28F3EBDB-E127-4F11-ADED-E3D61E60703C}"/>
    <hyperlink ref="AF667" r:id="rId1705" xr:uid="{804D54EC-6730-431C-B054-1284A151456E}"/>
    <hyperlink ref="AF668" r:id="rId1706" xr:uid="{2DB023F2-DD27-492E-88E8-1B1FC2B5FB93}"/>
    <hyperlink ref="AF669" r:id="rId1707" xr:uid="{FD0F032E-2923-4717-984E-A98C0D7C764B}"/>
    <hyperlink ref="AF670" r:id="rId1708" xr:uid="{0AF4E75D-306F-4214-9823-CD5FF5EC6920}"/>
    <hyperlink ref="AF671" r:id="rId1709" xr:uid="{3705CFE9-7EF6-4BB0-9808-31DC493064ED}"/>
    <hyperlink ref="AF672" r:id="rId1710" xr:uid="{C23ACF56-3C3B-4F1B-B811-3A6AD622F0F0}"/>
    <hyperlink ref="AF673" r:id="rId1711" xr:uid="{E3F33B09-AF9D-4D61-92DF-14E9D8C17DD4}"/>
    <hyperlink ref="AF674" r:id="rId1712" xr:uid="{768B2879-35CE-41AB-8E9F-830ED314E590}"/>
    <hyperlink ref="AF675" r:id="rId1713" xr:uid="{40DCB7CE-4069-4CD9-B413-8E2594C9646C}"/>
    <hyperlink ref="AF676" r:id="rId1714" xr:uid="{F6541F27-4483-445B-9F51-5143AB5471C5}"/>
    <hyperlink ref="AF677" r:id="rId1715" xr:uid="{B04A27BE-0C93-4EF3-B9A1-8BEAC12E1040}"/>
    <hyperlink ref="AF678" r:id="rId1716" xr:uid="{8A356951-EFC0-4F95-8D22-4E8B1C933069}"/>
    <hyperlink ref="AF679" r:id="rId1717" xr:uid="{4C1A688F-B101-496F-8794-91420DE11A18}"/>
    <hyperlink ref="AF680" r:id="rId1718" xr:uid="{4717046C-DB15-4363-AD1E-FE0660AFA637}"/>
    <hyperlink ref="AF681" r:id="rId1719" xr:uid="{A34166FB-E259-4253-B7AF-28FC63B94FFC}"/>
    <hyperlink ref="AF682" r:id="rId1720" xr:uid="{C2A5FBD8-DD92-47FA-B677-5385A99C120A}"/>
    <hyperlink ref="AF683" r:id="rId1721" xr:uid="{607A9EEF-C2D4-4CD5-A166-65D8CDF7DCA8}"/>
    <hyperlink ref="AF684" r:id="rId1722" xr:uid="{48463F17-1888-4CE1-BD96-24BC0F22D8BB}"/>
    <hyperlink ref="AF685" r:id="rId1723" xr:uid="{9738188F-41B6-4478-BB67-C4F81B016C2F}"/>
    <hyperlink ref="AF686" r:id="rId1724" xr:uid="{9E9BDC3B-1BD7-42C9-8566-FB3BBBABA51A}"/>
    <hyperlink ref="AF687" r:id="rId1725" xr:uid="{E69166E0-5566-481A-BD84-3A8C4A503FC9}"/>
    <hyperlink ref="AF688" r:id="rId1726" xr:uid="{D05AAE65-2937-4A9D-8561-DF6D13C0BCEE}"/>
    <hyperlink ref="AF689" r:id="rId1727" xr:uid="{E77CC317-8D32-4ED9-B24B-131EF69DE043}"/>
    <hyperlink ref="AF690" r:id="rId1728" xr:uid="{39B00913-3F5A-4A17-BBD3-5952E9BACD45}"/>
    <hyperlink ref="AF691" r:id="rId1729" xr:uid="{E1C19A52-DE63-4D3E-91CF-9D795C52045B}"/>
    <hyperlink ref="AF692" r:id="rId1730" xr:uid="{25200F04-EC2D-456A-AF91-779DB4ED9195}"/>
    <hyperlink ref="AF693" r:id="rId1731" xr:uid="{BD8CFDF8-EC67-4B20-BBCD-5943A2C449D3}"/>
    <hyperlink ref="AF694" r:id="rId1732" xr:uid="{4B95937F-801E-42DB-A85B-424D9D4C8E46}"/>
    <hyperlink ref="AF695" r:id="rId1733" xr:uid="{FBCCDECD-2C46-43DD-80E5-0E201B15BE95}"/>
    <hyperlink ref="AF696" r:id="rId1734" xr:uid="{E20F1CF7-027A-431F-978A-8608580157D5}"/>
    <hyperlink ref="AF697" r:id="rId1735" xr:uid="{51104FC3-F0A8-4960-A3CF-A3B69401C4FA}"/>
    <hyperlink ref="AF698" r:id="rId1736" xr:uid="{A936540F-5AA6-4E78-857C-58DC9C43B61D}"/>
    <hyperlink ref="AF699" r:id="rId1737" xr:uid="{EDB6E39F-B4FA-4105-A7F2-1932E2113723}"/>
    <hyperlink ref="AF700" r:id="rId1738" xr:uid="{11D243ED-B80A-4F35-B97B-BDC5E2DCA3A0}"/>
    <hyperlink ref="AF701" r:id="rId1739" xr:uid="{49E9C6A4-3AB5-4598-B556-B26C6A590CB3}"/>
    <hyperlink ref="AF702" r:id="rId1740" xr:uid="{14088A80-B965-443C-91E6-4B6051C4099B}"/>
    <hyperlink ref="AF703" r:id="rId1741" xr:uid="{D24DDFC6-DAA7-44E6-AE16-612C10BABF58}"/>
    <hyperlink ref="AF704" r:id="rId1742" xr:uid="{4F0D5ADF-BB00-435A-BFB1-1F06045025DA}"/>
    <hyperlink ref="AF705" r:id="rId1743" xr:uid="{7CF925B7-06DA-452F-BE76-2B89EE1129C3}"/>
    <hyperlink ref="AF706" r:id="rId1744" xr:uid="{DADFF937-6119-4BDC-9736-F2406EF04DFB}"/>
    <hyperlink ref="AF707" r:id="rId1745" xr:uid="{5A48631E-9CA7-47AD-9123-C153840CE107}"/>
    <hyperlink ref="AF708" r:id="rId1746" xr:uid="{C6BD56D3-1016-4C0B-B701-336CC1459775}"/>
    <hyperlink ref="AF709" r:id="rId1747" xr:uid="{B333FAF1-B070-4322-8A62-E725C5F15178}"/>
    <hyperlink ref="AF710" r:id="rId1748" xr:uid="{AC52F25E-381D-4664-93F8-F7E4E2F464A0}"/>
    <hyperlink ref="AF711" r:id="rId1749" xr:uid="{E29F9AA1-C5B2-4980-9B70-C03239DDA325}"/>
    <hyperlink ref="AF712" r:id="rId1750" xr:uid="{918DECE1-AB68-479F-B3FE-78C91D690244}"/>
    <hyperlink ref="AF713" r:id="rId1751" xr:uid="{32033B26-628E-4317-AAF0-1B610D5690C2}"/>
    <hyperlink ref="AF714" r:id="rId1752" xr:uid="{6846F782-9EB0-42DC-A023-249E9261B9D2}"/>
    <hyperlink ref="AF715" r:id="rId1753" xr:uid="{BA3B5117-2BF8-48DA-94BA-5375643144F5}"/>
    <hyperlink ref="AF716" r:id="rId1754" xr:uid="{A92F6D8A-DC0B-4631-8B02-A76730313A9F}"/>
    <hyperlink ref="AF717" r:id="rId1755" xr:uid="{49FBC892-359D-4860-8360-010D841A7E01}"/>
    <hyperlink ref="AF718" r:id="rId1756" xr:uid="{88F58108-8B4A-4FD0-A7F7-1275B7C6C794}"/>
    <hyperlink ref="AF719" r:id="rId1757" xr:uid="{6BA9E808-CE0E-40BD-A411-6FF8B1439E3B}"/>
    <hyperlink ref="AF720" r:id="rId1758" xr:uid="{90D2F090-CCD2-4662-90DB-029652AF91E8}"/>
    <hyperlink ref="AF721" r:id="rId1759" xr:uid="{E19B80C6-7BE8-4B5B-AEA4-7424B7BDBCD5}"/>
    <hyperlink ref="AF722" r:id="rId1760" xr:uid="{1F3B5624-5C13-4E68-A88F-9CAE79B305BD}"/>
    <hyperlink ref="AF723" r:id="rId1761" xr:uid="{E44E6BA2-B891-4DD5-B2E9-72DC3D28C27A}"/>
    <hyperlink ref="AF724" r:id="rId1762" xr:uid="{B6AAF0BA-D4D9-4328-97D8-149CFFD320F6}"/>
    <hyperlink ref="AF725" r:id="rId1763" xr:uid="{CE413DAC-6E98-4B3A-AB33-4DED38C7C754}"/>
    <hyperlink ref="AF726" r:id="rId1764" xr:uid="{667CD59A-130F-4371-89E1-381521776837}"/>
    <hyperlink ref="AF727" r:id="rId1765" xr:uid="{1FDA2BF1-46A4-4A85-9673-ECCFAE2466CA}"/>
    <hyperlink ref="AF728" r:id="rId1766" xr:uid="{BF11C071-7D3C-41BA-A718-F8FD8EF465D6}"/>
    <hyperlink ref="AF729" r:id="rId1767" xr:uid="{E06D4764-147E-4C43-9D07-36493BDE8182}"/>
    <hyperlink ref="AF730" r:id="rId1768" xr:uid="{52995DE3-6F5F-44F5-A643-1B437F4E0D31}"/>
    <hyperlink ref="AF731" r:id="rId1769" xr:uid="{B7207579-0F96-4F7F-9A35-6B9B5A021A6A}"/>
    <hyperlink ref="AF732" r:id="rId1770" xr:uid="{7A2B168B-3A5A-47FD-B183-561A4479AD4B}"/>
    <hyperlink ref="AF733" r:id="rId1771" xr:uid="{525EE064-FDB8-4583-A90D-32DAF2C940A2}"/>
    <hyperlink ref="AF734" r:id="rId1772" xr:uid="{AD5098A7-71FF-4C28-8506-C197F2B750DB}"/>
    <hyperlink ref="AF735" r:id="rId1773" xr:uid="{192575BA-7F3B-4763-818C-62F9E1117D19}"/>
    <hyperlink ref="AF736" r:id="rId1774" xr:uid="{DD96771F-685B-4805-969E-29F48CC4DBB0}"/>
    <hyperlink ref="AF737" r:id="rId1775" xr:uid="{65F10A44-2DE3-41C9-AD8F-728A769FAC53}"/>
    <hyperlink ref="AF738" r:id="rId1776" xr:uid="{BC5278AC-73B4-477A-9DE9-C6ECDB66D244}"/>
    <hyperlink ref="AF739" r:id="rId1777" xr:uid="{E2573E7A-AB89-4548-A5A3-B3AEEA24ECEF}"/>
    <hyperlink ref="AF740" r:id="rId1778" xr:uid="{B5EA7290-F5F6-4DF2-B527-CE1BFB0F4C88}"/>
    <hyperlink ref="AF741" r:id="rId1779" xr:uid="{55EA6234-2475-492F-BFC7-A5D67E2BC2B1}"/>
    <hyperlink ref="AF742" r:id="rId1780" xr:uid="{45BEB1D8-E020-47C6-9F86-EB29DF8E9862}"/>
    <hyperlink ref="AF743" r:id="rId1781" xr:uid="{A10381AB-5228-4E8A-9C13-807C7113994C}"/>
    <hyperlink ref="AF744" r:id="rId1782" xr:uid="{45E1045D-7049-481E-9947-7E3BEB1822D7}"/>
    <hyperlink ref="AF745" r:id="rId1783" xr:uid="{4638FA37-ED09-48B7-B7F3-90D194C1D9FF}"/>
    <hyperlink ref="AF746" r:id="rId1784" xr:uid="{AB17124E-1B39-44D0-9089-55A4A1DA3A22}"/>
    <hyperlink ref="AF747" r:id="rId1785" xr:uid="{DEE3AEE1-6C33-46E3-9936-30BFE9F2F375}"/>
    <hyperlink ref="AF748" r:id="rId1786" xr:uid="{66C805CF-B1CC-49DA-9F30-DBD4E69F197E}"/>
    <hyperlink ref="AF749" r:id="rId1787" xr:uid="{627E5735-B4AF-4683-ADEE-348FE8B9B02C}"/>
    <hyperlink ref="AF750" r:id="rId1788" xr:uid="{C66F1846-5D5D-47C0-AD61-8D1AC15B5B71}"/>
    <hyperlink ref="AF751" r:id="rId1789" xr:uid="{878041A1-9C73-48CB-892E-29A0BCE19E0D}"/>
    <hyperlink ref="AF752" r:id="rId1790" xr:uid="{C303A97C-B182-45FA-969C-36D1AFB82867}"/>
    <hyperlink ref="AF753" r:id="rId1791" xr:uid="{776DA318-12FB-49C4-9BB8-7260B6DA23C3}"/>
    <hyperlink ref="AF754" r:id="rId1792" xr:uid="{B7732B76-0317-48F8-B091-A638F5053341}"/>
    <hyperlink ref="AF755" r:id="rId1793" xr:uid="{0CCD7C2D-4B11-4CBC-86F4-C2753D9FF201}"/>
    <hyperlink ref="AF756" r:id="rId1794" xr:uid="{FDBEED49-2380-4FBA-9BD7-8CAA270B5391}"/>
    <hyperlink ref="AF757" r:id="rId1795" xr:uid="{48191CA4-2DA5-4F00-9950-44D9DCA70CE0}"/>
    <hyperlink ref="AF758" r:id="rId1796" xr:uid="{DBE9E5E9-34CD-4E82-94FA-1030554BC49D}"/>
    <hyperlink ref="AF759" r:id="rId1797" xr:uid="{958D0AB1-0FB3-4B0A-A5DD-063AB7CD0D8B}"/>
    <hyperlink ref="AF760" r:id="rId1798" xr:uid="{C9D82DA6-E80F-4178-88AF-2ACC088617C4}"/>
    <hyperlink ref="AF761" r:id="rId1799" xr:uid="{2C623CF3-9ACE-41FA-ABFD-6D00911AAB2A}"/>
    <hyperlink ref="AF762" r:id="rId1800" xr:uid="{B2C4E15A-5FD9-4656-9A9E-1FB4E04B4957}"/>
    <hyperlink ref="AF763" r:id="rId1801" xr:uid="{0D1D7522-712C-4680-858F-B1B0A13A6026}"/>
    <hyperlink ref="AF764" r:id="rId1802" xr:uid="{8B5B615E-7D04-4FC3-A2EB-7F9257E155F0}"/>
    <hyperlink ref="AF765" r:id="rId1803" xr:uid="{854EB010-C1DD-4E55-8909-E09BC53BB680}"/>
    <hyperlink ref="AF766" r:id="rId1804" xr:uid="{7697B6F2-F537-4E12-BCA9-BF2AB1499306}"/>
    <hyperlink ref="AF767" r:id="rId1805" xr:uid="{DAA709B3-4939-4910-9BD8-3C6444EB6AFB}"/>
    <hyperlink ref="AF768" r:id="rId1806" xr:uid="{479B386C-35D3-40BC-A6E2-5736E0AA37A4}"/>
    <hyperlink ref="AF769" r:id="rId1807" xr:uid="{8FE629F8-627E-4DBF-855D-43FFABFC90CD}"/>
    <hyperlink ref="AF770" r:id="rId1808" xr:uid="{35903073-72CA-42AD-B641-0DBA434718F4}"/>
    <hyperlink ref="AF771" r:id="rId1809" xr:uid="{D6FC3285-2562-4CA1-A63D-AD093FC11225}"/>
    <hyperlink ref="AF772" r:id="rId1810" xr:uid="{7424EC04-CD46-4DCF-B186-E15D52D56D0A}"/>
    <hyperlink ref="AF773" r:id="rId1811" xr:uid="{AA20D1B8-B957-4AA1-9F6E-81CE3D2CE71B}"/>
    <hyperlink ref="AF774" r:id="rId1812" xr:uid="{A03D7200-1E4A-4D32-905C-3826ADCEA5B9}"/>
    <hyperlink ref="AF775" r:id="rId1813" xr:uid="{E5799ACE-9E28-4E83-A2D2-1A315721F00C}"/>
    <hyperlink ref="AF776" r:id="rId1814" xr:uid="{7574E527-5810-43C1-A902-A7C87785A273}"/>
    <hyperlink ref="AF777" r:id="rId1815" xr:uid="{C83C4C63-5B53-43A2-A6F2-B0BDC5C52499}"/>
    <hyperlink ref="AF778" r:id="rId1816" xr:uid="{A1E261E9-6D16-497B-AC8C-917E5C06A0AB}"/>
    <hyperlink ref="AF779" r:id="rId1817" xr:uid="{AF20D840-A992-44EE-B327-7F78B2F8ED3E}"/>
    <hyperlink ref="AF780" r:id="rId1818" xr:uid="{C3434B6A-DF89-4544-95C2-E779232B1994}"/>
    <hyperlink ref="AF781" r:id="rId1819" xr:uid="{27DF47E6-3EC4-41BD-9C1B-795BB9B75465}"/>
    <hyperlink ref="AF782" r:id="rId1820" xr:uid="{A83D1461-663C-4DB9-B53B-E439D111AA25}"/>
    <hyperlink ref="AF783" r:id="rId1821" xr:uid="{D6E6EC94-AAEC-4472-86F9-11007C31E2CD}"/>
    <hyperlink ref="AF784" r:id="rId1822" xr:uid="{381CA8C1-D81E-47FF-9DC6-BB8EB283C5DF}"/>
    <hyperlink ref="AF785" r:id="rId1823" xr:uid="{8C70B9AB-C072-4F4A-8A16-31D43117A686}"/>
    <hyperlink ref="AF786" r:id="rId1824" xr:uid="{AAE9A0CF-3905-47B8-BD7C-9349FE0CA742}"/>
    <hyperlink ref="AF787" r:id="rId1825" xr:uid="{93973D37-F325-4869-90C6-A8D0F0BFFCD1}"/>
    <hyperlink ref="AF788" r:id="rId1826" xr:uid="{F1597ACD-34F4-444F-A785-7F03469AFBA9}"/>
    <hyperlink ref="AF789" r:id="rId1827" xr:uid="{FC646F16-3D75-4CED-9B7F-5EFB50F62787}"/>
    <hyperlink ref="AF790" r:id="rId1828" xr:uid="{1EE4026E-E25A-4F84-8B68-60995AB27A35}"/>
    <hyperlink ref="AF791" r:id="rId1829" xr:uid="{0CFE9817-D29F-4DFF-823C-2244BAABB2AF}"/>
    <hyperlink ref="AF792" r:id="rId1830" xr:uid="{6FA2BBB2-A4F9-46C7-BAE9-FD4CEF963A3B}"/>
    <hyperlink ref="AF793" r:id="rId1831" xr:uid="{2AED9377-C712-4C99-994F-317157A51F73}"/>
    <hyperlink ref="AF794" r:id="rId1832" xr:uid="{CCB50C77-D869-4CFA-92BC-D32BBD5A8462}"/>
    <hyperlink ref="AF795" r:id="rId1833" xr:uid="{708D9D37-BAF2-42F2-ADA1-2F6E1C6A1878}"/>
    <hyperlink ref="AF796" r:id="rId1834" xr:uid="{269B3F37-17AB-40B4-9053-FAC5F5D53F46}"/>
    <hyperlink ref="AF797" r:id="rId1835" xr:uid="{92E2EC0E-ED42-4C8D-A5A7-7868E243A1C0}"/>
    <hyperlink ref="AF798" r:id="rId1836" xr:uid="{0A7F8F70-B261-44BA-99A1-AA655F5FC524}"/>
    <hyperlink ref="AF799" r:id="rId1837" xr:uid="{6B2A4368-9473-40AC-9EAB-58591D1CE056}"/>
    <hyperlink ref="AF800" r:id="rId1838" xr:uid="{82A2D477-0171-4E94-94DF-1E1C9B977D99}"/>
    <hyperlink ref="AF801" r:id="rId1839" xr:uid="{CE09A637-0CE6-4A5F-ACF1-8210FE413872}"/>
    <hyperlink ref="AF802" r:id="rId1840" xr:uid="{C56185DF-373E-49F1-AA2F-7BCE8F805246}"/>
    <hyperlink ref="AF803" r:id="rId1841" xr:uid="{24067147-BDC5-4CFF-BB8D-762D130EF53D}"/>
    <hyperlink ref="AF804" r:id="rId1842" xr:uid="{5E914630-BF17-4D66-A554-B037E5C0044B}"/>
    <hyperlink ref="AF805" r:id="rId1843" xr:uid="{B402526F-FDCD-4CE2-B150-A505D2CB316F}"/>
    <hyperlink ref="AF806" r:id="rId1844" xr:uid="{BD778976-FA35-4578-BECB-417FA7EAB1AD}"/>
    <hyperlink ref="AF807" r:id="rId1845" xr:uid="{993A11BA-357B-4B6A-80B4-07119DA3F8F7}"/>
    <hyperlink ref="AF808" r:id="rId1846" xr:uid="{A3C7B795-1976-4DB7-8B9F-98444CA351BF}"/>
    <hyperlink ref="AF809" r:id="rId1847" xr:uid="{025946F7-4EE2-417B-AC81-224FE995A6C9}"/>
    <hyperlink ref="AF810" r:id="rId1848" xr:uid="{F434B067-34D7-4EF4-B50A-85FC8D8151B6}"/>
    <hyperlink ref="AH613" r:id="rId1849" xr:uid="{23BC2ADA-098D-4251-892F-449AD52406B6}"/>
    <hyperlink ref="AH614" r:id="rId1850" xr:uid="{700B7007-4B61-47E5-895F-F17CE34B3590}"/>
    <hyperlink ref="AH615" r:id="rId1851" xr:uid="{DCCD9078-7138-42D6-8209-B1CA9D998C5D}"/>
    <hyperlink ref="AH616" r:id="rId1852" xr:uid="{B0FB6E1E-F500-4FDA-9E61-A0F440694346}"/>
    <hyperlink ref="AH617" r:id="rId1853" xr:uid="{148E5C45-4A4E-4E86-8543-0FF786073E6E}"/>
    <hyperlink ref="AH618" r:id="rId1854" xr:uid="{99E35117-ED00-43CB-91CB-3A18BB1C97FB}"/>
    <hyperlink ref="AH619" r:id="rId1855" xr:uid="{EB6AC6C6-F7DE-48BE-9E12-DE99F9990E7A}"/>
    <hyperlink ref="AH620" r:id="rId1856" xr:uid="{4D892B50-A697-4EAE-BA44-D6C466B6C0F3}"/>
    <hyperlink ref="AH621" r:id="rId1857" xr:uid="{7272EAEC-8BFD-4CA2-A9F4-95326018F65E}"/>
    <hyperlink ref="AH622" r:id="rId1858" xr:uid="{060A963C-3DB2-40EF-942D-FCDAA16C7846}"/>
    <hyperlink ref="AH623" r:id="rId1859" xr:uid="{3ACB4A77-E18E-4BFE-A4E7-214A475FDE61}"/>
    <hyperlink ref="AH624" r:id="rId1860" xr:uid="{29A01444-DA91-4769-8FF2-2F65B1C0CBC9}"/>
    <hyperlink ref="AH625" r:id="rId1861" xr:uid="{429DCDE5-BADD-43C9-A81E-F5F95C5BF468}"/>
    <hyperlink ref="AH626" r:id="rId1862" xr:uid="{534D054B-0A9A-4BB9-B610-AD1016EB8C76}"/>
    <hyperlink ref="AH627" r:id="rId1863" xr:uid="{EB4725E8-2392-4180-9783-CD2F8E01708C}"/>
    <hyperlink ref="AH628" r:id="rId1864" xr:uid="{438EB0F0-E9EC-4A75-B010-E030C3A91D52}"/>
    <hyperlink ref="AH629" r:id="rId1865" xr:uid="{F4E59661-1016-4EDA-9405-E1FD3F94E115}"/>
    <hyperlink ref="AH630" r:id="rId1866" xr:uid="{DA9E9DC5-0A59-4CA8-9ABD-E8E930747336}"/>
    <hyperlink ref="AH631" r:id="rId1867" xr:uid="{50EFE2AA-F3DB-4AB2-9097-F5F274E1F8D3}"/>
    <hyperlink ref="AH632" r:id="rId1868" xr:uid="{F9B48705-00B4-40B4-8108-DA8C0A8DDEBB}"/>
    <hyperlink ref="AH633" r:id="rId1869" xr:uid="{3FBEA6EC-E399-4A69-82AD-0CB10A421FAB}"/>
    <hyperlink ref="AH634" r:id="rId1870" xr:uid="{5182D5CE-3E86-498A-9D05-9FEDECA3A6FA}"/>
    <hyperlink ref="AH635" r:id="rId1871" xr:uid="{6D4EE62B-4B97-4C6F-97B6-AC4806DF996D}"/>
    <hyperlink ref="AH636" r:id="rId1872" xr:uid="{840037E2-CF93-409D-9675-B66E718CD9D8}"/>
    <hyperlink ref="AH637" r:id="rId1873" xr:uid="{B8C78066-393F-4186-B442-40692DA6CC4A}"/>
    <hyperlink ref="AH638" r:id="rId1874" xr:uid="{5CAF2822-CF3A-4783-B2CF-1D1299CC748E}"/>
    <hyperlink ref="AH639" r:id="rId1875" xr:uid="{73020DF7-B01F-45FF-94DC-DF73EEC9DA06}"/>
    <hyperlink ref="AH640" r:id="rId1876" xr:uid="{8D8EF246-40BB-46A4-8F08-02C632BFC15F}"/>
    <hyperlink ref="AH641" r:id="rId1877" xr:uid="{6773F62D-BF5C-4F88-ACE0-F79C597FAE4B}"/>
    <hyperlink ref="AH642" r:id="rId1878" xr:uid="{7C4AD6F1-976E-4021-ABDA-39C4FE8BA282}"/>
    <hyperlink ref="AH643" r:id="rId1879" xr:uid="{5756D251-5FA6-4183-A0B4-30E601F8B87B}"/>
    <hyperlink ref="AH644" r:id="rId1880" xr:uid="{38EAFA76-4E9A-451E-8464-9F76C5F69B10}"/>
    <hyperlink ref="AH645" r:id="rId1881" xr:uid="{30B5EA3F-4B21-4E3A-B5C0-B3CA2C83E3D3}"/>
    <hyperlink ref="AH646" r:id="rId1882" xr:uid="{5E9BA18D-1D6F-4251-A737-6F393216F516}"/>
    <hyperlink ref="AH647" r:id="rId1883" xr:uid="{BBE15F9A-410B-4FD9-9220-E2DD2A6262A9}"/>
    <hyperlink ref="AH648" r:id="rId1884" xr:uid="{F45B1022-031E-4992-AC5E-6E20A547EBB7}"/>
    <hyperlink ref="AH649" r:id="rId1885" xr:uid="{F8539D87-D6C2-4941-89B1-987E72CA57A5}"/>
    <hyperlink ref="AH650" r:id="rId1886" xr:uid="{25EFDF13-AC89-4FB6-9960-1E30EB84E909}"/>
    <hyperlink ref="AH651" r:id="rId1887" xr:uid="{1CE70D25-7CC5-467E-9FE0-D88D5E0FFC1A}"/>
    <hyperlink ref="AH652" r:id="rId1888" xr:uid="{3C4FFFD6-2830-4DAE-8BB0-FAC1B001BBEB}"/>
    <hyperlink ref="AH653" r:id="rId1889" xr:uid="{9C741F44-96AD-4FDB-BB07-8E546FF7A231}"/>
    <hyperlink ref="AH654" r:id="rId1890" xr:uid="{32B2C7DB-8208-4145-8F85-61F778E98C31}"/>
    <hyperlink ref="AH655" r:id="rId1891" xr:uid="{42C440F1-5564-4CDA-ABD3-CA9D8E94A1A9}"/>
    <hyperlink ref="AH656" r:id="rId1892" xr:uid="{A368CEE7-70AE-455F-B738-CFC79C916196}"/>
    <hyperlink ref="AH657" r:id="rId1893" xr:uid="{0A9D17D1-A7C6-4F93-8FEE-3A60F1134BB8}"/>
    <hyperlink ref="AH658" r:id="rId1894" xr:uid="{8E64ACC0-DB33-44F0-8EAE-D19F88A0FE4B}"/>
    <hyperlink ref="AH659" r:id="rId1895" xr:uid="{D34A5350-4BB2-4B5F-BF81-833D456178F5}"/>
    <hyperlink ref="AH660" r:id="rId1896" xr:uid="{485B12A7-AE28-4367-8316-BDB13AD6CE9F}"/>
    <hyperlink ref="AH661" r:id="rId1897" xr:uid="{BC08A1CB-7528-442E-BE18-621FF23BE3E3}"/>
    <hyperlink ref="AH662" r:id="rId1898" xr:uid="{BAA8C231-6947-487A-9C20-FD1999A59CC3}"/>
    <hyperlink ref="AH663" r:id="rId1899" xr:uid="{56889330-C04F-4CF1-A7E4-ED00815590B2}"/>
    <hyperlink ref="AH664" r:id="rId1900" xr:uid="{A751E187-8E7A-460B-8DC0-3FEA9E421855}"/>
    <hyperlink ref="AH665" r:id="rId1901" xr:uid="{EE402FDC-0333-4DDE-918C-8E7DF80C04CF}"/>
    <hyperlink ref="AH666" r:id="rId1902" xr:uid="{98982A90-8799-4F21-BEDF-35A029E013D8}"/>
    <hyperlink ref="AH667" r:id="rId1903" xr:uid="{A91FF388-30BF-4FC1-AF40-18E9446FE854}"/>
    <hyperlink ref="AH668" r:id="rId1904" xr:uid="{948ECE86-D5D6-44E6-AD49-7F925A03D706}"/>
    <hyperlink ref="AH669" r:id="rId1905" xr:uid="{D9BA7A77-2756-48BE-B02E-52262A578196}"/>
    <hyperlink ref="AH670" r:id="rId1906" xr:uid="{346858B7-152A-43B0-96CD-6083EF4CDEE4}"/>
    <hyperlink ref="AH671" r:id="rId1907" xr:uid="{91A2A118-89E3-4540-BA36-B04F8DE7F1C7}"/>
    <hyperlink ref="AH672" r:id="rId1908" xr:uid="{D00A618D-4907-473B-A1B3-5DFA3D0FCA21}"/>
    <hyperlink ref="AH673" r:id="rId1909" xr:uid="{E78D3F1B-54DE-4E65-91C7-2F0B82652966}"/>
    <hyperlink ref="AH674" r:id="rId1910" xr:uid="{A5F232F7-1920-41B8-BBA4-6908CAD06B33}"/>
    <hyperlink ref="AH675" r:id="rId1911" xr:uid="{557B5953-5748-4C20-86E9-F5AD954B64F7}"/>
    <hyperlink ref="AH676" r:id="rId1912" xr:uid="{D98DAD0C-A90C-423B-8FC2-5427A7F167DB}"/>
    <hyperlink ref="AH677" r:id="rId1913" xr:uid="{B4634729-5AC0-4DD8-962A-6E4B20CAEB7F}"/>
    <hyperlink ref="AH678" r:id="rId1914" xr:uid="{E288D134-BF5B-4FB0-9CF7-3F7AD82EB0DA}"/>
    <hyperlink ref="AH679" r:id="rId1915" xr:uid="{ED682185-4AB6-42C9-A62F-1877635992FB}"/>
    <hyperlink ref="AH680" r:id="rId1916" xr:uid="{899E3E21-71A4-46B9-8FF6-F0F5D90B32F8}"/>
    <hyperlink ref="AH681" r:id="rId1917" xr:uid="{49E68FD4-87B2-462B-A249-52D24D9B8AB7}"/>
    <hyperlink ref="AH682" r:id="rId1918" xr:uid="{AB540A04-18DE-46C7-99EB-552289C02985}"/>
    <hyperlink ref="AH683" r:id="rId1919" xr:uid="{9140AEAB-8B97-43FC-8E26-29768C037E23}"/>
    <hyperlink ref="AH684" r:id="rId1920" xr:uid="{ECB8E129-1C7A-4303-BE4B-14EB194887B2}"/>
    <hyperlink ref="AH685" r:id="rId1921" xr:uid="{A21E609B-C69A-4A2E-9E64-D09320E6740F}"/>
    <hyperlink ref="AH686" r:id="rId1922" xr:uid="{AF979529-EB15-419F-A1D7-5B4592F4C5D1}"/>
    <hyperlink ref="AH687" r:id="rId1923" xr:uid="{C1130879-47C3-4938-956B-C83A1A646839}"/>
    <hyperlink ref="AH688" r:id="rId1924" xr:uid="{A5500DE7-4CCD-4358-88BE-11FE41883B64}"/>
    <hyperlink ref="AH689" r:id="rId1925" xr:uid="{291F519A-78C3-46C5-B506-6454FBCF16AD}"/>
    <hyperlink ref="AH690" r:id="rId1926" xr:uid="{C106C529-4150-4B1D-85F5-54D37FFC43C4}"/>
    <hyperlink ref="AH691" r:id="rId1927" xr:uid="{57CBD085-6C25-4157-AB8D-4A3971B5E105}"/>
    <hyperlink ref="AH692" r:id="rId1928" xr:uid="{B189220C-3892-4329-A50F-DA80EE5A5204}"/>
    <hyperlink ref="AH693" r:id="rId1929" xr:uid="{8B710A9C-AD30-409C-9F6F-E06BF26225D2}"/>
    <hyperlink ref="AH694" r:id="rId1930" xr:uid="{4142D9A4-0E4B-4751-B740-913AD71C08A7}"/>
    <hyperlink ref="AH695" r:id="rId1931" xr:uid="{DC703BBE-6455-46D2-A2A1-C2B4F81FCC5F}"/>
    <hyperlink ref="AH696" r:id="rId1932" xr:uid="{7C7A5AD0-917C-44D2-890F-B389FCA0395D}"/>
    <hyperlink ref="AH697" r:id="rId1933" xr:uid="{D91E3685-B7FD-49F7-A88C-EEF56412325F}"/>
    <hyperlink ref="AH698" r:id="rId1934" xr:uid="{0E830604-6293-41A7-A125-132E891F234F}"/>
    <hyperlink ref="AH699" r:id="rId1935" xr:uid="{E9CD6568-F4E5-47AC-9AF4-77440C4BEEDC}"/>
    <hyperlink ref="AH700" r:id="rId1936" xr:uid="{12DE250E-044D-4DB4-A424-3C78EC9CF324}"/>
    <hyperlink ref="AH701" r:id="rId1937" xr:uid="{4CEB3197-80D0-44B1-9F01-5A32E8500A3E}"/>
    <hyperlink ref="AH702" r:id="rId1938" xr:uid="{22D6BD49-83BD-4C40-B45B-7BF623571198}"/>
    <hyperlink ref="AH703" r:id="rId1939" xr:uid="{0A0C9604-0A15-45CE-A35C-BD7FBA8E188D}"/>
    <hyperlink ref="AH704" r:id="rId1940" xr:uid="{6FA318B0-0B50-4E10-94AD-AF35F1ABCEB5}"/>
    <hyperlink ref="AH705" r:id="rId1941" xr:uid="{A48C1056-F953-4084-B32D-06F489DF8555}"/>
    <hyperlink ref="AH706" r:id="rId1942" xr:uid="{54B3DFD7-CF99-4562-BE52-3E61B422635D}"/>
    <hyperlink ref="AH707" r:id="rId1943" xr:uid="{7C5843A8-1155-43BC-9791-E764BDB66C30}"/>
    <hyperlink ref="AH708" r:id="rId1944" xr:uid="{20E54420-469D-4C35-84BC-3A0DB3A90641}"/>
    <hyperlink ref="AH709" r:id="rId1945" xr:uid="{5A9ABD84-6CA4-4D13-BED3-69D6060D5076}"/>
    <hyperlink ref="AH710" r:id="rId1946" xr:uid="{017F9BF2-610F-4113-A871-9770EB93575E}"/>
    <hyperlink ref="AH711" r:id="rId1947" xr:uid="{B87A2176-BEDD-41E1-AF12-8E74500E4FC1}"/>
    <hyperlink ref="AH712" r:id="rId1948" xr:uid="{078367BB-CA54-49CC-AD6C-7153D175A519}"/>
    <hyperlink ref="AH713" r:id="rId1949" xr:uid="{1F044181-F850-45D6-98F9-747DBD0153D7}"/>
    <hyperlink ref="AH714" r:id="rId1950" xr:uid="{94F37B17-C1BB-427D-A0EE-586AC367D8AD}"/>
    <hyperlink ref="AH715" r:id="rId1951" xr:uid="{631B098B-9EE8-4441-B2C4-5E66BE6DBBB1}"/>
    <hyperlink ref="AH716" r:id="rId1952" xr:uid="{EB28C731-265E-4287-8733-0E97187221CF}"/>
    <hyperlink ref="AH717" r:id="rId1953" xr:uid="{CF7FD771-7A63-45F8-B511-28C71E2908B7}"/>
    <hyperlink ref="AH718" r:id="rId1954" xr:uid="{2B1128C0-73F6-4AA3-B50E-6E352DE9FB29}"/>
    <hyperlink ref="AH719" r:id="rId1955" xr:uid="{95BF506B-2472-4DF0-A9BC-21973F683E0F}"/>
    <hyperlink ref="AH720" r:id="rId1956" xr:uid="{015C3DC1-1E79-49B6-9FD4-4273D386BDB4}"/>
    <hyperlink ref="AH721" r:id="rId1957" xr:uid="{1C39022B-A816-4A3E-A03E-E0DF5A41275C}"/>
    <hyperlink ref="AH722" r:id="rId1958" xr:uid="{85B91362-9B63-4012-A57B-2E07F8D228D2}"/>
    <hyperlink ref="AH723" r:id="rId1959" xr:uid="{470DD76A-3014-4439-BB9E-A0233437A9AC}"/>
    <hyperlink ref="AH724" r:id="rId1960" xr:uid="{FE381EE5-49D4-47F9-97BB-EE97026954F2}"/>
    <hyperlink ref="AH725" r:id="rId1961" xr:uid="{CAEE8546-8F9F-4428-98F8-F1432A3110E2}"/>
    <hyperlink ref="AH726" r:id="rId1962" xr:uid="{6116E9F8-2A3B-4AC4-9435-81AED9C3782D}"/>
    <hyperlink ref="AH727" r:id="rId1963" xr:uid="{DC8E7998-431D-4368-9EDF-8E09DC31B028}"/>
    <hyperlink ref="AH728" r:id="rId1964" xr:uid="{3BCD1E73-0EAB-4B0C-A8D4-6DE1FE659B65}"/>
    <hyperlink ref="AH729" r:id="rId1965" xr:uid="{DF7AE283-9F68-4FF2-8221-59AFA117ECD3}"/>
    <hyperlink ref="AH730" r:id="rId1966" xr:uid="{03A828C3-09E6-4DA2-9D11-64F3EA07780E}"/>
    <hyperlink ref="AH731" r:id="rId1967" xr:uid="{8835E1DE-78AF-4391-8D37-B97695F051D8}"/>
    <hyperlink ref="AH732" r:id="rId1968" xr:uid="{F7B957F8-D116-4F1D-839B-0FB542D7CF5D}"/>
    <hyperlink ref="AH733" r:id="rId1969" xr:uid="{B8027A66-273C-4A4B-A85B-3B776EE654B0}"/>
    <hyperlink ref="AH734" r:id="rId1970" xr:uid="{D3F6C7FE-24A3-40CF-A7EA-EBCD6EA7423D}"/>
    <hyperlink ref="AH735" r:id="rId1971" xr:uid="{B42B950E-EC69-4FA8-BA36-96891EA98EAF}"/>
    <hyperlink ref="AH736" r:id="rId1972" xr:uid="{CFBC3186-9E2E-4508-BE92-2566E608BC0E}"/>
    <hyperlink ref="AH737" r:id="rId1973" xr:uid="{5874FCD1-4787-4767-A91E-0A4E77371AEF}"/>
    <hyperlink ref="AH738" r:id="rId1974" xr:uid="{1433ADDE-D8BB-4634-AADB-6B4E0391C6CA}"/>
    <hyperlink ref="AH739" r:id="rId1975" xr:uid="{8CFDBD00-2375-4B4B-A3D4-45AFF858E698}"/>
    <hyperlink ref="AH740" r:id="rId1976" xr:uid="{2E7FB859-1496-4DE8-A0FF-1233930332A6}"/>
    <hyperlink ref="AH741" r:id="rId1977" xr:uid="{29274D01-683E-47A8-9CA5-A4068F9B7009}"/>
    <hyperlink ref="AH742" r:id="rId1978" xr:uid="{DF881E99-FE8A-4FC7-B014-4B8F527DA307}"/>
    <hyperlink ref="AH743" r:id="rId1979" xr:uid="{F02DB9EA-1757-4816-ABF2-4153D1FB778A}"/>
    <hyperlink ref="AH744" r:id="rId1980" xr:uid="{37E70E6B-CA71-4FA4-B6F3-E92D3C80DE35}"/>
    <hyperlink ref="AH745" r:id="rId1981" xr:uid="{305DC107-D6A0-45B8-B5D1-8A7FA4D6F663}"/>
    <hyperlink ref="AH746" r:id="rId1982" xr:uid="{4D562CB0-6EA9-4053-B43F-877A75214EA7}"/>
    <hyperlink ref="AH747" r:id="rId1983" xr:uid="{472886E7-7019-48E0-B17D-30A5B4E50D13}"/>
    <hyperlink ref="AH748" r:id="rId1984" xr:uid="{E3AAC2EB-480D-43A9-A903-4B91A68F632E}"/>
    <hyperlink ref="AH749" r:id="rId1985" xr:uid="{910457AA-F81B-483D-876D-04689B9F76ED}"/>
    <hyperlink ref="AH750" r:id="rId1986" xr:uid="{AB3DCDAF-6EA5-4E12-9296-04D068BA44D0}"/>
    <hyperlink ref="AH751" r:id="rId1987" xr:uid="{C04B3284-E5BB-4451-B702-C9750CE7BCE9}"/>
    <hyperlink ref="AH752" r:id="rId1988" xr:uid="{25AD386B-545B-42AB-87FF-754E4D65D61D}"/>
    <hyperlink ref="AH753" r:id="rId1989" xr:uid="{5B04638E-5FD0-4DD8-A3EE-A8C2367E0602}"/>
    <hyperlink ref="AH754" r:id="rId1990" xr:uid="{EB4F0401-1E4A-4836-A93B-49013D5B82B4}"/>
    <hyperlink ref="AH755" r:id="rId1991" xr:uid="{CD1C5BC8-4DBD-4832-BFCC-403EB7225A58}"/>
    <hyperlink ref="AH756" r:id="rId1992" xr:uid="{3F0943E2-2BD1-4B2E-9A12-13124E035568}"/>
    <hyperlink ref="AH757" r:id="rId1993" xr:uid="{46BD9F43-CCBD-4E10-8E3B-409C679805C2}"/>
    <hyperlink ref="AH758" r:id="rId1994" xr:uid="{8A79AA8C-FA9C-4271-9956-CAF8C09F3C76}"/>
    <hyperlink ref="AH759" r:id="rId1995" xr:uid="{DE0FCB61-B4B7-4B8F-97D4-CD8690C9F57C}"/>
    <hyperlink ref="AH760" r:id="rId1996" xr:uid="{F15E4D18-97AF-4B9F-BF70-348518ED9F19}"/>
    <hyperlink ref="AH761" r:id="rId1997" xr:uid="{0F449486-C4E1-4DA0-9459-46EEFAA7388A}"/>
    <hyperlink ref="AH762" r:id="rId1998" xr:uid="{AC1759D0-61A5-49F0-AFBF-9ED25F6C59BE}"/>
    <hyperlink ref="AH763" r:id="rId1999" xr:uid="{9A8E7C14-86D6-4089-92F1-3D1EC09E5789}"/>
    <hyperlink ref="AH764" r:id="rId2000" xr:uid="{93ED1A87-FC17-4969-8995-DBCE4B09414F}"/>
    <hyperlink ref="AH765" r:id="rId2001" xr:uid="{53B7A095-4AA6-4C87-8677-0CCFE80917BD}"/>
    <hyperlink ref="AH766" r:id="rId2002" xr:uid="{3FC5D1ED-C9E9-47E4-8E18-C1868961CE8E}"/>
    <hyperlink ref="AH767" r:id="rId2003" xr:uid="{FB3187BF-09DC-4FAA-BA3A-2608BE26D33D}"/>
    <hyperlink ref="AH768" r:id="rId2004" xr:uid="{BB14AD26-93F7-4856-87CB-0CCED570A545}"/>
    <hyperlink ref="AH769" r:id="rId2005" xr:uid="{EFA5DC0C-C343-403A-BFCD-A0A0DC9081F5}"/>
    <hyperlink ref="AH770" r:id="rId2006" xr:uid="{451999DC-5938-4B40-B635-888F69A3E250}"/>
    <hyperlink ref="AH771" r:id="rId2007" xr:uid="{B924B3A3-07F7-4DF2-B8F5-4EE2E6115116}"/>
    <hyperlink ref="AH772" r:id="rId2008" xr:uid="{7601A0C2-D73D-4EE4-AA47-FE234633F975}"/>
    <hyperlink ref="AH773" r:id="rId2009" xr:uid="{51400EB7-A0C8-4705-A94B-CEDD217B0758}"/>
    <hyperlink ref="AH774" r:id="rId2010" xr:uid="{41B1AA98-C410-487A-856B-5EAEC859B5FB}"/>
    <hyperlink ref="AH775" r:id="rId2011" xr:uid="{8281AC9B-5431-4A24-909D-FBBF004B268A}"/>
    <hyperlink ref="AH776" r:id="rId2012" xr:uid="{5B12951A-88B0-4D4F-A646-0DE10FB2E1F3}"/>
    <hyperlink ref="AH777" r:id="rId2013" xr:uid="{4B756E88-AACD-4D03-B074-66193C6B7A2E}"/>
    <hyperlink ref="AH778" r:id="rId2014" xr:uid="{E35B528A-7C6A-4CB5-B68C-9D0C9A1A9BA1}"/>
    <hyperlink ref="AH779" r:id="rId2015" xr:uid="{D61EEA6D-8D3A-46BE-83CB-AAC00A22E50C}"/>
    <hyperlink ref="AH780" r:id="rId2016" xr:uid="{7B49DB19-2946-46B1-B0FB-5903C73DAF7E}"/>
    <hyperlink ref="AH781" r:id="rId2017" xr:uid="{E9513856-1F38-48B4-9E9F-4235B24BCC65}"/>
    <hyperlink ref="AH782" r:id="rId2018" xr:uid="{03D005D8-6895-4070-8F2B-2FF32A0F87FC}"/>
    <hyperlink ref="AH783" r:id="rId2019" xr:uid="{3E33F428-24A0-476B-9C4A-C318660EFECC}"/>
    <hyperlink ref="AH784" r:id="rId2020" xr:uid="{41D3D7A4-11E6-4CD8-BEFC-CE5259A8270B}"/>
    <hyperlink ref="AH785" r:id="rId2021" xr:uid="{F60AC8A7-0DDC-4CF2-A0AF-F08754E0059A}"/>
    <hyperlink ref="AH786" r:id="rId2022" xr:uid="{D04A9DF2-A917-4D1C-BF8F-098419949613}"/>
    <hyperlink ref="AH787" r:id="rId2023" xr:uid="{CE38C476-69E0-4EA2-AE07-2F86B4717599}"/>
    <hyperlink ref="AH788" r:id="rId2024" xr:uid="{29DF6814-90C0-452D-BE34-D65D9663EA08}"/>
    <hyperlink ref="AH789" r:id="rId2025" xr:uid="{070ECF73-E490-40D7-A2EF-C3634B54BFA9}"/>
    <hyperlink ref="AH790" r:id="rId2026" xr:uid="{8AC5BBD5-A0D5-4CD9-8270-07A6450C0261}"/>
    <hyperlink ref="AH791" r:id="rId2027" xr:uid="{7636ED67-4010-4606-ABFF-F36C34A7DD44}"/>
    <hyperlink ref="AH792" r:id="rId2028" xr:uid="{1531AC2F-A32F-4EE4-AE6C-6BB07B5E1AF0}"/>
    <hyperlink ref="AH793" r:id="rId2029" xr:uid="{B0811777-3848-41EB-A755-E57876C47789}"/>
    <hyperlink ref="AH794" r:id="rId2030" xr:uid="{0DAE0C2B-DCCF-49AA-B8C7-A5A1560C3B1A}"/>
    <hyperlink ref="AH795" r:id="rId2031" xr:uid="{0C9ED21B-87A6-4307-9D18-E76ADF1E0464}"/>
    <hyperlink ref="AH796" r:id="rId2032" xr:uid="{04769BDC-50A4-4C47-80ED-4D9A6CC452B9}"/>
    <hyperlink ref="AH797" r:id="rId2033" xr:uid="{3037463E-0E5E-4710-AC19-6FBED157A09F}"/>
    <hyperlink ref="AH798" r:id="rId2034" xr:uid="{7E9DC23A-2716-4343-B180-8069003F713A}"/>
    <hyperlink ref="AH799" r:id="rId2035" xr:uid="{36C17AA2-88E7-4A86-BB8E-2B0D87609B56}"/>
    <hyperlink ref="AH800" r:id="rId2036" xr:uid="{74A777F9-33E3-4A7B-80D5-41C11D7EE561}"/>
    <hyperlink ref="AH801" r:id="rId2037" xr:uid="{0491A80E-54CE-43A3-B8AE-9586CD3E2E74}"/>
    <hyperlink ref="AH802" r:id="rId2038" xr:uid="{2D9DE236-A6D3-4966-8AD5-42382AA7CFD9}"/>
    <hyperlink ref="AH803" r:id="rId2039" xr:uid="{CA5F42F4-F63E-4F43-B3CB-5093569321C9}"/>
    <hyperlink ref="AH804" r:id="rId2040" xr:uid="{E016EBA0-CBF5-4F41-9110-F7CF8D28C564}"/>
    <hyperlink ref="AH805" r:id="rId2041" xr:uid="{8DEDEB1D-D3C9-4C06-8C55-166DD196902A}"/>
    <hyperlink ref="AH806" r:id="rId2042" xr:uid="{F43558BC-14CF-4B20-855F-C7CBC23FCD2F}"/>
    <hyperlink ref="AH807" r:id="rId2043" xr:uid="{E5F71028-365D-4E1A-A5AC-E19E4D830DBA}"/>
    <hyperlink ref="AH808" r:id="rId2044" xr:uid="{260F8B8B-01CD-4338-BCAE-8E8EA609F1E6}"/>
    <hyperlink ref="AH809" r:id="rId2045" xr:uid="{53D357CD-3ECF-4901-B40F-90AC23D4D1E0}"/>
    <hyperlink ref="AH810" r:id="rId2046" xr:uid="{05C3BDEE-39A1-4026-B851-3C13249CF4F8}"/>
    <hyperlink ref="AD847" r:id="rId2047" xr:uid="{F3A9B3E0-E9B9-4485-AE73-9A674363BB53}"/>
    <hyperlink ref="AD853" r:id="rId2048" xr:uid="{C2C10F89-458C-41D7-AA7A-93954AC201E9}"/>
    <hyperlink ref="AD848" r:id="rId2049" xr:uid="{FECDFD71-571B-4BEF-B045-F6398284D882}"/>
    <hyperlink ref="AD849" r:id="rId2050" xr:uid="{7AD5ADA9-D1E3-4FBA-A146-6F69B94DDC2E}"/>
    <hyperlink ref="AD850" r:id="rId2051" xr:uid="{FC62CAC3-695C-4405-9BA9-B2C8ADA0C6B2}"/>
    <hyperlink ref="AD851" r:id="rId2052" xr:uid="{C3392EFC-3E7E-4DD2-B15E-C0BDACEA8AF8}"/>
    <hyperlink ref="AD852" r:id="rId2053" xr:uid="{5B4A577D-FF4A-4833-B8CB-90C613BDAB54}"/>
    <hyperlink ref="AD854" r:id="rId2054" xr:uid="{4B14687C-369A-46C0-AA74-633E955F8E36}"/>
    <hyperlink ref="AD855" r:id="rId2055" xr:uid="{64D5BB51-62B4-41AA-A793-5D0E9126A56F}"/>
    <hyperlink ref="AD856" r:id="rId2056" xr:uid="{070921C6-A126-4283-AEB9-542F8A5EF165}"/>
    <hyperlink ref="AD857" r:id="rId2057" xr:uid="{5047347B-26BF-4E3F-946C-26DE4910F4EC}"/>
    <hyperlink ref="AD858" r:id="rId2058" xr:uid="{5FC958F1-0146-49B5-8F86-076CE749CE07}"/>
    <hyperlink ref="AF847" r:id="rId2059" xr:uid="{E5FB4186-58D9-447C-9118-0A18B07B3C95}"/>
    <hyperlink ref="AF853" r:id="rId2060" xr:uid="{1E93D597-04F8-4F78-A8E7-3CAE7B0FD27C}"/>
    <hyperlink ref="AF848" r:id="rId2061" xr:uid="{E5104594-B429-42A9-AD3A-D23DCCBC75CD}"/>
    <hyperlink ref="AF849" r:id="rId2062" xr:uid="{C5C7BFC4-86CA-495C-AF74-29E0E3C619A7}"/>
    <hyperlink ref="AF850" r:id="rId2063" xr:uid="{22009418-3B8F-4817-BC78-0914DA5264E3}"/>
    <hyperlink ref="AF851" r:id="rId2064" xr:uid="{B1CB748F-8CCE-4A9A-B0AF-3A651329F1D5}"/>
    <hyperlink ref="AF852" r:id="rId2065" xr:uid="{449AD7D6-F736-4D30-A529-BF59204401B2}"/>
    <hyperlink ref="AF854" r:id="rId2066" xr:uid="{55B3FCE7-0047-4435-85C9-A89AEF1F6C7B}"/>
    <hyperlink ref="AF855" r:id="rId2067" xr:uid="{D45F3ABA-142E-4B69-859C-F63A71F8666A}"/>
    <hyperlink ref="AF856" r:id="rId2068" xr:uid="{7A3EC107-7798-41A3-AD25-C9B9E607FF35}"/>
    <hyperlink ref="AF857" r:id="rId2069" xr:uid="{767E7063-E565-4967-8989-8D21ADAFD8F8}"/>
    <hyperlink ref="AF858" r:id="rId2070" xr:uid="{42844419-3BC4-4B6F-83AF-2830E388DC0D}"/>
    <hyperlink ref="AH847" r:id="rId2071" xr:uid="{ACA37164-4D48-4221-8347-B2B0B6FD272C}"/>
    <hyperlink ref="AH853" r:id="rId2072" xr:uid="{AC49063A-4D68-4E6F-A0E9-6633E3FB58E2}"/>
    <hyperlink ref="AH848" r:id="rId2073" xr:uid="{0325B4E1-3845-4273-9402-33AEA4DFD895}"/>
    <hyperlink ref="AH849" r:id="rId2074" xr:uid="{73A1A26C-BB2C-4A04-BA0B-16D0B9F3525A}"/>
    <hyperlink ref="AH850" r:id="rId2075" xr:uid="{E7CA9B7D-65AD-49A5-AF7A-C566355E3974}"/>
    <hyperlink ref="AH851" r:id="rId2076" xr:uid="{F9D08A5A-9838-42F3-9409-2FB1B059E5E2}"/>
    <hyperlink ref="AH852" r:id="rId2077" xr:uid="{6E46DBAA-D495-4565-941D-6EBB3E37C140}"/>
    <hyperlink ref="AH854" r:id="rId2078" xr:uid="{9DE21D4A-31FD-4416-B680-97DAC8584630}"/>
    <hyperlink ref="AH855" r:id="rId2079" xr:uid="{97C2F664-A207-410E-89DB-4B88DF3BA758}"/>
    <hyperlink ref="AH856" r:id="rId2080" xr:uid="{8BFD7729-811A-41C2-9BA7-2F328CA89723}"/>
    <hyperlink ref="AH857" r:id="rId2081" xr:uid="{CE54A770-50C8-4F2A-9C35-18E6DC631FF0}"/>
    <hyperlink ref="AH858" r:id="rId2082" xr:uid="{270E966C-7041-4CF4-A59F-8FB543433F26}"/>
  </hyperlinks>
  <pageMargins left="0.7" right="0.7" top="0.75" bottom="0.75" header="0.3" footer="0.3"/>
  <legacyDrawing r:id="rId2083"/>
  <tableParts count="1">
    <tablePart r:id="rId208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CE52A-43B5-4551-B520-449E6B1505C0}">
  <dimension ref="A1:J25"/>
  <sheetViews>
    <sheetView workbookViewId="0">
      <selection activeCell="N17" sqref="N17"/>
    </sheetView>
  </sheetViews>
  <sheetFormatPr defaultRowHeight="15"/>
  <cols>
    <col min="1" max="1" width="7.85546875" customWidth="1"/>
    <col min="2" max="2" width="11.7109375" customWidth="1"/>
    <col min="3" max="3" width="28.28515625" bestFit="1" customWidth="1"/>
    <col min="4" max="4" width="18" customWidth="1"/>
    <col min="5" max="5" width="19" bestFit="1" customWidth="1"/>
    <col min="6" max="6" width="20.5703125" bestFit="1" customWidth="1"/>
    <col min="7" max="7" width="13" customWidth="1"/>
    <col min="8" max="8" width="10.42578125" customWidth="1"/>
    <col min="9" max="9" width="12" customWidth="1"/>
    <col min="10" max="10" width="25.7109375" customWidth="1"/>
  </cols>
  <sheetData>
    <row r="1" spans="1:10">
      <c r="A1" s="95" t="s">
        <v>16</v>
      </c>
      <c r="B1" s="95" t="s">
        <v>0</v>
      </c>
      <c r="C1" s="95" t="s">
        <v>29</v>
      </c>
      <c r="D1" s="95" t="s">
        <v>4</v>
      </c>
      <c r="E1" s="95" t="s">
        <v>1</v>
      </c>
      <c r="F1" s="95" t="s">
        <v>2</v>
      </c>
      <c r="G1" s="99" t="s">
        <v>3</v>
      </c>
      <c r="H1" s="95" t="s">
        <v>27</v>
      </c>
      <c r="I1" s="95" t="s">
        <v>26</v>
      </c>
      <c r="J1" s="95" t="s">
        <v>491</v>
      </c>
    </row>
    <row r="2" spans="1:10">
      <c r="A2" s="96">
        <v>1</v>
      </c>
      <c r="B2" s="96" t="s">
        <v>509</v>
      </c>
      <c r="C2" s="97" t="str">
        <f>Table3[[#This Row],[District]]&amp;Table3[[#This Row],[Plot]]&amp;Table3[[#This Row],[Stakeholder]]</f>
        <v>Al Jimi5_10_11_27_DOH</v>
      </c>
      <c r="D2" t="s">
        <v>129</v>
      </c>
      <c r="E2" t="s">
        <v>440</v>
      </c>
      <c r="F2" t="s">
        <v>441</v>
      </c>
      <c r="G2" s="100" t="s">
        <v>442</v>
      </c>
      <c r="H2">
        <v>24.23394</v>
      </c>
      <c r="I2">
        <v>55.72381</v>
      </c>
      <c r="J2" s="98" t="s">
        <v>507</v>
      </c>
    </row>
    <row r="3" spans="1:10">
      <c r="A3" s="96">
        <v>2</v>
      </c>
      <c r="B3" s="96" t="s">
        <v>510</v>
      </c>
      <c r="C3" s="97" t="str">
        <f>Table3[[#This Row],[District]]&amp;Table3[[#This Row],[Plot]]&amp;Table3[[#This Row],[Stakeholder]]</f>
        <v>FALAJ HAZZA'25_4_19_7_DOH</v>
      </c>
      <c r="D3" t="s">
        <v>129</v>
      </c>
      <c r="E3" t="s">
        <v>443</v>
      </c>
      <c r="F3" t="s">
        <v>444</v>
      </c>
      <c r="G3" t="s">
        <v>445</v>
      </c>
      <c r="H3">
        <v>24.187850000000001</v>
      </c>
      <c r="I3">
        <v>55.737270000000002</v>
      </c>
      <c r="J3" s="98" t="s">
        <v>507</v>
      </c>
    </row>
    <row r="4" spans="1:10">
      <c r="A4" s="96">
        <v>3</v>
      </c>
      <c r="B4" s="96" t="s">
        <v>511</v>
      </c>
      <c r="C4" s="24" t="str">
        <f>Table3[[#This Row],[District]]&amp;Table3[[#This Row],[Plot]]&amp;Table3[[#This Row],[Stakeholder]]</f>
        <v>AL DHAHRAH85_1_2_48_DOH</v>
      </c>
      <c r="D4" t="s">
        <v>129</v>
      </c>
      <c r="E4" t="s">
        <v>446</v>
      </c>
      <c r="F4" t="s">
        <v>447</v>
      </c>
      <c r="G4" t="s">
        <v>448</v>
      </c>
      <c r="H4">
        <v>24.002310000000001</v>
      </c>
      <c r="I4">
        <v>55.566110000000002</v>
      </c>
      <c r="J4" s="98" t="s">
        <v>507</v>
      </c>
    </row>
    <row r="5" spans="1:10">
      <c r="A5" s="96">
        <v>4</v>
      </c>
      <c r="B5" s="96" t="s">
        <v>512</v>
      </c>
      <c r="C5" s="24" t="str">
        <f>Table3[[#This Row],[District]]&amp;Table3[[#This Row],[Plot]]&amp;Table3[[#This Row],[Stakeholder]]</f>
        <v>Khalifa CitySE26_01_C22DMT</v>
      </c>
      <c r="D5" t="s">
        <v>8</v>
      </c>
      <c r="E5" t="s">
        <v>88</v>
      </c>
      <c r="F5" t="s">
        <v>449</v>
      </c>
      <c r="G5" t="s">
        <v>450</v>
      </c>
      <c r="H5">
        <v>24.403970000000001</v>
      </c>
      <c r="I5">
        <v>54.593600000000002</v>
      </c>
      <c r="J5" s="98" t="s">
        <v>508</v>
      </c>
    </row>
    <row r="6" spans="1:10">
      <c r="A6" s="96">
        <v>5</v>
      </c>
      <c r="B6" s="96" t="s">
        <v>513</v>
      </c>
      <c r="C6" s="24" t="str">
        <f>Table3[[#This Row],[District]]&amp;Table3[[#This Row],[Plot]]&amp;Table3[[#This Row],[Stakeholder]]</f>
        <v>Shakbout CityMSH31_P2DMT</v>
      </c>
      <c r="D6" t="s">
        <v>8</v>
      </c>
      <c r="E6" t="s">
        <v>451</v>
      </c>
      <c r="F6" t="s">
        <v>452</v>
      </c>
      <c r="G6" t="s">
        <v>452</v>
      </c>
      <c r="H6">
        <v>24.39076</v>
      </c>
      <c r="I6">
        <v>54.65343</v>
      </c>
      <c r="J6" s="98" t="s">
        <v>508</v>
      </c>
    </row>
    <row r="7" spans="1:10">
      <c r="A7" s="96">
        <v>6</v>
      </c>
      <c r="B7" s="96" t="s">
        <v>514</v>
      </c>
      <c r="C7" s="24" t="str">
        <f>Table3[[#This Row],[District]]&amp;Table3[[#This Row],[Plot]]&amp;Table3[[#This Row],[Stakeholder]]</f>
        <v>Al FalahP14DMT</v>
      </c>
      <c r="D7" t="s">
        <v>8</v>
      </c>
      <c r="E7" t="s">
        <v>453</v>
      </c>
      <c r="F7" t="s">
        <v>454</v>
      </c>
      <c r="G7" t="s">
        <v>455</v>
      </c>
      <c r="H7">
        <v>24.420010000000001</v>
      </c>
      <c r="I7">
        <v>54.697789999999998</v>
      </c>
      <c r="J7" s="98" t="s">
        <v>508</v>
      </c>
    </row>
    <row r="8" spans="1:10">
      <c r="A8" s="96">
        <v>7</v>
      </c>
      <c r="B8" s="96" t="s">
        <v>515</v>
      </c>
      <c r="C8" s="24" t="str">
        <f>Table3[[#This Row],[District]]&amp;Table3[[#This Row],[Plot]]&amp;Table3[[#This Row],[Stakeholder]]</f>
        <v>Al FalahC2DMT</v>
      </c>
      <c r="D8" t="s">
        <v>8</v>
      </c>
      <c r="E8" t="s">
        <v>453</v>
      </c>
      <c r="F8" t="s">
        <v>456</v>
      </c>
      <c r="G8" t="s">
        <v>457</v>
      </c>
      <c r="H8">
        <v>24.422609999999999</v>
      </c>
      <c r="I8">
        <v>54.730370000000001</v>
      </c>
      <c r="J8" s="98" t="s">
        <v>508</v>
      </c>
    </row>
    <row r="9" spans="1:10">
      <c r="A9" s="96">
        <v>8</v>
      </c>
      <c r="B9" s="96" t="s">
        <v>516</v>
      </c>
      <c r="C9" s="24" t="str">
        <f>Table3[[#This Row],[District]]&amp;Table3[[#This Row],[Plot]]&amp;Table3[[#This Row],[Stakeholder]]</f>
        <v>AL SHAHAMAH NEWP1DMT</v>
      </c>
      <c r="D9" t="s">
        <v>8</v>
      </c>
      <c r="E9" t="s">
        <v>458</v>
      </c>
      <c r="F9" t="s">
        <v>459</v>
      </c>
      <c r="G9" t="s">
        <v>9</v>
      </c>
      <c r="H9">
        <v>24.54569</v>
      </c>
      <c r="I9">
        <v>54.687040000000003</v>
      </c>
      <c r="J9" s="98" t="s">
        <v>508</v>
      </c>
    </row>
    <row r="10" spans="1:10">
      <c r="A10" s="96">
        <v>9</v>
      </c>
      <c r="B10" s="96" t="s">
        <v>517</v>
      </c>
      <c r="C10" s="97" t="str">
        <f>Table3[[#This Row],[District]]&amp;Table3[[#This Row],[Plot]]&amp;Table3[[#This Row],[Stakeholder]]</f>
        <v>AL BAHYAH	C16aDMT</v>
      </c>
      <c r="D10" t="s">
        <v>8</v>
      </c>
      <c r="E10" t="s">
        <v>460</v>
      </c>
      <c r="F10" t="s">
        <v>461</v>
      </c>
      <c r="G10" t="s">
        <v>462</v>
      </c>
      <c r="H10">
        <v>24.56259</v>
      </c>
      <c r="I10">
        <v>54.636780000000002</v>
      </c>
      <c r="J10" s="98" t="s">
        <v>508</v>
      </c>
    </row>
    <row r="11" spans="1:10">
      <c r="A11" s="96">
        <v>10</v>
      </c>
      <c r="B11" s="96" t="s">
        <v>518</v>
      </c>
      <c r="C11" s="24" t="str">
        <f>Table3[[#This Row],[District]]&amp;Table3[[#This Row],[Plot]]&amp;Table3[[#This Row],[Stakeholder]]</f>
        <v xml:space="preserve">	AL RAHBAHC2DMT</v>
      </c>
      <c r="D11" t="s">
        <v>8</v>
      </c>
      <c r="E11" t="s">
        <v>463</v>
      </c>
      <c r="F11" t="s">
        <v>464</v>
      </c>
      <c r="G11" t="s">
        <v>457</v>
      </c>
      <c r="H11">
        <v>24.575970000000002</v>
      </c>
      <c r="I11">
        <v>54.68967</v>
      </c>
      <c r="J11" s="98" t="s">
        <v>508</v>
      </c>
    </row>
    <row r="12" spans="1:10">
      <c r="A12" s="96">
        <v>11</v>
      </c>
      <c r="B12" s="96" t="s">
        <v>519</v>
      </c>
      <c r="C12" s="24" t="str">
        <f>Table3[[#This Row],[District]]&amp;Table3[[#This Row],[Plot]]&amp;Table3[[#This Row],[Stakeholder]]</f>
        <v>Al SamhaC1DMT</v>
      </c>
      <c r="D12" t="s">
        <v>8</v>
      </c>
      <c r="E12" t="s">
        <v>465</v>
      </c>
      <c r="F12" t="s">
        <v>466</v>
      </c>
      <c r="G12" t="s">
        <v>467</v>
      </c>
      <c r="H12">
        <v>24.637920000000001</v>
      </c>
      <c r="I12">
        <v>54.72898</v>
      </c>
      <c r="J12" s="98" t="s">
        <v>508</v>
      </c>
    </row>
    <row r="13" spans="1:10">
      <c r="A13" s="96">
        <v>12</v>
      </c>
      <c r="B13" s="96" t="s">
        <v>520</v>
      </c>
      <c r="C13" s="24" t="str">
        <f>Table3[[#This Row],[District]]&amp;Table3[[#This Row],[Plot]]&amp;Table3[[#This Row],[Stakeholder]]</f>
        <v>Hili2-2-21-3DMT</v>
      </c>
      <c r="D13" t="s">
        <v>468</v>
      </c>
      <c r="E13" t="s">
        <v>469</v>
      </c>
      <c r="F13" t="s">
        <v>470</v>
      </c>
      <c r="G13" t="s">
        <v>471</v>
      </c>
      <c r="H13">
        <v>24.320430000000002</v>
      </c>
      <c r="I13">
        <v>55.796469999999999</v>
      </c>
      <c r="J13" s="98" t="s">
        <v>508</v>
      </c>
    </row>
    <row r="14" spans="1:10">
      <c r="A14" s="96">
        <v>13</v>
      </c>
      <c r="B14" s="96" t="s">
        <v>521</v>
      </c>
      <c r="C14" s="24" t="str">
        <f>Table3[[#This Row],[District]]&amp;Table3[[#This Row],[Plot]]&amp;Table3[[#This Row],[Stakeholder]]</f>
        <v>AL SAROUJ19_6_14_8_DMT</v>
      </c>
      <c r="D14" t="s">
        <v>468</v>
      </c>
      <c r="E14" t="s">
        <v>472</v>
      </c>
      <c r="F14" t="s">
        <v>473</v>
      </c>
      <c r="G14" t="s">
        <v>474</v>
      </c>
      <c r="H14">
        <v>24.187190000000001</v>
      </c>
      <c r="I14">
        <v>55.805</v>
      </c>
      <c r="J14" s="98" t="s">
        <v>508</v>
      </c>
    </row>
    <row r="15" spans="1:10">
      <c r="A15" s="96">
        <v>14</v>
      </c>
      <c r="B15" s="96" t="s">
        <v>522</v>
      </c>
      <c r="C15" s="24" t="str">
        <f>Table3[[#This Row],[District]]&amp;Table3[[#This Row],[Plot]]&amp;Table3[[#This Row],[Stakeholder]]</f>
        <v>AL NOUD22_3_9_39_DMT</v>
      </c>
      <c r="D15" t="s">
        <v>468</v>
      </c>
      <c r="E15" t="s">
        <v>475</v>
      </c>
      <c r="F15" t="s">
        <v>476</v>
      </c>
      <c r="G15" t="s">
        <v>477</v>
      </c>
      <c r="H15">
        <v>24.11862</v>
      </c>
      <c r="I15">
        <v>55.832590000000003</v>
      </c>
      <c r="J15" s="98" t="s">
        <v>508</v>
      </c>
    </row>
    <row r="16" spans="1:10">
      <c r="A16" s="96">
        <v>15</v>
      </c>
      <c r="B16" s="96" t="s">
        <v>523</v>
      </c>
      <c r="C16" s="24" t="str">
        <f>Table3[[#This Row],[District]]&amp;Table3[[#This Row],[Plot]]&amp;Table3[[#This Row],[Stakeholder]]</f>
        <v xml:space="preserve">	AL DHAHIR81_5_4_22_DMT</v>
      </c>
      <c r="D16" t="s">
        <v>468</v>
      </c>
      <c r="E16" t="s">
        <v>478</v>
      </c>
      <c r="F16" t="s">
        <v>479</v>
      </c>
      <c r="G16" t="s">
        <v>480</v>
      </c>
      <c r="H16">
        <v>24.09994</v>
      </c>
      <c r="I16">
        <v>55.84498</v>
      </c>
      <c r="J16" s="98" t="s">
        <v>508</v>
      </c>
    </row>
    <row r="17" spans="1:10">
      <c r="A17" s="96">
        <v>16</v>
      </c>
      <c r="B17" s="96" t="s">
        <v>524</v>
      </c>
      <c r="C17" s="24" t="str">
        <f>Table3[[#This Row],[District]]&amp;Table3[[#This Row],[Plot]]&amp;Table3[[#This Row],[Stakeholder]]</f>
        <v xml:space="preserve">	AL DHAHIRDMT</v>
      </c>
      <c r="D17" t="s">
        <v>468</v>
      </c>
      <c r="E17" t="s">
        <v>478</v>
      </c>
      <c r="F17" t="s">
        <v>481</v>
      </c>
      <c r="H17">
        <v>24.087900000000001</v>
      </c>
      <c r="I17">
        <v>55.833120000000001</v>
      </c>
      <c r="J17" s="98" t="s">
        <v>508</v>
      </c>
    </row>
    <row r="18" spans="1:10">
      <c r="A18" s="96">
        <v>17</v>
      </c>
      <c r="B18" s="96" t="s">
        <v>525</v>
      </c>
      <c r="C18" s="24" t="str">
        <f>Table3[[#This Row],[District]]&amp;Table3[[#This Row],[Plot]]&amp;Table3[[#This Row],[Stakeholder]]</f>
        <v xml:space="preserve">	AL AAMERAH65_3_10_4_DMT</v>
      </c>
      <c r="D18" t="s">
        <v>468</v>
      </c>
      <c r="E18" t="s">
        <v>482</v>
      </c>
      <c r="F18" t="s">
        <v>483</v>
      </c>
      <c r="G18" t="s">
        <v>484</v>
      </c>
      <c r="H18">
        <v>24.214479999999998</v>
      </c>
      <c r="I18">
        <v>55.535260000000001</v>
      </c>
      <c r="J18" s="98" t="s">
        <v>508</v>
      </c>
    </row>
    <row r="19" spans="1:10">
      <c r="A19" s="96">
        <v>18</v>
      </c>
      <c r="B19" s="96" t="s">
        <v>526</v>
      </c>
      <c r="C19" s="24" t="str">
        <f>Table3[[#This Row],[District]]&amp;Table3[[#This Row],[Plot]]&amp;Table3[[#This Row],[Stakeholder]]</f>
        <v>RIMAH71_1_17_65_DMT</v>
      </c>
      <c r="D19" t="s">
        <v>468</v>
      </c>
      <c r="E19" t="s">
        <v>485</v>
      </c>
      <c r="F19" t="s">
        <v>486</v>
      </c>
      <c r="G19" t="s">
        <v>487</v>
      </c>
      <c r="H19">
        <v>24.196909999999999</v>
      </c>
      <c r="I19">
        <v>55.33135</v>
      </c>
      <c r="J19" s="98" t="s">
        <v>508</v>
      </c>
    </row>
    <row r="20" spans="1:10">
      <c r="A20" s="96">
        <v>19</v>
      </c>
      <c r="B20" s="96" t="s">
        <v>527</v>
      </c>
      <c r="C20" s="24" t="str">
        <f>Table3[[#This Row],[District]]&amp;Table3[[#This Row],[Plot]]&amp;Table3[[#This Row],[Stakeholder]]</f>
        <v xml:space="preserve">	AL MARFAMR8_P207ADEK</v>
      </c>
      <c r="D20" t="s">
        <v>223</v>
      </c>
      <c r="E20" t="s">
        <v>488</v>
      </c>
      <c r="F20" t="s">
        <v>489</v>
      </c>
      <c r="G20" t="s">
        <v>490</v>
      </c>
      <c r="H20">
        <v>24.09487</v>
      </c>
      <c r="I20">
        <v>53.480580000000003</v>
      </c>
      <c r="J20" s="98" t="s">
        <v>506</v>
      </c>
    </row>
    <row r="21" spans="1:10">
      <c r="A21" s="96">
        <v>20</v>
      </c>
      <c r="B21" s="96" t="s">
        <v>528</v>
      </c>
      <c r="C21" s="97" t="str">
        <f>Table3[[#This Row],[District]]&amp;Table3[[#This Row],[Plot]]&amp;Table3[[#This Row],[Stakeholder]]</f>
        <v>Al NahdahP2ADEK</v>
      </c>
      <c r="D21" s="96" t="s">
        <v>8</v>
      </c>
      <c r="E21" s="96" t="s">
        <v>492</v>
      </c>
      <c r="F21" s="96" t="s">
        <v>493</v>
      </c>
      <c r="G21" s="96" t="s">
        <v>11</v>
      </c>
      <c r="H21">
        <v>24.27338</v>
      </c>
      <c r="I21">
        <v>54.666919999999998</v>
      </c>
      <c r="J21" s="98" t="s">
        <v>506</v>
      </c>
    </row>
    <row r="22" spans="1:10">
      <c r="A22" s="96">
        <v>21</v>
      </c>
      <c r="B22" s="96" t="s">
        <v>529</v>
      </c>
      <c r="C22" s="97" t="str">
        <f>Table3[[#This Row],[District]]&amp;Table3[[#This Row],[Plot]]&amp;Table3[[#This Row],[Stakeholder]]</f>
        <v>Al RahbahP4ADEK</v>
      </c>
      <c r="D22" s="96" t="s">
        <v>8</v>
      </c>
      <c r="E22" s="96" t="s">
        <v>494</v>
      </c>
      <c r="F22" s="96" t="s">
        <v>495</v>
      </c>
      <c r="G22" s="96" t="s">
        <v>496</v>
      </c>
      <c r="H22">
        <v>24.60538</v>
      </c>
      <c r="I22">
        <v>54.704880000000003</v>
      </c>
      <c r="J22" s="98" t="s">
        <v>506</v>
      </c>
    </row>
    <row r="23" spans="1:10">
      <c r="A23" s="96">
        <v>22</v>
      </c>
      <c r="B23" s="96" t="s">
        <v>530</v>
      </c>
      <c r="C23" s="97" t="str">
        <f>Table3[[#This Row],[District]]&amp;Table3[[#This Row],[Plot]]&amp;Table3[[#This Row],[Stakeholder]]</f>
        <v>Al MarfaP92ADEK</v>
      </c>
      <c r="D23" s="96" t="s">
        <v>223</v>
      </c>
      <c r="E23" s="96" t="s">
        <v>497</v>
      </c>
      <c r="F23" s="96" t="s">
        <v>498</v>
      </c>
      <c r="G23" s="96" t="s">
        <v>499</v>
      </c>
      <c r="H23">
        <v>24.06165</v>
      </c>
      <c r="I23">
        <v>53.453539999999997</v>
      </c>
      <c r="J23" s="98" t="s">
        <v>506</v>
      </c>
    </row>
    <row r="24" spans="1:10">
      <c r="A24" s="96">
        <v>23</v>
      </c>
      <c r="B24" s="96" t="s">
        <v>531</v>
      </c>
      <c r="C24" s="97" t="str">
        <f>Table3[[#This Row],[District]]&amp;Table3[[#This Row],[Plot]]&amp;Table3[[#This Row],[Stakeholder]]</f>
        <v>GHAYATHIP1020ADEK</v>
      </c>
      <c r="D24" s="96" t="s">
        <v>223</v>
      </c>
      <c r="E24" s="101" t="s">
        <v>501</v>
      </c>
      <c r="F24" s="101" t="s">
        <v>501</v>
      </c>
      <c r="G24" s="101" t="s">
        <v>502</v>
      </c>
      <c r="H24" t="s">
        <v>500</v>
      </c>
      <c r="I24">
        <v>52.814010000000003</v>
      </c>
      <c r="J24" s="98" t="s">
        <v>506</v>
      </c>
    </row>
    <row r="25" spans="1:10">
      <c r="A25" s="96">
        <v>24</v>
      </c>
      <c r="B25" s="96" t="s">
        <v>532</v>
      </c>
      <c r="C25" s="97" t="str">
        <f>Table3[[#This Row],[District]]&amp;Table3[[#This Row],[Plot]]&amp;Table3[[#This Row],[Stakeholder]]</f>
        <v>LiwaP170ADEK</v>
      </c>
      <c r="D25" s="96" t="s">
        <v>223</v>
      </c>
      <c r="E25" s="96" t="s">
        <v>503</v>
      </c>
      <c r="F25" s="101" t="s">
        <v>504</v>
      </c>
      <c r="G25" s="101" t="s">
        <v>505</v>
      </c>
      <c r="H25" s="101">
        <v>23.185690000000001</v>
      </c>
      <c r="I25" s="101">
        <v>53.7849</v>
      </c>
      <c r="J25" s="98" t="s">
        <v>506</v>
      </c>
    </row>
  </sheetData>
  <phoneticPr fontId="3" type="noConversion"/>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Fixed Data</vt:lpstr>
      <vt:lpstr>Variable Data</vt:lpstr>
      <vt:lpstr>New Plots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Afnan Ahmed</dc:creator>
  <cp:lastModifiedBy>Afnan Ahmed</cp:lastModifiedBy>
  <dcterms:created xsi:type="dcterms:W3CDTF">2015-06-05T18:17:20Z</dcterms:created>
  <dcterms:modified xsi:type="dcterms:W3CDTF">2024-10-01T08:28:19Z</dcterms:modified>
</cp:coreProperties>
</file>